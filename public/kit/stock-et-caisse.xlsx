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rticles" sheetId="1" r:id="rId1"/>
    <sheet name="Entrées de stock" sheetId="2" r:id="rId2"/>
    <sheet name="Ventes du jour" sheetId="3" r:id="rId3"/>
    <sheet name="Caisse du jour" sheetId="4" r:id="rId4"/>
    <sheet name="Récap" sheetId="5" r:id="rId5"/>
  </sheets>
  <calcPr calcId="191029" fullCalcOnLoad="1"/>
</workbook>
</file>

<file path=xl/styles.xml><?xml version="1.0" encoding="utf-8"?>
<styleSheet xmlns="http://schemas.openxmlformats.org/spreadsheetml/2006/main">
  <numFmts count="1">
    <numFmt numFmtId="165" formatCode="#,##0.00"/>
  </numFmts>
  <fonts count="8">
    <font>
      <sz val="11"/>
      <color rgb="FF171B26"/>
      <name val="Calibri"/>
      <family val="2"/>
    </font>
    <font>
      <b/>
      <sz val="16"/>
      <color rgb="FFC25E38"/>
      <name val="Calibri"/>
      <family val="2"/>
    </font>
    <font>
      <i/>
      <sz val="10"/>
      <color rgb="FF6B6B6B"/>
      <name val="Calibri"/>
      <family val="2"/>
    </font>
    <font>
      <b/>
      <sz val="11"/>
      <color rgb="FFFFFFFF"/>
      <name val="Calibri"/>
      <family val="2"/>
    </font>
    <font>
      <i/>
      <sz val="11"/>
      <color rgb="FF6B6B6B"/>
      <name val="Calibri"/>
      <family val="2"/>
    </font>
    <font>
      <b/>
      <sz val="11"/>
      <color rgb="FF171B26"/>
      <name val="Calibri"/>
      <family val="2"/>
    </font>
    <font>
      <b/>
      <sz val="14"/>
      <color rgb="FF171B26"/>
      <name val="Calibri"/>
      <family val="2"/>
    </font>
    <font>
      <b/>
      <sz val="12"/>
      <color rgb="FFC25E3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25E38"/>
        <bgColor indexed="64"/>
      </patternFill>
    </fill>
    <fill>
      <patternFill patternType="solid">
        <fgColor rgb="FFF4EFE6"/>
        <bgColor indexed="64"/>
      </patternFill>
    </fill>
    <fill>
      <patternFill patternType="solid">
        <fgColor rgb="FFFDF6E3"/>
        <bgColor indexed="64"/>
      </patternFill>
    </fill>
    <fill>
      <patternFill patternType="solid">
        <fgColor rgb="FFE09F3E"/>
        <bgColor indexed="64"/>
      </patternFill>
    </fill>
    <fill>
      <patternFill patternType="solid">
        <fgColor rgb="FFFAF6F0"/>
        <bgColor indexed="64"/>
      </patternFill>
    </fill>
  </fills>
  <borders count="3">
    <border>
      <left/>
      <right/>
      <top/>
      <bottom/>
      <diagonal/>
    </border>
    <border>
      <left style="thin">
        <color rgb="FFD9CBB5"/>
      </left>
      <right style="thin">
        <color rgb="FFD9CBB5"/>
      </right>
      <top style="thin">
        <color rgb="FFD9CBB5"/>
      </top>
      <bottom style="thin">
        <color rgb="FFD9CBB5"/>
      </bottom>
      <diagonal/>
    </border>
    <border>
      <left style="medium">
        <color rgb="FFE09F3E"/>
      </left>
      <right style="medium">
        <color rgb="FFE09F3E"/>
      </right>
      <top style="medium">
        <color rgb="FFE09F3E"/>
      </top>
      <bottom style="medium">
        <color rgb="FFE09F3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 vertical="top"/>
    </xf>
    <xf numFmtId="0" fontId="3" fillId="2" borderId="1" xfId="0" applyFont="1" applyFill="1" applyBorder="1" applyAlignment="1">
      <alignment wrapText="1" vertical="center"/>
    </xf>
    <xf numFmtId="0" fontId="0" fillId="0" borderId="1" xfId="0" applyBorder="1"/>
    <xf numFmtId="3" fontId="0" fillId="0" borderId="1" xfId="0" applyNumberFormat="1" applyBorder="1"/>
    <xf numFmtId="3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0" fillId="3" borderId="1" xfId="0" applyFill="1" applyBorder="1"/>
    <xf numFmtId="3" fontId="0" fillId="3" borderId="1" xfId="0" applyNumberFormat="1" applyFill="1" applyBorder="1"/>
    <xf numFmtId="3" fontId="0" fillId="3" borderId="1" xfId="0" applyNumberFormat="1" applyFill="1" applyBorder="1"/>
    <xf numFmtId="0" fontId="4" fillId="0" borderId="1" xfId="0" applyFont="1" applyBorder="1"/>
    <xf numFmtId="3" fontId="4" fillId="0" borderId="1" xfId="0" applyNumberFormat="1" applyFont="1" applyBorder="1"/>
    <xf numFmtId="3" fontId="4" fillId="0" borderId="1" xfId="0" applyNumberFormat="1" applyFont="1" applyBorder="1"/>
    <xf numFmtId="14" fontId="4" fillId="0" borderId="1" xfId="0" applyNumberFormat="1" applyFont="1" applyBorder="1" applyAlignment="1">
      <alignment horizontal="left"/>
    </xf>
    <xf numFmtId="0" fontId="3" fillId="5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0" xfId="0" applyAlignment="1">
      <alignment indent="1"/>
    </xf>
    <xf numFmtId="3" fontId="6" fillId="6" borderId="1" xfId="0" applyNumberFormat="1" applyFont="1" applyFill="1" applyBorder="1"/>
    <xf numFmtId="3" fontId="6" fillId="6" borderId="1" xfId="0" applyNumberFormat="1" applyFont="1" applyFill="1" applyBorder="1"/>
    <xf numFmtId="0" fontId="7" fillId="0" borderId="0" xfId="0" applyFont="1"/>
    <xf numFmtId="14" fontId="6" fillId="4" borderId="2" xfId="0" applyNumberFormat="1" applyFont="1" applyFill="1" applyBorder="1" applyAlignment="1">
      <alignment horizontal="left"/>
    </xf>
    <xf numFmtId="0" fontId="5" fillId="0" borderId="0" xfId="0" applyFont="1"/>
    <xf numFmtId="14" fontId="5" fillId="6" borderId="1" xfId="0" applyNumberFormat="1" applyFont="1" applyFill="1" applyBorder="1" applyAlignment="1">
      <alignment horizontal="left"/>
    </xf>
    <xf numFmtId="0" fontId="5" fillId="6" borderId="1" xfId="0" applyFont="1" applyFill="1" applyBorder="1"/>
    <xf numFmtId="0" fontId="2" fillId="0" borderId="0" xfId="0" applyFont="1"/>
    <xf numFmtId="0" fontId="0" fillId="0" borderId="1" xfId="0" applyBorder="1"/>
    <xf numFmtId="0" fontId="4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3">
    <dxf>
      <numFmt numFmtId="165" formatCode="#,##0.00"/>
    </dxf>
    <dxf>
      <font>
        <b/>
        <color rgb="FF9B2C2C"/>
      </font>
      <fill>
        <patternFill patternType="solid">
          <bgColor rgb="FFFDEDED"/>
        </patternFill>
      </fill>
    </dxf>
    <dxf>
      <font>
        <b/>
        <color rgb="FF1E6B5C"/>
      </font>
      <fill>
        <patternFill patternType="solid">
          <bgColor rgb="FFEAF6EA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25E38"/>
    <pageSetUpPr fitToPage="1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34" customWidth="1"/>
    <col min="3" max="3" width="16" customWidth="1"/>
    <col min="4" max="4" width="14" customWidth="1"/>
    <col min="5" max="5" width="14" customWidth="1"/>
    <col min="6" max="6" width="10" customWidth="1"/>
    <col min="7" max="7" width="14" customWidth="1"/>
    <col min="8" max="8" width="13" customWidth="1"/>
    <col min="9" max="9" width="14" customWidth="1"/>
    <col min="10" max="10" width="15" customWidth="1"/>
    <col min="11" max="11" width="15" customWidth="1"/>
    <col min="12" max="12" width="3" customWidth="1"/>
    <col min="13" max="13" width="16" customWidth="1"/>
    <col min="14" max="14" width="16" customWidth="1"/>
  </cols>
  <sheetData>
    <row r="1" ht="32" customHeight="1">
      <c r="A1" s="3" t="inlineStr">
        <is>
          <t xml:space="preserve">Référence</t>
        </is>
      </c>
      <c r="B1" s="3" t="inlineStr">
        <is>
          <t xml:space="preserve">Article</t>
        </is>
      </c>
      <c r="C1" s="3" t="inlineStr">
        <is>
          <t xml:space="preserve">Catégorie</t>
        </is>
      </c>
      <c r="D1" s="3" t="inlineStr">
        <is>
          <t xml:space="preserve">Prix d'achat</t>
        </is>
      </c>
      <c r="E1" s="3" t="inlineStr">
        <is>
          <t xml:space="preserve">Prix de vente</t>
        </is>
      </c>
      <c r="F1" s="3" t="inlineStr">
        <is>
          <t xml:space="preserve">Stock</t>
        </is>
      </c>
      <c r="G1" s="3" t="inlineStr">
        <is>
          <t xml:space="preserve">Stock de départ</t>
        </is>
      </c>
      <c r="H1" s="3" t="inlineStr">
        <is>
          <t xml:space="preserve">Seuil d'alerte</t>
        </is>
      </c>
      <c r="I1" s="3" t="inlineStr">
        <is>
          <t xml:space="preserve">Marge par pièce</t>
        </is>
      </c>
      <c r="J1" s="3" t="inlineStr">
        <is>
          <t xml:space="preserve">Valeur du stock</t>
        </is>
      </c>
      <c r="K1" s="3" t="inlineStr">
        <is>
          <t xml:space="preserve">À commander ?</t>
        </is>
      </c>
      <c r="M1" s="15" t="inlineStr">
        <is>
          <t xml:space="preserve">Ma monnaie</t>
        </is>
      </c>
      <c r="N1" s="16"/>
    </row>
    <row r="2">
      <c r="A2" s="11" t="inlineStr">
        <is>
          <t xml:space="preserve">EX-01</t>
        </is>
      </c>
      <c r="B2" s="11" t="inlineStr">
        <is>
          <t xml:space="preserve">EXEMPLE — Savon (à effacer)</t>
        </is>
      </c>
      <c r="C2" s="11" t="inlineStr">
        <is>
          <t xml:space="preserve">Exemple</t>
        </is>
      </c>
      <c r="D2" s="27">
        <v>100</v>
      </c>
      <c r="E2" s="27">
        <v>150</v>
      </c>
      <c r="F2" s="28">
        <f>IF(B2="","",G2+SUMIFS('Entrées de stock'!$C:$C,'Entrées de stock'!$B:$B,B2)-SUMIFS('Ventes du jour'!$C:$C,'Ventes du jour'!$B:$B,B2))</f>
        <v>27</v>
      </c>
      <c r="G2" s="13">
        <v>20</v>
      </c>
      <c r="H2" s="13">
        <v>5</v>
      </c>
      <c r="I2" s="9">
        <f>IF(OR(B2="",E2=""),"",E2-D2)</f>
        <v>50</v>
      </c>
      <c r="J2" s="9">
        <f>IF(B2="","",F2*D2)</f>
        <v>2700</v>
      </c>
      <c r="K2" s="8" t="str">
        <f>IF(OR(B2="",H2=""),"",IF(F2&lt;=H2,"À commander","OK"))</f>
        <v>OK</v>
      </c>
    </row>
    <row r="3">
      <c r="A3" s="11" t="inlineStr">
        <is>
          <t xml:space="preserve">EX-02</t>
        </is>
      </c>
      <c r="B3" s="11" t="inlineStr">
        <is>
          <t xml:space="preserve">EXEMPLE — Filtre à huile (à effacer)</t>
        </is>
      </c>
      <c r="C3" s="11" t="inlineStr">
        <is>
          <t xml:space="preserve">Exemple</t>
        </is>
      </c>
      <c r="D3" s="27">
        <v>400</v>
      </c>
      <c r="E3" s="27">
        <v>600</v>
      </c>
      <c r="F3" s="28">
        <f>IF(B3="","",G3+SUMIFS('Entrées de stock'!$C:$C,'Entrées de stock'!$B:$B,B3)-SUMIFS('Ventes du jour'!$C:$C,'Ventes du jour'!$B:$B,B3))</f>
        <v>2</v>
      </c>
      <c r="G3" s="13">
        <v>3</v>
      </c>
      <c r="H3" s="13">
        <v>2</v>
      </c>
      <c r="I3" s="9">
        <f>IF(OR(B3="",E3=""),"",E3-D3)</f>
        <v>200</v>
      </c>
      <c r="J3" s="9">
        <f>IF(B3="","",F3*D3)</f>
        <v>800</v>
      </c>
      <c r="K3" s="8" t="str">
        <f>IF(OR(B3="",H3=""),"",IF(F3&lt;=H3,"À commander","OK"))</f>
        <v>À commander</v>
      </c>
      <c r="M3" s="22" t="inlineStr">
        <is>
          <t xml:space="preserve">Comment remplir</t>
        </is>
      </c>
    </row>
    <row r="4">
      <c r="A4" s="4"/>
      <c r="B4" s="4"/>
      <c r="C4" s="4"/>
      <c r="D4" s="26"/>
      <c r="E4" s="26"/>
      <c r="F4" s="28" t="str">
        <f>IF(B4="","",G4+SUMIFS('Entrées de stock'!$C:$C,'Entrées de stock'!$B:$B,B4)-SUMIFS('Ventes du jour'!$C:$C,'Ventes du jour'!$B:$B,B4))</f>
        <v/>
      </c>
      <c r="G4" s="6"/>
      <c r="H4" s="6"/>
      <c r="I4" s="9" t="str">
        <f>IF(OR(B4="",E4=""),"",E4-D4)</f>
        <v/>
      </c>
      <c r="J4" s="9" t="str">
        <f>IF(B4="","",F4*D4)</f>
        <v/>
      </c>
      <c r="K4" s="8" t="str">
        <f>IF(OR(B4="",H4=""),"",IF(F4&lt;=H4,"À commander","OK"))</f>
        <v/>
      </c>
      <c r="M4" s="25" t="inlineStr">
        <is>
          <t xml:space="preserve">1. Écris ta monnaie dans la case jaune ci-dessus (FCFA, €, £, $ CA, ₦, …).</t>
        </is>
      </c>
    </row>
    <row r="5">
      <c r="A5" s="4"/>
      <c r="B5" s="4"/>
      <c r="C5" s="4"/>
      <c r="D5" s="26"/>
      <c r="E5" s="26"/>
      <c r="F5" s="28" t="str">
        <f>IF(B5="","",G5+SUMIFS('Entrées de stock'!$C:$C,'Entrées de stock'!$B:$B,B5)-SUMIFS('Ventes du jour'!$C:$C,'Ventes du jour'!$B:$B,B5))</f>
        <v/>
      </c>
      <c r="G5" s="6"/>
      <c r="H5" s="6"/>
      <c r="I5" s="9" t="str">
        <f>IF(OR(B5="",E5=""),"",E5-D5)</f>
        <v/>
      </c>
      <c r="J5" s="9" t="str">
        <f>IF(B5="","",F5*D5)</f>
        <v/>
      </c>
      <c r="K5" s="8" t="str">
        <f>IF(OR(B5="",H5=""),"",IF(F5&lt;=H5,"À commander","OK"))</f>
        <v/>
      </c>
      <c r="M5" s="25" t="inlineStr">
        <is>
          <t xml:space="preserve">2. Une ligne par article. La référence est facultative (code-barres, code maison).</t>
        </is>
      </c>
    </row>
    <row r="6">
      <c r="A6" s="4"/>
      <c r="B6" s="4"/>
      <c r="C6" s="4"/>
      <c r="D6" s="26"/>
      <c r="E6" s="26"/>
      <c r="F6" s="28" t="str">
        <f>IF(B6="","",G6+SUMIFS('Entrées de stock'!$C:$C,'Entrées de stock'!$B:$B,B6)-SUMIFS('Ventes du jour'!$C:$C,'Ventes du jour'!$B:$B,B6))</f>
        <v/>
      </c>
      <c r="G6" s="6"/>
      <c r="H6" s="6"/>
      <c r="I6" s="9" t="str">
        <f>IF(OR(B6="",E6=""),"",E6-D6)</f>
        <v/>
      </c>
      <c r="J6" s="9" t="str">
        <f>IF(B6="","",F6*D6)</f>
        <v/>
      </c>
      <c r="K6" s="8" t="str">
        <f>IF(OR(B6="",H6=""),"",IF(F6&lt;=H6,"À commander","OK"))</f>
        <v/>
      </c>
      <c r="M6" s="25" t="inlineStr">
        <is>
          <t xml:space="preserve">3. Stock de départ : ce que tu comptes aujourd'hui sur l'étagère.</t>
        </is>
      </c>
    </row>
    <row r="7">
      <c r="A7" s="4"/>
      <c r="B7" s="4"/>
      <c r="C7" s="4"/>
      <c r="D7" s="26"/>
      <c r="E7" s="26"/>
      <c r="F7" s="28" t="str">
        <f>IF(B7="","",G7+SUMIFS('Entrées de stock'!$C:$C,'Entrées de stock'!$B:$B,B7)-SUMIFS('Ventes du jour'!$C:$C,'Ventes du jour'!$B:$B,B7))</f>
        <v/>
      </c>
      <c r="G7" s="6"/>
      <c r="H7" s="6"/>
      <c r="I7" s="9" t="str">
        <f>IF(OR(B7="",E7=""),"",E7-D7)</f>
        <v/>
      </c>
      <c r="J7" s="9" t="str">
        <f>IF(B7="","",F7*D7)</f>
        <v/>
      </c>
      <c r="K7" s="8" t="str">
        <f>IF(OR(B7="",H7=""),"",IF(F7&lt;=H7,"À commander","OK"))</f>
        <v/>
      </c>
      <c r="M7" s="25" t="inlineStr">
        <is>
          <t xml:space="preserve">4. Seuil d'alerte : à ce niveau ou en dessous, l'article passe « À commander ».</t>
        </is>
      </c>
    </row>
    <row r="8">
      <c r="A8" s="4"/>
      <c r="B8" s="4"/>
      <c r="C8" s="4"/>
      <c r="D8" s="26"/>
      <c r="E8" s="26"/>
      <c r="F8" s="28" t="str">
        <f>IF(B8="","",G8+SUMIFS('Entrées de stock'!$C:$C,'Entrées de stock'!$B:$B,B8)-SUMIFS('Ventes du jour'!$C:$C,'Ventes du jour'!$B:$B,B8))</f>
        <v/>
      </c>
      <c r="G8" s="6"/>
      <c r="H8" s="6"/>
      <c r="I8" s="9" t="str">
        <f>IF(OR(B8="",E8=""),"",E8-D8)</f>
        <v/>
      </c>
      <c r="J8" s="9" t="str">
        <f>IF(B8="","",F8*D8)</f>
        <v/>
      </c>
      <c r="K8" s="8" t="str">
        <f>IF(OR(B8="",H8=""),"",IF(F8&lt;=H8,"À commander","OK"))</f>
        <v/>
      </c>
      <c r="M8" s="25" t="inlineStr">
        <is>
          <t xml:space="preserve">5. Les colonnes grises se calculent seules : n'y écris rien.</t>
        </is>
      </c>
    </row>
    <row r="9">
      <c r="A9" s="4"/>
      <c r="B9" s="4"/>
      <c r="C9" s="4"/>
      <c r="D9" s="26"/>
      <c r="E9" s="26"/>
      <c r="F9" s="28" t="str">
        <f>IF(B9="","",G9+SUMIFS('Entrées de stock'!$C:$C,'Entrées de stock'!$B:$B,B9)-SUMIFS('Ventes du jour'!$C:$C,'Ventes du jour'!$B:$B,B9))</f>
        <v/>
      </c>
      <c r="G9" s="6"/>
      <c r="H9" s="6"/>
      <c r="I9" s="9" t="str">
        <f>IF(OR(B9="",E9=""),"",E9-D9)</f>
        <v/>
      </c>
      <c r="J9" s="9" t="str">
        <f>IF(B9="","",F9*D9)</f>
        <v/>
      </c>
      <c r="K9" s="8" t="str">
        <f>IF(OR(B9="",H9=""),"",IF(F9&lt;=H9,"À commander","OK"))</f>
        <v/>
      </c>
      <c r="M9" s="25" t="inlineStr">
        <is>
          <t xml:space="preserve">6. Efface les lignes EXEMPLE quand tu as compris.</t>
        </is>
      </c>
    </row>
    <row r="10">
      <c r="A10" s="4"/>
      <c r="B10" s="4"/>
      <c r="C10" s="4"/>
      <c r="D10" s="26"/>
      <c r="E10" s="26"/>
      <c r="F10" s="28" t="str">
        <f>IF(B10="","",G10+SUMIFS('Entrées de stock'!$C:$C,'Entrées de stock'!$B:$B,B10)-SUMIFS('Ventes du jour'!$C:$C,'Ventes du jour'!$B:$B,B10))</f>
        <v/>
      </c>
      <c r="G10" s="6"/>
      <c r="H10" s="6"/>
      <c r="I10" s="9" t="str">
        <f>IF(OR(B10="",E10=""),"",E10-D10)</f>
        <v/>
      </c>
      <c r="J10" s="9" t="str">
        <f>IF(B10="","",F10*D10)</f>
        <v/>
      </c>
      <c r="K10" s="8" t="str">
        <f>IF(OR(B10="",H10=""),"",IF(F10&lt;=H10,"À commander","OK"))</f>
        <v/>
      </c>
    </row>
    <row r="11">
      <c r="A11" s="4"/>
      <c r="B11" s="4"/>
      <c r="C11" s="4"/>
      <c r="D11" s="26"/>
      <c r="E11" s="26"/>
      <c r="F11" s="28" t="str">
        <f>IF(B11="","",G11+SUMIFS('Entrées de stock'!$C:$C,'Entrées de stock'!$B:$B,B11)-SUMIFS('Ventes du jour'!$C:$C,'Ventes du jour'!$B:$B,B11))</f>
        <v/>
      </c>
      <c r="G11" s="6"/>
      <c r="H11" s="6"/>
      <c r="I11" s="9" t="str">
        <f>IF(OR(B11="",E11=""),"",E11-D11)</f>
        <v/>
      </c>
      <c r="J11" s="9" t="str">
        <f>IF(B11="","",F11*D11)</f>
        <v/>
      </c>
      <c r="K11" s="8" t="str">
        <f>IF(OR(B11="",H11=""),"",IF(F11&lt;=H11,"À commander","OK"))</f>
        <v/>
      </c>
    </row>
    <row r="12">
      <c r="A12" s="4"/>
      <c r="B12" s="4"/>
      <c r="C12" s="4"/>
      <c r="D12" s="26"/>
      <c r="E12" s="26"/>
      <c r="F12" s="28" t="str">
        <f>IF(B12="","",G12+SUMIFS('Entrées de stock'!$C:$C,'Entrées de stock'!$B:$B,B12)-SUMIFS('Ventes du jour'!$C:$C,'Ventes du jour'!$B:$B,B12))</f>
        <v/>
      </c>
      <c r="G12" s="6"/>
      <c r="H12" s="6"/>
      <c r="I12" s="9" t="str">
        <f>IF(OR(B12="",E12=""),"",E12-D12)</f>
        <v/>
      </c>
      <c r="J12" s="9" t="str">
        <f>IF(B12="","",F12*D12)</f>
        <v/>
      </c>
      <c r="K12" s="8" t="str">
        <f>IF(OR(B12="",H12=""),"",IF(F12&lt;=H12,"À commander","OK"))</f>
        <v/>
      </c>
    </row>
    <row r="13">
      <c r="A13" s="4"/>
      <c r="B13" s="4"/>
      <c r="C13" s="4"/>
      <c r="D13" s="26"/>
      <c r="E13" s="26"/>
      <c r="F13" s="28" t="str">
        <f>IF(B13="","",G13+SUMIFS('Entrées de stock'!$C:$C,'Entrées de stock'!$B:$B,B13)-SUMIFS('Ventes du jour'!$C:$C,'Ventes du jour'!$B:$B,B13))</f>
        <v/>
      </c>
      <c r="G13" s="6"/>
      <c r="H13" s="6"/>
      <c r="I13" s="9" t="str">
        <f>IF(OR(B13="",E13=""),"",E13-D13)</f>
        <v/>
      </c>
      <c r="J13" s="9" t="str">
        <f>IF(B13="","",F13*D13)</f>
        <v/>
      </c>
      <c r="K13" s="8" t="str">
        <f>IF(OR(B13="",H13=""),"",IF(F13&lt;=H13,"À commander","OK"))</f>
        <v/>
      </c>
    </row>
    <row r="14">
      <c r="A14" s="4"/>
      <c r="B14" s="4"/>
      <c r="C14" s="4"/>
      <c r="D14" s="26"/>
      <c r="E14" s="26"/>
      <c r="F14" s="28" t="str">
        <f>IF(B14="","",G14+SUMIFS('Entrées de stock'!$C:$C,'Entrées de stock'!$B:$B,B14)-SUMIFS('Ventes du jour'!$C:$C,'Ventes du jour'!$B:$B,B14))</f>
        <v/>
      </c>
      <c r="G14" s="6"/>
      <c r="H14" s="6"/>
      <c r="I14" s="9" t="str">
        <f>IF(OR(B14="",E14=""),"",E14-D14)</f>
        <v/>
      </c>
      <c r="J14" s="9" t="str">
        <f>IF(B14="","",F14*D14)</f>
        <v/>
      </c>
      <c r="K14" s="8" t="str">
        <f>IF(OR(B14="",H14=""),"",IF(F14&lt;=H14,"À commander","OK"))</f>
        <v/>
      </c>
    </row>
    <row r="15">
      <c r="A15" s="4"/>
      <c r="B15" s="4"/>
      <c r="C15" s="4"/>
      <c r="D15" s="26"/>
      <c r="E15" s="26"/>
      <c r="F15" s="28" t="str">
        <f>IF(B15="","",G15+SUMIFS('Entrées de stock'!$C:$C,'Entrées de stock'!$B:$B,B15)-SUMIFS('Ventes du jour'!$C:$C,'Ventes du jour'!$B:$B,B15))</f>
        <v/>
      </c>
      <c r="G15" s="6"/>
      <c r="H15" s="6"/>
      <c r="I15" s="9" t="str">
        <f>IF(OR(B15="",E15=""),"",E15-D15)</f>
        <v/>
      </c>
      <c r="J15" s="9" t="str">
        <f>IF(B15="","",F15*D15)</f>
        <v/>
      </c>
      <c r="K15" s="8" t="str">
        <f>IF(OR(B15="",H15=""),"",IF(F15&lt;=H15,"À commander","OK"))</f>
        <v/>
      </c>
    </row>
    <row r="16">
      <c r="A16" s="4"/>
      <c r="B16" s="4"/>
      <c r="C16" s="4"/>
      <c r="D16" s="26"/>
      <c r="E16" s="26"/>
      <c r="F16" s="28" t="str">
        <f>IF(B16="","",G16+SUMIFS('Entrées de stock'!$C:$C,'Entrées de stock'!$B:$B,B16)-SUMIFS('Ventes du jour'!$C:$C,'Ventes du jour'!$B:$B,B16))</f>
        <v/>
      </c>
      <c r="G16" s="6"/>
      <c r="H16" s="6"/>
      <c r="I16" s="9" t="str">
        <f>IF(OR(B16="",E16=""),"",E16-D16)</f>
        <v/>
      </c>
      <c r="J16" s="9" t="str">
        <f>IF(B16="","",F16*D16)</f>
        <v/>
      </c>
      <c r="K16" s="8" t="str">
        <f>IF(OR(B16="",H16=""),"",IF(F16&lt;=H16,"À commander","OK"))</f>
        <v/>
      </c>
    </row>
    <row r="17">
      <c r="A17" s="4"/>
      <c r="B17" s="4"/>
      <c r="C17" s="4"/>
      <c r="D17" s="26"/>
      <c r="E17" s="26"/>
      <c r="F17" s="28" t="str">
        <f>IF(B17="","",G17+SUMIFS('Entrées de stock'!$C:$C,'Entrées de stock'!$B:$B,B17)-SUMIFS('Ventes du jour'!$C:$C,'Ventes du jour'!$B:$B,B17))</f>
        <v/>
      </c>
      <c r="G17" s="6"/>
      <c r="H17" s="6"/>
      <c r="I17" s="9" t="str">
        <f>IF(OR(B17="",E17=""),"",E17-D17)</f>
        <v/>
      </c>
      <c r="J17" s="9" t="str">
        <f>IF(B17="","",F17*D17)</f>
        <v/>
      </c>
      <c r="K17" s="8" t="str">
        <f>IF(OR(B17="",H17=""),"",IF(F17&lt;=H17,"À commander","OK"))</f>
        <v/>
      </c>
    </row>
    <row r="18">
      <c r="A18" s="4"/>
      <c r="B18" s="4"/>
      <c r="C18" s="4"/>
      <c r="D18" s="26"/>
      <c r="E18" s="26"/>
      <c r="F18" s="28" t="str">
        <f>IF(B18="","",G18+SUMIFS('Entrées de stock'!$C:$C,'Entrées de stock'!$B:$B,B18)-SUMIFS('Ventes du jour'!$C:$C,'Ventes du jour'!$B:$B,B18))</f>
        <v/>
      </c>
      <c r="G18" s="6"/>
      <c r="H18" s="6"/>
      <c r="I18" s="9" t="str">
        <f>IF(OR(B18="",E18=""),"",E18-D18)</f>
        <v/>
      </c>
      <c r="J18" s="9" t="str">
        <f>IF(B18="","",F18*D18)</f>
        <v/>
      </c>
      <c r="K18" s="8" t="str">
        <f>IF(OR(B18="",H18=""),"",IF(F18&lt;=H18,"À commander","OK"))</f>
        <v/>
      </c>
    </row>
    <row r="19">
      <c r="A19" s="4"/>
      <c r="B19" s="4"/>
      <c r="C19" s="4"/>
      <c r="D19" s="26"/>
      <c r="E19" s="26"/>
      <c r="F19" s="28" t="str">
        <f>IF(B19="","",G19+SUMIFS('Entrées de stock'!$C:$C,'Entrées de stock'!$B:$B,B19)-SUMIFS('Ventes du jour'!$C:$C,'Ventes du jour'!$B:$B,B19))</f>
        <v/>
      </c>
      <c r="G19" s="6"/>
      <c r="H19" s="6"/>
      <c r="I19" s="9" t="str">
        <f>IF(OR(B19="",E19=""),"",E19-D19)</f>
        <v/>
      </c>
      <c r="J19" s="9" t="str">
        <f>IF(B19="","",F19*D19)</f>
        <v/>
      </c>
      <c r="K19" s="8" t="str">
        <f>IF(OR(B19="",H19=""),"",IF(F19&lt;=H19,"À commander","OK"))</f>
        <v/>
      </c>
    </row>
    <row r="20">
      <c r="A20" s="4"/>
      <c r="B20" s="4"/>
      <c r="C20" s="4"/>
      <c r="D20" s="26"/>
      <c r="E20" s="26"/>
      <c r="F20" s="28" t="str">
        <f>IF(B20="","",G20+SUMIFS('Entrées de stock'!$C:$C,'Entrées de stock'!$B:$B,B20)-SUMIFS('Ventes du jour'!$C:$C,'Ventes du jour'!$B:$B,B20))</f>
        <v/>
      </c>
      <c r="G20" s="6"/>
      <c r="H20" s="6"/>
      <c r="I20" s="9" t="str">
        <f>IF(OR(B20="",E20=""),"",E20-D20)</f>
        <v/>
      </c>
      <c r="J20" s="9" t="str">
        <f>IF(B20="","",F20*D20)</f>
        <v/>
      </c>
      <c r="K20" s="8" t="str">
        <f>IF(OR(B20="",H20=""),"",IF(F20&lt;=H20,"À commander","OK"))</f>
        <v/>
      </c>
    </row>
    <row r="21">
      <c r="A21" s="4"/>
      <c r="B21" s="4"/>
      <c r="C21" s="4"/>
      <c r="D21" s="26"/>
      <c r="E21" s="26"/>
      <c r="F21" s="28" t="str">
        <f>IF(B21="","",G21+SUMIFS('Entrées de stock'!$C:$C,'Entrées de stock'!$B:$B,B21)-SUMIFS('Ventes du jour'!$C:$C,'Ventes du jour'!$B:$B,B21))</f>
        <v/>
      </c>
      <c r="G21" s="6"/>
      <c r="H21" s="6"/>
      <c r="I21" s="9" t="str">
        <f>IF(OR(B21="",E21=""),"",E21-D21)</f>
        <v/>
      </c>
      <c r="J21" s="9" t="str">
        <f>IF(B21="","",F21*D21)</f>
        <v/>
      </c>
      <c r="K21" s="8" t="str">
        <f>IF(OR(B21="",H21=""),"",IF(F21&lt;=H21,"À commander","OK"))</f>
        <v/>
      </c>
    </row>
    <row r="22">
      <c r="A22" s="4"/>
      <c r="B22" s="4"/>
      <c r="C22" s="4"/>
      <c r="D22" s="26"/>
      <c r="E22" s="26"/>
      <c r="F22" s="28" t="str">
        <f>IF(B22="","",G22+SUMIFS('Entrées de stock'!$C:$C,'Entrées de stock'!$B:$B,B22)-SUMIFS('Ventes du jour'!$C:$C,'Ventes du jour'!$B:$B,B22))</f>
        <v/>
      </c>
      <c r="G22" s="6"/>
      <c r="H22" s="6"/>
      <c r="I22" s="9" t="str">
        <f>IF(OR(B22="",E22=""),"",E22-D22)</f>
        <v/>
      </c>
      <c r="J22" s="9" t="str">
        <f>IF(B22="","",F22*D22)</f>
        <v/>
      </c>
      <c r="K22" s="8" t="str">
        <f>IF(OR(B22="",H22=""),"",IF(F22&lt;=H22,"À commander","OK"))</f>
        <v/>
      </c>
    </row>
    <row r="23">
      <c r="A23" s="4"/>
      <c r="B23" s="4"/>
      <c r="C23" s="4"/>
      <c r="D23" s="26"/>
      <c r="E23" s="26"/>
      <c r="F23" s="28" t="str">
        <f>IF(B23="","",G23+SUMIFS('Entrées de stock'!$C:$C,'Entrées de stock'!$B:$B,B23)-SUMIFS('Ventes du jour'!$C:$C,'Ventes du jour'!$B:$B,B23))</f>
        <v/>
      </c>
      <c r="G23" s="6"/>
      <c r="H23" s="6"/>
      <c r="I23" s="9" t="str">
        <f>IF(OR(B23="",E23=""),"",E23-D23)</f>
        <v/>
      </c>
      <c r="J23" s="9" t="str">
        <f>IF(B23="","",F23*D23)</f>
        <v/>
      </c>
      <c r="K23" s="8" t="str">
        <f>IF(OR(B23="",H23=""),"",IF(F23&lt;=H23,"À commander","OK"))</f>
        <v/>
      </c>
    </row>
    <row r="24">
      <c r="A24" s="4"/>
      <c r="B24" s="4"/>
      <c r="C24" s="4"/>
      <c r="D24" s="26"/>
      <c r="E24" s="26"/>
      <c r="F24" s="28" t="str">
        <f>IF(B24="","",G24+SUMIFS('Entrées de stock'!$C:$C,'Entrées de stock'!$B:$B,B24)-SUMIFS('Ventes du jour'!$C:$C,'Ventes du jour'!$B:$B,B24))</f>
        <v/>
      </c>
      <c r="G24" s="6"/>
      <c r="H24" s="6"/>
      <c r="I24" s="9" t="str">
        <f>IF(OR(B24="",E24=""),"",E24-D24)</f>
        <v/>
      </c>
      <c r="J24" s="9" t="str">
        <f>IF(B24="","",F24*D24)</f>
        <v/>
      </c>
      <c r="K24" s="8" t="str">
        <f>IF(OR(B24="",H24=""),"",IF(F24&lt;=H24,"À commander","OK"))</f>
        <v/>
      </c>
    </row>
    <row r="25">
      <c r="A25" s="4"/>
      <c r="B25" s="4"/>
      <c r="C25" s="4"/>
      <c r="D25" s="26"/>
      <c r="E25" s="26"/>
      <c r="F25" s="28" t="str">
        <f>IF(B25="","",G25+SUMIFS('Entrées de stock'!$C:$C,'Entrées de stock'!$B:$B,B25)-SUMIFS('Ventes du jour'!$C:$C,'Ventes du jour'!$B:$B,B25))</f>
        <v/>
      </c>
      <c r="G25" s="6"/>
      <c r="H25" s="6"/>
      <c r="I25" s="9" t="str">
        <f>IF(OR(B25="",E25=""),"",E25-D25)</f>
        <v/>
      </c>
      <c r="J25" s="9" t="str">
        <f>IF(B25="","",F25*D25)</f>
        <v/>
      </c>
      <c r="K25" s="8" t="str">
        <f>IF(OR(B25="",H25=""),"",IF(F25&lt;=H25,"À commander","OK"))</f>
        <v/>
      </c>
    </row>
    <row r="26">
      <c r="A26" s="4"/>
      <c r="B26" s="4"/>
      <c r="C26" s="4"/>
      <c r="D26" s="26"/>
      <c r="E26" s="26"/>
      <c r="F26" s="28" t="str">
        <f>IF(B26="","",G26+SUMIFS('Entrées de stock'!$C:$C,'Entrées de stock'!$B:$B,B26)-SUMIFS('Ventes du jour'!$C:$C,'Ventes du jour'!$B:$B,B26))</f>
        <v/>
      </c>
      <c r="G26" s="6"/>
      <c r="H26" s="6"/>
      <c r="I26" s="9" t="str">
        <f>IF(OR(B26="",E26=""),"",E26-D26)</f>
        <v/>
      </c>
      <c r="J26" s="9" t="str">
        <f>IF(B26="","",F26*D26)</f>
        <v/>
      </c>
      <c r="K26" s="8" t="str">
        <f>IF(OR(B26="",H26=""),"",IF(F26&lt;=H26,"À commander","OK"))</f>
        <v/>
      </c>
    </row>
    <row r="27">
      <c r="A27" s="4"/>
      <c r="B27" s="4"/>
      <c r="C27" s="4"/>
      <c r="D27" s="26"/>
      <c r="E27" s="26"/>
      <c r="F27" s="28" t="str">
        <f>IF(B27="","",G27+SUMIFS('Entrées de stock'!$C:$C,'Entrées de stock'!$B:$B,B27)-SUMIFS('Ventes du jour'!$C:$C,'Ventes du jour'!$B:$B,B27))</f>
        <v/>
      </c>
      <c r="G27" s="6"/>
      <c r="H27" s="6"/>
      <c r="I27" s="9" t="str">
        <f>IF(OR(B27="",E27=""),"",E27-D27)</f>
        <v/>
      </c>
      <c r="J27" s="9" t="str">
        <f>IF(B27="","",F27*D27)</f>
        <v/>
      </c>
      <c r="K27" s="8" t="str">
        <f>IF(OR(B27="",H27=""),"",IF(F27&lt;=H27,"À commander","OK"))</f>
        <v/>
      </c>
    </row>
    <row r="28">
      <c r="A28" s="4"/>
      <c r="B28" s="4"/>
      <c r="C28" s="4"/>
      <c r="D28" s="26"/>
      <c r="E28" s="26"/>
      <c r="F28" s="28" t="str">
        <f>IF(B28="","",G28+SUMIFS('Entrées de stock'!$C:$C,'Entrées de stock'!$B:$B,B28)-SUMIFS('Ventes du jour'!$C:$C,'Ventes du jour'!$B:$B,B28))</f>
        <v/>
      </c>
      <c r="G28" s="6"/>
      <c r="H28" s="6"/>
      <c r="I28" s="9" t="str">
        <f>IF(OR(B28="",E28=""),"",E28-D28)</f>
        <v/>
      </c>
      <c r="J28" s="9" t="str">
        <f>IF(B28="","",F28*D28)</f>
        <v/>
      </c>
      <c r="K28" s="8" t="str">
        <f>IF(OR(B28="",H28=""),"",IF(F28&lt;=H28,"À commander","OK"))</f>
        <v/>
      </c>
    </row>
    <row r="29">
      <c r="A29" s="4"/>
      <c r="B29" s="4"/>
      <c r="C29" s="4"/>
      <c r="D29" s="26"/>
      <c r="E29" s="26"/>
      <c r="F29" s="28" t="str">
        <f>IF(B29="","",G29+SUMIFS('Entrées de stock'!$C:$C,'Entrées de stock'!$B:$B,B29)-SUMIFS('Ventes du jour'!$C:$C,'Ventes du jour'!$B:$B,B29))</f>
        <v/>
      </c>
      <c r="G29" s="6"/>
      <c r="H29" s="6"/>
      <c r="I29" s="9" t="str">
        <f>IF(OR(B29="",E29=""),"",E29-D29)</f>
        <v/>
      </c>
      <c r="J29" s="9" t="str">
        <f>IF(B29="","",F29*D29)</f>
        <v/>
      </c>
      <c r="K29" s="8" t="str">
        <f>IF(OR(B29="",H29=""),"",IF(F29&lt;=H29,"À commander","OK"))</f>
        <v/>
      </c>
    </row>
    <row r="30">
      <c r="A30" s="4"/>
      <c r="B30" s="4"/>
      <c r="C30" s="4"/>
      <c r="D30" s="26"/>
      <c r="E30" s="26"/>
      <c r="F30" s="28" t="str">
        <f>IF(B30="","",G30+SUMIFS('Entrées de stock'!$C:$C,'Entrées de stock'!$B:$B,B30)-SUMIFS('Ventes du jour'!$C:$C,'Ventes du jour'!$B:$B,B30))</f>
        <v/>
      </c>
      <c r="G30" s="6"/>
      <c r="H30" s="6"/>
      <c r="I30" s="9" t="str">
        <f>IF(OR(B30="",E30=""),"",E30-D30)</f>
        <v/>
      </c>
      <c r="J30" s="9" t="str">
        <f>IF(B30="","",F30*D30)</f>
        <v/>
      </c>
      <c r="K30" s="8" t="str">
        <f>IF(OR(B30="",H30=""),"",IF(F30&lt;=H30,"À commander","OK"))</f>
        <v/>
      </c>
    </row>
    <row r="31">
      <c r="A31" s="4"/>
      <c r="B31" s="4"/>
      <c r="C31" s="4"/>
      <c r="D31" s="26"/>
      <c r="E31" s="26"/>
      <c r="F31" s="28" t="str">
        <f>IF(B31="","",G31+SUMIFS('Entrées de stock'!$C:$C,'Entrées de stock'!$B:$B,B31)-SUMIFS('Ventes du jour'!$C:$C,'Ventes du jour'!$B:$B,B31))</f>
        <v/>
      </c>
      <c r="G31" s="6"/>
      <c r="H31" s="6"/>
      <c r="I31" s="9" t="str">
        <f>IF(OR(B31="",E31=""),"",E31-D31)</f>
        <v/>
      </c>
      <c r="J31" s="9" t="str">
        <f>IF(B31="","",F31*D31)</f>
        <v/>
      </c>
      <c r="K31" s="8" t="str">
        <f>IF(OR(B31="",H31=""),"",IF(F31&lt;=H31,"À commander","OK"))</f>
        <v/>
      </c>
    </row>
    <row r="32">
      <c r="A32" s="4"/>
      <c r="B32" s="4"/>
      <c r="C32" s="4"/>
      <c r="D32" s="26"/>
      <c r="E32" s="26"/>
      <c r="F32" s="28" t="str">
        <f>IF(B32="","",G32+SUMIFS('Entrées de stock'!$C:$C,'Entrées de stock'!$B:$B,B32)-SUMIFS('Ventes du jour'!$C:$C,'Ventes du jour'!$B:$B,B32))</f>
        <v/>
      </c>
      <c r="G32" s="6"/>
      <c r="H32" s="6"/>
      <c r="I32" s="9" t="str">
        <f>IF(OR(B32="",E32=""),"",E32-D32)</f>
        <v/>
      </c>
      <c r="J32" s="9" t="str">
        <f>IF(B32="","",F32*D32)</f>
        <v/>
      </c>
      <c r="K32" s="8" t="str">
        <f>IF(OR(B32="",H32=""),"",IF(F32&lt;=H32,"À commander","OK"))</f>
        <v/>
      </c>
    </row>
    <row r="33">
      <c r="A33" s="4"/>
      <c r="B33" s="4"/>
      <c r="C33" s="4"/>
      <c r="D33" s="26"/>
      <c r="E33" s="26"/>
      <c r="F33" s="28" t="str">
        <f>IF(B33="","",G33+SUMIFS('Entrées de stock'!$C:$C,'Entrées de stock'!$B:$B,B33)-SUMIFS('Ventes du jour'!$C:$C,'Ventes du jour'!$B:$B,B33))</f>
        <v/>
      </c>
      <c r="G33" s="6"/>
      <c r="H33" s="6"/>
      <c r="I33" s="9" t="str">
        <f>IF(OR(B33="",E33=""),"",E33-D33)</f>
        <v/>
      </c>
      <c r="J33" s="9" t="str">
        <f>IF(B33="","",F33*D33)</f>
        <v/>
      </c>
      <c r="K33" s="8" t="str">
        <f>IF(OR(B33="",H33=""),"",IF(F33&lt;=H33,"À commander","OK"))</f>
        <v/>
      </c>
    </row>
    <row r="34">
      <c r="A34" s="4"/>
      <c r="B34" s="4"/>
      <c r="C34" s="4"/>
      <c r="D34" s="26"/>
      <c r="E34" s="26"/>
      <c r="F34" s="28" t="str">
        <f>IF(B34="","",G34+SUMIFS('Entrées de stock'!$C:$C,'Entrées de stock'!$B:$B,B34)-SUMIFS('Ventes du jour'!$C:$C,'Ventes du jour'!$B:$B,B34))</f>
        <v/>
      </c>
      <c r="G34" s="6"/>
      <c r="H34" s="6"/>
      <c r="I34" s="9" t="str">
        <f>IF(OR(B34="",E34=""),"",E34-D34)</f>
        <v/>
      </c>
      <c r="J34" s="9" t="str">
        <f>IF(B34="","",F34*D34)</f>
        <v/>
      </c>
      <c r="K34" s="8" t="str">
        <f>IF(OR(B34="",H34=""),"",IF(F34&lt;=H34,"À commander","OK"))</f>
        <v/>
      </c>
    </row>
    <row r="35">
      <c r="A35" s="4"/>
      <c r="B35" s="4"/>
      <c r="C35" s="4"/>
      <c r="D35" s="26"/>
      <c r="E35" s="26"/>
      <c r="F35" s="28" t="str">
        <f>IF(B35="","",G35+SUMIFS('Entrées de stock'!$C:$C,'Entrées de stock'!$B:$B,B35)-SUMIFS('Ventes du jour'!$C:$C,'Ventes du jour'!$B:$B,B35))</f>
        <v/>
      </c>
      <c r="G35" s="6"/>
      <c r="H35" s="6"/>
      <c r="I35" s="9" t="str">
        <f>IF(OR(B35="",E35=""),"",E35-D35)</f>
        <v/>
      </c>
      <c r="J35" s="9" t="str">
        <f>IF(B35="","",F35*D35)</f>
        <v/>
      </c>
      <c r="K35" s="8" t="str">
        <f>IF(OR(B35="",H35=""),"",IF(F35&lt;=H35,"À commander","OK"))</f>
        <v/>
      </c>
    </row>
    <row r="36">
      <c r="A36" s="4"/>
      <c r="B36" s="4"/>
      <c r="C36" s="4"/>
      <c r="D36" s="26"/>
      <c r="E36" s="26"/>
      <c r="F36" s="28" t="str">
        <f>IF(B36="","",G36+SUMIFS('Entrées de stock'!$C:$C,'Entrées de stock'!$B:$B,B36)-SUMIFS('Ventes du jour'!$C:$C,'Ventes du jour'!$B:$B,B36))</f>
        <v/>
      </c>
      <c r="G36" s="6"/>
      <c r="H36" s="6"/>
      <c r="I36" s="9" t="str">
        <f>IF(OR(B36="",E36=""),"",E36-D36)</f>
        <v/>
      </c>
      <c r="J36" s="9" t="str">
        <f>IF(B36="","",F36*D36)</f>
        <v/>
      </c>
      <c r="K36" s="8" t="str">
        <f>IF(OR(B36="",H36=""),"",IF(F36&lt;=H36,"À commander","OK"))</f>
        <v/>
      </c>
    </row>
    <row r="37">
      <c r="A37" s="4"/>
      <c r="B37" s="4"/>
      <c r="C37" s="4"/>
      <c r="D37" s="26"/>
      <c r="E37" s="26"/>
      <c r="F37" s="28" t="str">
        <f>IF(B37="","",G37+SUMIFS('Entrées de stock'!$C:$C,'Entrées de stock'!$B:$B,B37)-SUMIFS('Ventes du jour'!$C:$C,'Ventes du jour'!$B:$B,B37))</f>
        <v/>
      </c>
      <c r="G37" s="6"/>
      <c r="H37" s="6"/>
      <c r="I37" s="9" t="str">
        <f>IF(OR(B37="",E37=""),"",E37-D37)</f>
        <v/>
      </c>
      <c r="J37" s="9" t="str">
        <f>IF(B37="","",F37*D37)</f>
        <v/>
      </c>
      <c r="K37" s="8" t="str">
        <f>IF(OR(B37="",H37=""),"",IF(F37&lt;=H37,"À commander","OK"))</f>
        <v/>
      </c>
    </row>
    <row r="38">
      <c r="A38" s="4"/>
      <c r="B38" s="4"/>
      <c r="C38" s="4"/>
      <c r="D38" s="26"/>
      <c r="E38" s="26"/>
      <c r="F38" s="28" t="str">
        <f>IF(B38="","",G38+SUMIFS('Entrées de stock'!$C:$C,'Entrées de stock'!$B:$B,B38)-SUMIFS('Ventes du jour'!$C:$C,'Ventes du jour'!$B:$B,B38))</f>
        <v/>
      </c>
      <c r="G38" s="6"/>
      <c r="H38" s="6"/>
      <c r="I38" s="9" t="str">
        <f>IF(OR(B38="",E38=""),"",E38-D38)</f>
        <v/>
      </c>
      <c r="J38" s="9" t="str">
        <f>IF(B38="","",F38*D38)</f>
        <v/>
      </c>
      <c r="K38" s="8" t="str">
        <f>IF(OR(B38="",H38=""),"",IF(F38&lt;=H38,"À commander","OK"))</f>
        <v/>
      </c>
    </row>
    <row r="39">
      <c r="A39" s="4"/>
      <c r="B39" s="4"/>
      <c r="C39" s="4"/>
      <c r="D39" s="26"/>
      <c r="E39" s="26"/>
      <c r="F39" s="28" t="str">
        <f>IF(B39="","",G39+SUMIFS('Entrées de stock'!$C:$C,'Entrées de stock'!$B:$B,B39)-SUMIFS('Ventes du jour'!$C:$C,'Ventes du jour'!$B:$B,B39))</f>
        <v/>
      </c>
      <c r="G39" s="6"/>
      <c r="H39" s="6"/>
      <c r="I39" s="9" t="str">
        <f>IF(OR(B39="",E39=""),"",E39-D39)</f>
        <v/>
      </c>
      <c r="J39" s="9" t="str">
        <f>IF(B39="","",F39*D39)</f>
        <v/>
      </c>
      <c r="K39" s="8" t="str">
        <f>IF(OR(B39="",H39=""),"",IF(F39&lt;=H39,"À commander","OK"))</f>
        <v/>
      </c>
    </row>
    <row r="40">
      <c r="A40" s="4"/>
      <c r="B40" s="4"/>
      <c r="C40" s="4"/>
      <c r="D40" s="26"/>
      <c r="E40" s="26"/>
      <c r="F40" s="28" t="str">
        <f>IF(B40="","",G40+SUMIFS('Entrées de stock'!$C:$C,'Entrées de stock'!$B:$B,B40)-SUMIFS('Ventes du jour'!$C:$C,'Ventes du jour'!$B:$B,B40))</f>
        <v/>
      </c>
      <c r="G40" s="6"/>
      <c r="H40" s="6"/>
      <c r="I40" s="9" t="str">
        <f>IF(OR(B40="",E40=""),"",E40-D40)</f>
        <v/>
      </c>
      <c r="J40" s="9" t="str">
        <f>IF(B40="","",F40*D40)</f>
        <v/>
      </c>
      <c r="K40" s="8" t="str">
        <f>IF(OR(B40="",H40=""),"",IF(F40&lt;=H40,"À commander","OK"))</f>
        <v/>
      </c>
    </row>
    <row r="41">
      <c r="A41" s="4"/>
      <c r="B41" s="4"/>
      <c r="C41" s="4"/>
      <c r="D41" s="26"/>
      <c r="E41" s="26"/>
      <c r="F41" s="28" t="str">
        <f>IF(B41="","",G41+SUMIFS('Entrées de stock'!$C:$C,'Entrées de stock'!$B:$B,B41)-SUMIFS('Ventes du jour'!$C:$C,'Ventes du jour'!$B:$B,B41))</f>
        <v/>
      </c>
      <c r="G41" s="6"/>
      <c r="H41" s="6"/>
      <c r="I41" s="9" t="str">
        <f>IF(OR(B41="",E41=""),"",E41-D41)</f>
        <v/>
      </c>
      <c r="J41" s="9" t="str">
        <f>IF(B41="","",F41*D41)</f>
        <v/>
      </c>
      <c r="K41" s="8" t="str">
        <f>IF(OR(B41="",H41=""),"",IF(F41&lt;=H41,"À commander","OK"))</f>
        <v/>
      </c>
    </row>
    <row r="42">
      <c r="A42" s="4"/>
      <c r="B42" s="4"/>
      <c r="C42" s="4"/>
      <c r="D42" s="26"/>
      <c r="E42" s="26"/>
      <c r="F42" s="28" t="str">
        <f>IF(B42="","",G42+SUMIFS('Entrées de stock'!$C:$C,'Entrées de stock'!$B:$B,B42)-SUMIFS('Ventes du jour'!$C:$C,'Ventes du jour'!$B:$B,B42))</f>
        <v/>
      </c>
      <c r="G42" s="6"/>
      <c r="H42" s="6"/>
      <c r="I42" s="9" t="str">
        <f>IF(OR(B42="",E42=""),"",E42-D42)</f>
        <v/>
      </c>
      <c r="J42" s="9" t="str">
        <f>IF(B42="","",F42*D42)</f>
        <v/>
      </c>
      <c r="K42" s="8" t="str">
        <f>IF(OR(B42="",H42=""),"",IF(F42&lt;=H42,"À commander","OK"))</f>
        <v/>
      </c>
    </row>
    <row r="43">
      <c r="A43" s="4"/>
      <c r="B43" s="4"/>
      <c r="C43" s="4"/>
      <c r="D43" s="26"/>
      <c r="E43" s="26"/>
      <c r="F43" s="28" t="str">
        <f>IF(B43="","",G43+SUMIFS('Entrées de stock'!$C:$C,'Entrées de stock'!$B:$B,B43)-SUMIFS('Ventes du jour'!$C:$C,'Ventes du jour'!$B:$B,B43))</f>
        <v/>
      </c>
      <c r="G43" s="6"/>
      <c r="H43" s="6"/>
      <c r="I43" s="9" t="str">
        <f>IF(OR(B43="",E43=""),"",E43-D43)</f>
        <v/>
      </c>
      <c r="J43" s="9" t="str">
        <f>IF(B43="","",F43*D43)</f>
        <v/>
      </c>
      <c r="K43" s="8" t="str">
        <f>IF(OR(B43="",H43=""),"",IF(F43&lt;=H43,"À commander","OK"))</f>
        <v/>
      </c>
    </row>
    <row r="44">
      <c r="A44" s="4"/>
      <c r="B44" s="4"/>
      <c r="C44" s="4"/>
      <c r="D44" s="26"/>
      <c r="E44" s="26"/>
      <c r="F44" s="28" t="str">
        <f>IF(B44="","",G44+SUMIFS('Entrées de stock'!$C:$C,'Entrées de stock'!$B:$B,B44)-SUMIFS('Ventes du jour'!$C:$C,'Ventes du jour'!$B:$B,B44))</f>
        <v/>
      </c>
      <c r="G44" s="6"/>
      <c r="H44" s="6"/>
      <c r="I44" s="9" t="str">
        <f>IF(OR(B44="",E44=""),"",E44-D44)</f>
        <v/>
      </c>
      <c r="J44" s="9" t="str">
        <f>IF(B44="","",F44*D44)</f>
        <v/>
      </c>
      <c r="K44" s="8" t="str">
        <f>IF(OR(B44="",H44=""),"",IF(F44&lt;=H44,"À commander","OK"))</f>
        <v/>
      </c>
    </row>
    <row r="45">
      <c r="A45" s="4"/>
      <c r="B45" s="4"/>
      <c r="C45" s="4"/>
      <c r="D45" s="26"/>
      <c r="E45" s="26"/>
      <c r="F45" s="28" t="str">
        <f>IF(B45="","",G45+SUMIFS('Entrées de stock'!$C:$C,'Entrées de stock'!$B:$B,B45)-SUMIFS('Ventes du jour'!$C:$C,'Ventes du jour'!$B:$B,B45))</f>
        <v/>
      </c>
      <c r="G45" s="6"/>
      <c r="H45" s="6"/>
      <c r="I45" s="9" t="str">
        <f>IF(OR(B45="",E45=""),"",E45-D45)</f>
        <v/>
      </c>
      <c r="J45" s="9" t="str">
        <f>IF(B45="","",F45*D45)</f>
        <v/>
      </c>
      <c r="K45" s="8" t="str">
        <f>IF(OR(B45="",H45=""),"",IF(F45&lt;=H45,"À commander","OK"))</f>
        <v/>
      </c>
    </row>
    <row r="46">
      <c r="A46" s="4"/>
      <c r="B46" s="4"/>
      <c r="C46" s="4"/>
      <c r="D46" s="26"/>
      <c r="E46" s="26"/>
      <c r="F46" s="28" t="str">
        <f>IF(B46="","",G46+SUMIFS('Entrées de stock'!$C:$C,'Entrées de stock'!$B:$B,B46)-SUMIFS('Ventes du jour'!$C:$C,'Ventes du jour'!$B:$B,B46))</f>
        <v/>
      </c>
      <c r="G46" s="6"/>
      <c r="H46" s="6"/>
      <c r="I46" s="9" t="str">
        <f>IF(OR(B46="",E46=""),"",E46-D46)</f>
        <v/>
      </c>
      <c r="J46" s="9" t="str">
        <f>IF(B46="","",F46*D46)</f>
        <v/>
      </c>
      <c r="K46" s="8" t="str">
        <f>IF(OR(B46="",H46=""),"",IF(F46&lt;=H46,"À commander","OK"))</f>
        <v/>
      </c>
    </row>
    <row r="47">
      <c r="A47" s="4"/>
      <c r="B47" s="4"/>
      <c r="C47" s="4"/>
      <c r="D47" s="26"/>
      <c r="E47" s="26"/>
      <c r="F47" s="28" t="str">
        <f>IF(B47="","",G47+SUMIFS('Entrées de stock'!$C:$C,'Entrées de stock'!$B:$B,B47)-SUMIFS('Ventes du jour'!$C:$C,'Ventes du jour'!$B:$B,B47))</f>
        <v/>
      </c>
      <c r="G47" s="6"/>
      <c r="H47" s="6"/>
      <c r="I47" s="9" t="str">
        <f>IF(OR(B47="",E47=""),"",E47-D47)</f>
        <v/>
      </c>
      <c r="J47" s="9" t="str">
        <f>IF(B47="","",F47*D47)</f>
        <v/>
      </c>
      <c r="K47" s="8" t="str">
        <f>IF(OR(B47="",H47=""),"",IF(F47&lt;=H47,"À commander","OK"))</f>
        <v/>
      </c>
    </row>
    <row r="48">
      <c r="A48" s="4"/>
      <c r="B48" s="4"/>
      <c r="C48" s="4"/>
      <c r="D48" s="26"/>
      <c r="E48" s="26"/>
      <c r="F48" s="28" t="str">
        <f>IF(B48="","",G48+SUMIFS('Entrées de stock'!$C:$C,'Entrées de stock'!$B:$B,B48)-SUMIFS('Ventes du jour'!$C:$C,'Ventes du jour'!$B:$B,B48))</f>
        <v/>
      </c>
      <c r="G48" s="6"/>
      <c r="H48" s="6"/>
      <c r="I48" s="9" t="str">
        <f>IF(OR(B48="",E48=""),"",E48-D48)</f>
        <v/>
      </c>
      <c r="J48" s="9" t="str">
        <f>IF(B48="","",F48*D48)</f>
        <v/>
      </c>
      <c r="K48" s="8" t="str">
        <f>IF(OR(B48="",H48=""),"",IF(F48&lt;=H48,"À commander","OK"))</f>
        <v/>
      </c>
    </row>
    <row r="49">
      <c r="A49" s="4"/>
      <c r="B49" s="4"/>
      <c r="C49" s="4"/>
      <c r="D49" s="26"/>
      <c r="E49" s="26"/>
      <c r="F49" s="28" t="str">
        <f>IF(B49="","",G49+SUMIFS('Entrées de stock'!$C:$C,'Entrées de stock'!$B:$B,B49)-SUMIFS('Ventes du jour'!$C:$C,'Ventes du jour'!$B:$B,B49))</f>
        <v/>
      </c>
      <c r="G49" s="6"/>
      <c r="H49" s="6"/>
      <c r="I49" s="9" t="str">
        <f>IF(OR(B49="",E49=""),"",E49-D49)</f>
        <v/>
      </c>
      <c r="J49" s="9" t="str">
        <f>IF(B49="","",F49*D49)</f>
        <v/>
      </c>
      <c r="K49" s="8" t="str">
        <f>IF(OR(B49="",H49=""),"",IF(F49&lt;=H49,"À commander","OK"))</f>
        <v/>
      </c>
    </row>
    <row r="50">
      <c r="A50" s="4"/>
      <c r="B50" s="4"/>
      <c r="C50" s="4"/>
      <c r="D50" s="26"/>
      <c r="E50" s="26"/>
      <c r="F50" s="28" t="str">
        <f>IF(B50="","",G50+SUMIFS('Entrées de stock'!$C:$C,'Entrées de stock'!$B:$B,B50)-SUMIFS('Ventes du jour'!$C:$C,'Ventes du jour'!$B:$B,B50))</f>
        <v/>
      </c>
      <c r="G50" s="6"/>
      <c r="H50" s="6"/>
      <c r="I50" s="9" t="str">
        <f>IF(OR(B50="",E50=""),"",E50-D50)</f>
        <v/>
      </c>
      <c r="J50" s="9" t="str">
        <f>IF(B50="","",F50*D50)</f>
        <v/>
      </c>
      <c r="K50" s="8" t="str">
        <f>IF(OR(B50="",H50=""),"",IF(F50&lt;=H50,"À commander","OK"))</f>
        <v/>
      </c>
    </row>
    <row r="51">
      <c r="A51" s="4"/>
      <c r="B51" s="4"/>
      <c r="C51" s="4"/>
      <c r="D51" s="26"/>
      <c r="E51" s="26"/>
      <c r="F51" s="28" t="str">
        <f>IF(B51="","",G51+SUMIFS('Entrées de stock'!$C:$C,'Entrées de stock'!$B:$B,B51)-SUMIFS('Ventes du jour'!$C:$C,'Ventes du jour'!$B:$B,B51))</f>
        <v/>
      </c>
      <c r="G51" s="6"/>
      <c r="H51" s="6"/>
      <c r="I51" s="9" t="str">
        <f>IF(OR(B51="",E51=""),"",E51-D51)</f>
        <v/>
      </c>
      <c r="J51" s="9" t="str">
        <f>IF(B51="","",F51*D51)</f>
        <v/>
      </c>
      <c r="K51" s="8" t="str">
        <f>IF(OR(B51="",H51=""),"",IF(F51&lt;=H51,"À commander","OK"))</f>
        <v/>
      </c>
    </row>
    <row r="52">
      <c r="A52" s="4"/>
      <c r="B52" s="4"/>
      <c r="C52" s="4"/>
      <c r="D52" s="26"/>
      <c r="E52" s="26"/>
      <c r="F52" s="28" t="str">
        <f>IF(B52="","",G52+SUMIFS('Entrées de stock'!$C:$C,'Entrées de stock'!$B:$B,B52)-SUMIFS('Ventes du jour'!$C:$C,'Ventes du jour'!$B:$B,B52))</f>
        <v/>
      </c>
      <c r="G52" s="6"/>
      <c r="H52" s="6"/>
      <c r="I52" s="9" t="str">
        <f>IF(OR(B52="",E52=""),"",E52-D52)</f>
        <v/>
      </c>
      <c r="J52" s="9" t="str">
        <f>IF(B52="","",F52*D52)</f>
        <v/>
      </c>
      <c r="K52" s="8" t="str">
        <f>IF(OR(B52="",H52=""),"",IF(F52&lt;=H52,"À commander","OK"))</f>
        <v/>
      </c>
    </row>
    <row r="53">
      <c r="A53" s="4"/>
      <c r="B53" s="4"/>
      <c r="C53" s="4"/>
      <c r="D53" s="26"/>
      <c r="E53" s="26"/>
      <c r="F53" s="28" t="str">
        <f>IF(B53="","",G53+SUMIFS('Entrées de stock'!$C:$C,'Entrées de stock'!$B:$B,B53)-SUMIFS('Ventes du jour'!$C:$C,'Ventes du jour'!$B:$B,B53))</f>
        <v/>
      </c>
      <c r="G53" s="6"/>
      <c r="H53" s="6"/>
      <c r="I53" s="9" t="str">
        <f>IF(OR(B53="",E53=""),"",E53-D53)</f>
        <v/>
      </c>
      <c r="J53" s="9" t="str">
        <f>IF(B53="","",F53*D53)</f>
        <v/>
      </c>
      <c r="K53" s="8" t="str">
        <f>IF(OR(B53="",H53=""),"",IF(F53&lt;=H53,"À commander","OK"))</f>
        <v/>
      </c>
    </row>
    <row r="54">
      <c r="A54" s="4"/>
      <c r="B54" s="4"/>
      <c r="C54" s="4"/>
      <c r="D54" s="26"/>
      <c r="E54" s="26"/>
      <c r="F54" s="28" t="str">
        <f>IF(B54="","",G54+SUMIFS('Entrées de stock'!$C:$C,'Entrées de stock'!$B:$B,B54)-SUMIFS('Ventes du jour'!$C:$C,'Ventes du jour'!$B:$B,B54))</f>
        <v/>
      </c>
      <c r="G54" s="6"/>
      <c r="H54" s="6"/>
      <c r="I54" s="9" t="str">
        <f>IF(OR(B54="",E54=""),"",E54-D54)</f>
        <v/>
      </c>
      <c r="J54" s="9" t="str">
        <f>IF(B54="","",F54*D54)</f>
        <v/>
      </c>
      <c r="K54" s="8" t="str">
        <f>IF(OR(B54="",H54=""),"",IF(F54&lt;=H54,"À commander","OK"))</f>
        <v/>
      </c>
    </row>
    <row r="55">
      <c r="A55" s="4"/>
      <c r="B55" s="4"/>
      <c r="C55" s="4"/>
      <c r="D55" s="26"/>
      <c r="E55" s="26"/>
      <c r="F55" s="28" t="str">
        <f>IF(B55="","",G55+SUMIFS('Entrées de stock'!$C:$C,'Entrées de stock'!$B:$B,B55)-SUMIFS('Ventes du jour'!$C:$C,'Ventes du jour'!$B:$B,B55))</f>
        <v/>
      </c>
      <c r="G55" s="6"/>
      <c r="H55" s="6"/>
      <c r="I55" s="9" t="str">
        <f>IF(OR(B55="",E55=""),"",E55-D55)</f>
        <v/>
      </c>
      <c r="J55" s="9" t="str">
        <f>IF(B55="","",F55*D55)</f>
        <v/>
      </c>
      <c r="K55" s="8" t="str">
        <f>IF(OR(B55="",H55=""),"",IF(F55&lt;=H55,"À commander","OK"))</f>
        <v/>
      </c>
    </row>
    <row r="56">
      <c r="A56" s="4"/>
      <c r="B56" s="4"/>
      <c r="C56" s="4"/>
      <c r="D56" s="26"/>
      <c r="E56" s="26"/>
      <c r="F56" s="28" t="str">
        <f>IF(B56="","",G56+SUMIFS('Entrées de stock'!$C:$C,'Entrées de stock'!$B:$B,B56)-SUMIFS('Ventes du jour'!$C:$C,'Ventes du jour'!$B:$B,B56))</f>
        <v/>
      </c>
      <c r="G56" s="6"/>
      <c r="H56" s="6"/>
      <c r="I56" s="9" t="str">
        <f>IF(OR(B56="",E56=""),"",E56-D56)</f>
        <v/>
      </c>
      <c r="J56" s="9" t="str">
        <f>IF(B56="","",F56*D56)</f>
        <v/>
      </c>
      <c r="K56" s="8" t="str">
        <f>IF(OR(B56="",H56=""),"",IF(F56&lt;=H56,"À commander","OK"))</f>
        <v/>
      </c>
    </row>
    <row r="57">
      <c r="A57" s="4"/>
      <c r="B57" s="4"/>
      <c r="C57" s="4"/>
      <c r="D57" s="26"/>
      <c r="E57" s="26"/>
      <c r="F57" s="28" t="str">
        <f>IF(B57="","",G57+SUMIFS('Entrées de stock'!$C:$C,'Entrées de stock'!$B:$B,B57)-SUMIFS('Ventes du jour'!$C:$C,'Ventes du jour'!$B:$B,B57))</f>
        <v/>
      </c>
      <c r="G57" s="6"/>
      <c r="H57" s="6"/>
      <c r="I57" s="9" t="str">
        <f>IF(OR(B57="",E57=""),"",E57-D57)</f>
        <v/>
      </c>
      <c r="J57" s="9" t="str">
        <f>IF(B57="","",F57*D57)</f>
        <v/>
      </c>
      <c r="K57" s="8" t="str">
        <f>IF(OR(B57="",H57=""),"",IF(F57&lt;=H57,"À commander","OK"))</f>
        <v/>
      </c>
    </row>
    <row r="58">
      <c r="A58" s="4"/>
      <c r="B58" s="4"/>
      <c r="C58" s="4"/>
      <c r="D58" s="26"/>
      <c r="E58" s="26"/>
      <c r="F58" s="28" t="str">
        <f>IF(B58="","",G58+SUMIFS('Entrées de stock'!$C:$C,'Entrées de stock'!$B:$B,B58)-SUMIFS('Ventes du jour'!$C:$C,'Ventes du jour'!$B:$B,B58))</f>
        <v/>
      </c>
      <c r="G58" s="6"/>
      <c r="H58" s="6"/>
      <c r="I58" s="9" t="str">
        <f>IF(OR(B58="",E58=""),"",E58-D58)</f>
        <v/>
      </c>
      <c r="J58" s="9" t="str">
        <f>IF(B58="","",F58*D58)</f>
        <v/>
      </c>
      <c r="K58" s="8" t="str">
        <f>IF(OR(B58="",H58=""),"",IF(F58&lt;=H58,"À commander","OK"))</f>
        <v/>
      </c>
    </row>
    <row r="59">
      <c r="A59" s="4"/>
      <c r="B59" s="4"/>
      <c r="C59" s="4"/>
      <c r="D59" s="26"/>
      <c r="E59" s="26"/>
      <c r="F59" s="28" t="str">
        <f>IF(B59="","",G59+SUMIFS('Entrées de stock'!$C:$C,'Entrées de stock'!$B:$B,B59)-SUMIFS('Ventes du jour'!$C:$C,'Ventes du jour'!$B:$B,B59))</f>
        <v/>
      </c>
      <c r="G59" s="6"/>
      <c r="H59" s="6"/>
      <c r="I59" s="9" t="str">
        <f>IF(OR(B59="",E59=""),"",E59-D59)</f>
        <v/>
      </c>
      <c r="J59" s="9" t="str">
        <f>IF(B59="","",F59*D59)</f>
        <v/>
      </c>
      <c r="K59" s="8" t="str">
        <f>IF(OR(B59="",H59=""),"",IF(F59&lt;=H59,"À commander","OK"))</f>
        <v/>
      </c>
    </row>
    <row r="60">
      <c r="A60" s="4"/>
      <c r="B60" s="4"/>
      <c r="C60" s="4"/>
      <c r="D60" s="26"/>
      <c r="E60" s="26"/>
      <c r="F60" s="28" t="str">
        <f>IF(B60="","",G60+SUMIFS('Entrées de stock'!$C:$C,'Entrées de stock'!$B:$B,B60)-SUMIFS('Ventes du jour'!$C:$C,'Ventes du jour'!$B:$B,B60))</f>
        <v/>
      </c>
      <c r="G60" s="6"/>
      <c r="H60" s="6"/>
      <c r="I60" s="9" t="str">
        <f>IF(OR(B60="",E60=""),"",E60-D60)</f>
        <v/>
      </c>
      <c r="J60" s="9" t="str">
        <f>IF(B60="","",F60*D60)</f>
        <v/>
      </c>
      <c r="K60" s="8" t="str">
        <f>IF(OR(B60="",H60=""),"",IF(F60&lt;=H60,"À commander","OK"))</f>
        <v/>
      </c>
    </row>
    <row r="61">
      <c r="A61" s="4"/>
      <c r="B61" s="4"/>
      <c r="C61" s="4"/>
      <c r="D61" s="26"/>
      <c r="E61" s="26"/>
      <c r="F61" s="28" t="str">
        <f>IF(B61="","",G61+SUMIFS('Entrées de stock'!$C:$C,'Entrées de stock'!$B:$B,B61)-SUMIFS('Ventes du jour'!$C:$C,'Ventes du jour'!$B:$B,B61))</f>
        <v/>
      </c>
      <c r="G61" s="6"/>
      <c r="H61" s="6"/>
      <c r="I61" s="9" t="str">
        <f>IF(OR(B61="",E61=""),"",E61-D61)</f>
        <v/>
      </c>
      <c r="J61" s="9" t="str">
        <f>IF(B61="","",F61*D61)</f>
        <v/>
      </c>
      <c r="K61" s="8" t="str">
        <f>IF(OR(B61="",H61=""),"",IF(F61&lt;=H61,"À commander","OK"))</f>
        <v/>
      </c>
    </row>
    <row r="62">
      <c r="A62" s="4"/>
      <c r="B62" s="4"/>
      <c r="C62" s="4"/>
      <c r="D62" s="26"/>
      <c r="E62" s="26"/>
      <c r="F62" s="28" t="str">
        <f>IF(B62="","",G62+SUMIFS('Entrées de stock'!$C:$C,'Entrées de stock'!$B:$B,B62)-SUMIFS('Ventes du jour'!$C:$C,'Ventes du jour'!$B:$B,B62))</f>
        <v/>
      </c>
      <c r="G62" s="6"/>
      <c r="H62" s="6"/>
      <c r="I62" s="9" t="str">
        <f>IF(OR(B62="",E62=""),"",E62-D62)</f>
        <v/>
      </c>
      <c r="J62" s="9" t="str">
        <f>IF(B62="","",F62*D62)</f>
        <v/>
      </c>
      <c r="K62" s="8" t="str">
        <f>IF(OR(B62="",H62=""),"",IF(F62&lt;=H62,"À commander","OK"))</f>
        <v/>
      </c>
    </row>
    <row r="63">
      <c r="A63" s="4"/>
      <c r="B63" s="4"/>
      <c r="C63" s="4"/>
      <c r="D63" s="26"/>
      <c r="E63" s="26"/>
      <c r="F63" s="28" t="str">
        <f>IF(B63="","",G63+SUMIFS('Entrées de stock'!$C:$C,'Entrées de stock'!$B:$B,B63)-SUMIFS('Ventes du jour'!$C:$C,'Ventes du jour'!$B:$B,B63))</f>
        <v/>
      </c>
      <c r="G63" s="6"/>
      <c r="H63" s="6"/>
      <c r="I63" s="9" t="str">
        <f>IF(OR(B63="",E63=""),"",E63-D63)</f>
        <v/>
      </c>
      <c r="J63" s="9" t="str">
        <f>IF(B63="","",F63*D63)</f>
        <v/>
      </c>
      <c r="K63" s="8" t="str">
        <f>IF(OR(B63="",H63=""),"",IF(F63&lt;=H63,"À commander","OK"))</f>
        <v/>
      </c>
    </row>
    <row r="64">
      <c r="A64" s="4"/>
      <c r="B64" s="4"/>
      <c r="C64" s="4"/>
      <c r="D64" s="26"/>
      <c r="E64" s="26"/>
      <c r="F64" s="28" t="str">
        <f>IF(B64="","",G64+SUMIFS('Entrées de stock'!$C:$C,'Entrées de stock'!$B:$B,B64)-SUMIFS('Ventes du jour'!$C:$C,'Ventes du jour'!$B:$B,B64))</f>
        <v/>
      </c>
      <c r="G64" s="6"/>
      <c r="H64" s="6"/>
      <c r="I64" s="9" t="str">
        <f>IF(OR(B64="",E64=""),"",E64-D64)</f>
        <v/>
      </c>
      <c r="J64" s="9" t="str">
        <f>IF(B64="","",F64*D64)</f>
        <v/>
      </c>
      <c r="K64" s="8" t="str">
        <f>IF(OR(B64="",H64=""),"",IF(F64&lt;=H64,"À commander","OK"))</f>
        <v/>
      </c>
    </row>
    <row r="65">
      <c r="A65" s="4"/>
      <c r="B65" s="4"/>
      <c r="C65" s="4"/>
      <c r="D65" s="26"/>
      <c r="E65" s="26"/>
      <c r="F65" s="28" t="str">
        <f>IF(B65="","",G65+SUMIFS('Entrées de stock'!$C:$C,'Entrées de stock'!$B:$B,B65)-SUMIFS('Ventes du jour'!$C:$C,'Ventes du jour'!$B:$B,B65))</f>
        <v/>
      </c>
      <c r="G65" s="6"/>
      <c r="H65" s="6"/>
      <c r="I65" s="9" t="str">
        <f>IF(OR(B65="",E65=""),"",E65-D65)</f>
        <v/>
      </c>
      <c r="J65" s="9" t="str">
        <f>IF(B65="","",F65*D65)</f>
        <v/>
      </c>
      <c r="K65" s="8" t="str">
        <f>IF(OR(B65="",H65=""),"",IF(F65&lt;=H65,"À commander","OK"))</f>
        <v/>
      </c>
    </row>
    <row r="66">
      <c r="A66" s="4"/>
      <c r="B66" s="4"/>
      <c r="C66" s="4"/>
      <c r="D66" s="26"/>
      <c r="E66" s="26"/>
      <c r="F66" s="28" t="str">
        <f>IF(B66="","",G66+SUMIFS('Entrées de stock'!$C:$C,'Entrées de stock'!$B:$B,B66)-SUMIFS('Ventes du jour'!$C:$C,'Ventes du jour'!$B:$B,B66))</f>
        <v/>
      </c>
      <c r="G66" s="6"/>
      <c r="H66" s="6"/>
      <c r="I66" s="9" t="str">
        <f>IF(OR(B66="",E66=""),"",E66-D66)</f>
        <v/>
      </c>
      <c r="J66" s="9" t="str">
        <f>IF(B66="","",F66*D66)</f>
        <v/>
      </c>
      <c r="K66" s="8" t="str">
        <f>IF(OR(B66="",H66=""),"",IF(F66&lt;=H66,"À commander","OK"))</f>
        <v/>
      </c>
    </row>
    <row r="67">
      <c r="A67" s="4"/>
      <c r="B67" s="4"/>
      <c r="C67" s="4"/>
      <c r="D67" s="26"/>
      <c r="E67" s="26"/>
      <c r="F67" s="28" t="str">
        <f>IF(B67="","",G67+SUMIFS('Entrées de stock'!$C:$C,'Entrées de stock'!$B:$B,B67)-SUMIFS('Ventes du jour'!$C:$C,'Ventes du jour'!$B:$B,B67))</f>
        <v/>
      </c>
      <c r="G67" s="6"/>
      <c r="H67" s="6"/>
      <c r="I67" s="9" t="str">
        <f>IF(OR(B67="",E67=""),"",E67-D67)</f>
        <v/>
      </c>
      <c r="J67" s="9" t="str">
        <f>IF(B67="","",F67*D67)</f>
        <v/>
      </c>
      <c r="K67" s="8" t="str">
        <f>IF(OR(B67="",H67=""),"",IF(F67&lt;=H67,"À commander","OK"))</f>
        <v/>
      </c>
    </row>
    <row r="68">
      <c r="A68" s="4"/>
      <c r="B68" s="4"/>
      <c r="C68" s="4"/>
      <c r="D68" s="26"/>
      <c r="E68" s="26"/>
      <c r="F68" s="28" t="str">
        <f>IF(B68="","",G68+SUMIFS('Entrées de stock'!$C:$C,'Entrées de stock'!$B:$B,B68)-SUMIFS('Ventes du jour'!$C:$C,'Ventes du jour'!$B:$B,B68))</f>
        <v/>
      </c>
      <c r="G68" s="6"/>
      <c r="H68" s="6"/>
      <c r="I68" s="9" t="str">
        <f>IF(OR(B68="",E68=""),"",E68-D68)</f>
        <v/>
      </c>
      <c r="J68" s="9" t="str">
        <f>IF(B68="","",F68*D68)</f>
        <v/>
      </c>
      <c r="K68" s="8" t="str">
        <f>IF(OR(B68="",H68=""),"",IF(F68&lt;=H68,"À commander","OK"))</f>
        <v/>
      </c>
    </row>
    <row r="69">
      <c r="A69" s="4"/>
      <c r="B69" s="4"/>
      <c r="C69" s="4"/>
      <c r="D69" s="26"/>
      <c r="E69" s="26"/>
      <c r="F69" s="28" t="str">
        <f>IF(B69="","",G69+SUMIFS('Entrées de stock'!$C:$C,'Entrées de stock'!$B:$B,B69)-SUMIFS('Ventes du jour'!$C:$C,'Ventes du jour'!$B:$B,B69))</f>
        <v/>
      </c>
      <c r="G69" s="6"/>
      <c r="H69" s="6"/>
      <c r="I69" s="9" t="str">
        <f>IF(OR(B69="",E69=""),"",E69-D69)</f>
        <v/>
      </c>
      <c r="J69" s="9" t="str">
        <f>IF(B69="","",F69*D69)</f>
        <v/>
      </c>
      <c r="K69" s="8" t="str">
        <f>IF(OR(B69="",H69=""),"",IF(F69&lt;=H69,"À commander","OK"))</f>
        <v/>
      </c>
    </row>
    <row r="70">
      <c r="A70" s="4"/>
      <c r="B70" s="4"/>
      <c r="C70" s="4"/>
      <c r="D70" s="26"/>
      <c r="E70" s="26"/>
      <c r="F70" s="28" t="str">
        <f>IF(B70="","",G70+SUMIFS('Entrées de stock'!$C:$C,'Entrées de stock'!$B:$B,B70)-SUMIFS('Ventes du jour'!$C:$C,'Ventes du jour'!$B:$B,B70))</f>
        <v/>
      </c>
      <c r="G70" s="6"/>
      <c r="H70" s="6"/>
      <c r="I70" s="9" t="str">
        <f>IF(OR(B70="",E70=""),"",E70-D70)</f>
        <v/>
      </c>
      <c r="J70" s="9" t="str">
        <f>IF(B70="","",F70*D70)</f>
        <v/>
      </c>
      <c r="K70" s="8" t="str">
        <f>IF(OR(B70="",H70=""),"",IF(F70&lt;=H70,"À commander","OK"))</f>
        <v/>
      </c>
    </row>
    <row r="71">
      <c r="A71" s="4"/>
      <c r="B71" s="4"/>
      <c r="C71" s="4"/>
      <c r="D71" s="26"/>
      <c r="E71" s="26"/>
      <c r="F71" s="28" t="str">
        <f>IF(B71="","",G71+SUMIFS('Entrées de stock'!$C:$C,'Entrées de stock'!$B:$B,B71)-SUMIFS('Ventes du jour'!$C:$C,'Ventes du jour'!$B:$B,B71))</f>
        <v/>
      </c>
      <c r="G71" s="6"/>
      <c r="H71" s="6"/>
      <c r="I71" s="9" t="str">
        <f>IF(OR(B71="",E71=""),"",E71-D71)</f>
        <v/>
      </c>
      <c r="J71" s="9" t="str">
        <f>IF(B71="","",F71*D71)</f>
        <v/>
      </c>
      <c r="K71" s="8" t="str">
        <f>IF(OR(B71="",H71=""),"",IF(F71&lt;=H71,"À commander","OK"))</f>
        <v/>
      </c>
    </row>
    <row r="72">
      <c r="A72" s="4"/>
      <c r="B72" s="4"/>
      <c r="C72" s="4"/>
      <c r="D72" s="26"/>
      <c r="E72" s="26"/>
      <c r="F72" s="28" t="str">
        <f>IF(B72="","",G72+SUMIFS('Entrées de stock'!$C:$C,'Entrées de stock'!$B:$B,B72)-SUMIFS('Ventes du jour'!$C:$C,'Ventes du jour'!$B:$B,B72))</f>
        <v/>
      </c>
      <c r="G72" s="6"/>
      <c r="H72" s="6"/>
      <c r="I72" s="9" t="str">
        <f>IF(OR(B72="",E72=""),"",E72-D72)</f>
        <v/>
      </c>
      <c r="J72" s="9" t="str">
        <f>IF(B72="","",F72*D72)</f>
        <v/>
      </c>
      <c r="K72" s="8" t="str">
        <f>IF(OR(B72="",H72=""),"",IF(F72&lt;=H72,"À commander","OK"))</f>
        <v/>
      </c>
    </row>
    <row r="73">
      <c r="A73" s="4"/>
      <c r="B73" s="4"/>
      <c r="C73" s="4"/>
      <c r="D73" s="26"/>
      <c r="E73" s="26"/>
      <c r="F73" s="28" t="str">
        <f>IF(B73="","",G73+SUMIFS('Entrées de stock'!$C:$C,'Entrées de stock'!$B:$B,B73)-SUMIFS('Ventes du jour'!$C:$C,'Ventes du jour'!$B:$B,B73))</f>
        <v/>
      </c>
      <c r="G73" s="6"/>
      <c r="H73" s="6"/>
      <c r="I73" s="9" t="str">
        <f>IF(OR(B73="",E73=""),"",E73-D73)</f>
        <v/>
      </c>
      <c r="J73" s="9" t="str">
        <f>IF(B73="","",F73*D73)</f>
        <v/>
      </c>
      <c r="K73" s="8" t="str">
        <f>IF(OR(B73="",H73=""),"",IF(F73&lt;=H73,"À commander","OK"))</f>
        <v/>
      </c>
    </row>
    <row r="74">
      <c r="A74" s="4"/>
      <c r="B74" s="4"/>
      <c r="C74" s="4"/>
      <c r="D74" s="26"/>
      <c r="E74" s="26"/>
      <c r="F74" s="28" t="str">
        <f>IF(B74="","",G74+SUMIFS('Entrées de stock'!$C:$C,'Entrées de stock'!$B:$B,B74)-SUMIFS('Ventes du jour'!$C:$C,'Ventes du jour'!$B:$B,B74))</f>
        <v/>
      </c>
      <c r="G74" s="6"/>
      <c r="H74" s="6"/>
      <c r="I74" s="9" t="str">
        <f>IF(OR(B74="",E74=""),"",E74-D74)</f>
        <v/>
      </c>
      <c r="J74" s="9" t="str">
        <f>IF(B74="","",F74*D74)</f>
        <v/>
      </c>
      <c r="K74" s="8" t="str">
        <f>IF(OR(B74="",H74=""),"",IF(F74&lt;=H74,"À commander","OK"))</f>
        <v/>
      </c>
    </row>
    <row r="75">
      <c r="A75" s="4"/>
      <c r="B75" s="4"/>
      <c r="C75" s="4"/>
      <c r="D75" s="26"/>
      <c r="E75" s="26"/>
      <c r="F75" s="28" t="str">
        <f>IF(B75="","",G75+SUMIFS('Entrées de stock'!$C:$C,'Entrées de stock'!$B:$B,B75)-SUMIFS('Ventes du jour'!$C:$C,'Ventes du jour'!$B:$B,B75))</f>
        <v/>
      </c>
      <c r="G75" s="6"/>
      <c r="H75" s="6"/>
      <c r="I75" s="9" t="str">
        <f>IF(OR(B75="",E75=""),"",E75-D75)</f>
        <v/>
      </c>
      <c r="J75" s="9" t="str">
        <f>IF(B75="","",F75*D75)</f>
        <v/>
      </c>
      <c r="K75" s="8" t="str">
        <f>IF(OR(B75="",H75=""),"",IF(F75&lt;=H75,"À commander","OK"))</f>
        <v/>
      </c>
    </row>
    <row r="76">
      <c r="A76" s="4"/>
      <c r="B76" s="4"/>
      <c r="C76" s="4"/>
      <c r="D76" s="26"/>
      <c r="E76" s="26"/>
      <c r="F76" s="28" t="str">
        <f>IF(B76="","",G76+SUMIFS('Entrées de stock'!$C:$C,'Entrées de stock'!$B:$B,B76)-SUMIFS('Ventes du jour'!$C:$C,'Ventes du jour'!$B:$B,B76))</f>
        <v/>
      </c>
      <c r="G76" s="6"/>
      <c r="H76" s="6"/>
      <c r="I76" s="9" t="str">
        <f>IF(OR(B76="",E76=""),"",E76-D76)</f>
        <v/>
      </c>
      <c r="J76" s="9" t="str">
        <f>IF(B76="","",F76*D76)</f>
        <v/>
      </c>
      <c r="K76" s="8" t="str">
        <f>IF(OR(B76="",H76=""),"",IF(F76&lt;=H76,"À commander","OK"))</f>
        <v/>
      </c>
    </row>
    <row r="77">
      <c r="A77" s="4"/>
      <c r="B77" s="4"/>
      <c r="C77" s="4"/>
      <c r="D77" s="26"/>
      <c r="E77" s="26"/>
      <c r="F77" s="28" t="str">
        <f>IF(B77="","",G77+SUMIFS('Entrées de stock'!$C:$C,'Entrées de stock'!$B:$B,B77)-SUMIFS('Ventes du jour'!$C:$C,'Ventes du jour'!$B:$B,B77))</f>
        <v/>
      </c>
      <c r="G77" s="6"/>
      <c r="H77" s="6"/>
      <c r="I77" s="9" t="str">
        <f>IF(OR(B77="",E77=""),"",E77-D77)</f>
        <v/>
      </c>
      <c r="J77" s="9" t="str">
        <f>IF(B77="","",F77*D77)</f>
        <v/>
      </c>
      <c r="K77" s="8" t="str">
        <f>IF(OR(B77="",H77=""),"",IF(F77&lt;=H77,"À commander","OK"))</f>
        <v/>
      </c>
    </row>
    <row r="78">
      <c r="A78" s="4"/>
      <c r="B78" s="4"/>
      <c r="C78" s="4"/>
      <c r="D78" s="26"/>
      <c r="E78" s="26"/>
      <c r="F78" s="28" t="str">
        <f>IF(B78="","",G78+SUMIFS('Entrées de stock'!$C:$C,'Entrées de stock'!$B:$B,B78)-SUMIFS('Ventes du jour'!$C:$C,'Ventes du jour'!$B:$B,B78))</f>
        <v/>
      </c>
      <c r="G78" s="6"/>
      <c r="H78" s="6"/>
      <c r="I78" s="9" t="str">
        <f>IF(OR(B78="",E78=""),"",E78-D78)</f>
        <v/>
      </c>
      <c r="J78" s="9" t="str">
        <f>IF(B78="","",F78*D78)</f>
        <v/>
      </c>
      <c r="K78" s="8" t="str">
        <f>IF(OR(B78="",H78=""),"",IF(F78&lt;=H78,"À commander","OK"))</f>
        <v/>
      </c>
    </row>
    <row r="79">
      <c r="A79" s="4"/>
      <c r="B79" s="4"/>
      <c r="C79" s="4"/>
      <c r="D79" s="26"/>
      <c r="E79" s="26"/>
      <c r="F79" s="28" t="str">
        <f>IF(B79="","",G79+SUMIFS('Entrées de stock'!$C:$C,'Entrées de stock'!$B:$B,B79)-SUMIFS('Ventes du jour'!$C:$C,'Ventes du jour'!$B:$B,B79))</f>
        <v/>
      </c>
      <c r="G79" s="6"/>
      <c r="H79" s="6"/>
      <c r="I79" s="9" t="str">
        <f>IF(OR(B79="",E79=""),"",E79-D79)</f>
        <v/>
      </c>
      <c r="J79" s="9" t="str">
        <f>IF(B79="","",F79*D79)</f>
        <v/>
      </c>
      <c r="K79" s="8" t="str">
        <f>IF(OR(B79="",H79=""),"",IF(F79&lt;=H79,"À commander","OK"))</f>
        <v/>
      </c>
    </row>
    <row r="80">
      <c r="A80" s="4"/>
      <c r="B80" s="4"/>
      <c r="C80" s="4"/>
      <c r="D80" s="26"/>
      <c r="E80" s="26"/>
      <c r="F80" s="28" t="str">
        <f>IF(B80="","",G80+SUMIFS('Entrées de stock'!$C:$C,'Entrées de stock'!$B:$B,B80)-SUMIFS('Ventes du jour'!$C:$C,'Ventes du jour'!$B:$B,B80))</f>
        <v/>
      </c>
      <c r="G80" s="6"/>
      <c r="H80" s="6"/>
      <c r="I80" s="9" t="str">
        <f>IF(OR(B80="",E80=""),"",E80-D80)</f>
        <v/>
      </c>
      <c r="J80" s="9" t="str">
        <f>IF(B80="","",F80*D80)</f>
        <v/>
      </c>
      <c r="K80" s="8" t="str">
        <f>IF(OR(B80="",H80=""),"",IF(F80&lt;=H80,"À commander","OK"))</f>
        <v/>
      </c>
    </row>
    <row r="81">
      <c r="A81" s="4"/>
      <c r="B81" s="4"/>
      <c r="C81" s="4"/>
      <c r="D81" s="26"/>
      <c r="E81" s="26"/>
      <c r="F81" s="28" t="str">
        <f>IF(B81="","",G81+SUMIFS('Entrées de stock'!$C:$C,'Entrées de stock'!$B:$B,B81)-SUMIFS('Ventes du jour'!$C:$C,'Ventes du jour'!$B:$B,B81))</f>
        <v/>
      </c>
      <c r="G81" s="6"/>
      <c r="H81" s="6"/>
      <c r="I81" s="9" t="str">
        <f>IF(OR(B81="",E81=""),"",E81-D81)</f>
        <v/>
      </c>
      <c r="J81" s="9" t="str">
        <f>IF(B81="","",F81*D81)</f>
        <v/>
      </c>
      <c r="K81" s="8" t="str">
        <f>IF(OR(B81="",H81=""),"",IF(F81&lt;=H81,"À commander","OK"))</f>
        <v/>
      </c>
    </row>
    <row r="82">
      <c r="A82" s="4"/>
      <c r="B82" s="4"/>
      <c r="C82" s="4"/>
      <c r="D82" s="26"/>
      <c r="E82" s="26"/>
      <c r="F82" s="28" t="str">
        <f>IF(B82="","",G82+SUMIFS('Entrées de stock'!$C:$C,'Entrées de stock'!$B:$B,B82)-SUMIFS('Ventes du jour'!$C:$C,'Ventes du jour'!$B:$B,B82))</f>
        <v/>
      </c>
      <c r="G82" s="6"/>
      <c r="H82" s="6"/>
      <c r="I82" s="9" t="str">
        <f>IF(OR(B82="",E82=""),"",E82-D82)</f>
        <v/>
      </c>
      <c r="J82" s="9" t="str">
        <f>IF(B82="","",F82*D82)</f>
        <v/>
      </c>
      <c r="K82" s="8" t="str">
        <f>IF(OR(B82="",H82=""),"",IF(F82&lt;=H82,"À commander","OK"))</f>
        <v/>
      </c>
    </row>
    <row r="83">
      <c r="A83" s="4"/>
      <c r="B83" s="4"/>
      <c r="C83" s="4"/>
      <c r="D83" s="26"/>
      <c r="E83" s="26"/>
      <c r="F83" s="28" t="str">
        <f>IF(B83="","",G83+SUMIFS('Entrées de stock'!$C:$C,'Entrées de stock'!$B:$B,B83)-SUMIFS('Ventes du jour'!$C:$C,'Ventes du jour'!$B:$B,B83))</f>
        <v/>
      </c>
      <c r="G83" s="6"/>
      <c r="H83" s="6"/>
      <c r="I83" s="9" t="str">
        <f>IF(OR(B83="",E83=""),"",E83-D83)</f>
        <v/>
      </c>
      <c r="J83" s="9" t="str">
        <f>IF(B83="","",F83*D83)</f>
        <v/>
      </c>
      <c r="K83" s="8" t="str">
        <f>IF(OR(B83="",H83=""),"",IF(F83&lt;=H83,"À commander","OK"))</f>
        <v/>
      </c>
    </row>
    <row r="84">
      <c r="A84" s="4"/>
      <c r="B84" s="4"/>
      <c r="C84" s="4"/>
      <c r="D84" s="26"/>
      <c r="E84" s="26"/>
      <c r="F84" s="28" t="str">
        <f>IF(B84="","",G84+SUMIFS('Entrées de stock'!$C:$C,'Entrées de stock'!$B:$B,B84)-SUMIFS('Ventes du jour'!$C:$C,'Ventes du jour'!$B:$B,B84))</f>
        <v/>
      </c>
      <c r="G84" s="6"/>
      <c r="H84" s="6"/>
      <c r="I84" s="9" t="str">
        <f>IF(OR(B84="",E84=""),"",E84-D84)</f>
        <v/>
      </c>
      <c r="J84" s="9" t="str">
        <f>IF(B84="","",F84*D84)</f>
        <v/>
      </c>
      <c r="K84" s="8" t="str">
        <f>IF(OR(B84="",H84=""),"",IF(F84&lt;=H84,"À commander","OK"))</f>
        <v/>
      </c>
    </row>
    <row r="85">
      <c r="A85" s="4"/>
      <c r="B85" s="4"/>
      <c r="C85" s="4"/>
      <c r="D85" s="26"/>
      <c r="E85" s="26"/>
      <c r="F85" s="28" t="str">
        <f>IF(B85="","",G85+SUMIFS('Entrées de stock'!$C:$C,'Entrées de stock'!$B:$B,B85)-SUMIFS('Ventes du jour'!$C:$C,'Ventes du jour'!$B:$B,B85))</f>
        <v/>
      </c>
      <c r="G85" s="6"/>
      <c r="H85" s="6"/>
      <c r="I85" s="9" t="str">
        <f>IF(OR(B85="",E85=""),"",E85-D85)</f>
        <v/>
      </c>
      <c r="J85" s="9" t="str">
        <f>IF(B85="","",F85*D85)</f>
        <v/>
      </c>
      <c r="K85" s="8" t="str">
        <f>IF(OR(B85="",H85=""),"",IF(F85&lt;=H85,"À commander","OK"))</f>
        <v/>
      </c>
    </row>
    <row r="86">
      <c r="A86" s="4"/>
      <c r="B86" s="4"/>
      <c r="C86" s="4"/>
      <c r="D86" s="26"/>
      <c r="E86" s="26"/>
      <c r="F86" s="28" t="str">
        <f>IF(B86="","",G86+SUMIFS('Entrées de stock'!$C:$C,'Entrées de stock'!$B:$B,B86)-SUMIFS('Ventes du jour'!$C:$C,'Ventes du jour'!$B:$B,B86))</f>
        <v/>
      </c>
      <c r="G86" s="6"/>
      <c r="H86" s="6"/>
      <c r="I86" s="9" t="str">
        <f>IF(OR(B86="",E86=""),"",E86-D86)</f>
        <v/>
      </c>
      <c r="J86" s="9" t="str">
        <f>IF(B86="","",F86*D86)</f>
        <v/>
      </c>
      <c r="K86" s="8" t="str">
        <f>IF(OR(B86="",H86=""),"",IF(F86&lt;=H86,"À commander","OK"))</f>
        <v/>
      </c>
    </row>
    <row r="87">
      <c r="A87" s="4"/>
      <c r="B87" s="4"/>
      <c r="C87" s="4"/>
      <c r="D87" s="26"/>
      <c r="E87" s="26"/>
      <c r="F87" s="28" t="str">
        <f>IF(B87="","",G87+SUMIFS('Entrées de stock'!$C:$C,'Entrées de stock'!$B:$B,B87)-SUMIFS('Ventes du jour'!$C:$C,'Ventes du jour'!$B:$B,B87))</f>
        <v/>
      </c>
      <c r="G87" s="6"/>
      <c r="H87" s="6"/>
      <c r="I87" s="9" t="str">
        <f>IF(OR(B87="",E87=""),"",E87-D87)</f>
        <v/>
      </c>
      <c r="J87" s="9" t="str">
        <f>IF(B87="","",F87*D87)</f>
        <v/>
      </c>
      <c r="K87" s="8" t="str">
        <f>IF(OR(B87="",H87=""),"",IF(F87&lt;=H87,"À commander","OK"))</f>
        <v/>
      </c>
    </row>
    <row r="88">
      <c r="A88" s="4"/>
      <c r="B88" s="4"/>
      <c r="C88" s="4"/>
      <c r="D88" s="26"/>
      <c r="E88" s="26"/>
      <c r="F88" s="28" t="str">
        <f>IF(B88="","",G88+SUMIFS('Entrées de stock'!$C:$C,'Entrées de stock'!$B:$B,B88)-SUMIFS('Ventes du jour'!$C:$C,'Ventes du jour'!$B:$B,B88))</f>
        <v/>
      </c>
      <c r="G88" s="6"/>
      <c r="H88" s="6"/>
      <c r="I88" s="9" t="str">
        <f>IF(OR(B88="",E88=""),"",E88-D88)</f>
        <v/>
      </c>
      <c r="J88" s="9" t="str">
        <f>IF(B88="","",F88*D88)</f>
        <v/>
      </c>
      <c r="K88" s="8" t="str">
        <f>IF(OR(B88="",H88=""),"",IF(F88&lt;=H88,"À commander","OK"))</f>
        <v/>
      </c>
    </row>
    <row r="89">
      <c r="A89" s="4"/>
      <c r="B89" s="4"/>
      <c r="C89" s="4"/>
      <c r="D89" s="26"/>
      <c r="E89" s="26"/>
      <c r="F89" s="28" t="str">
        <f>IF(B89="","",G89+SUMIFS('Entrées de stock'!$C:$C,'Entrées de stock'!$B:$B,B89)-SUMIFS('Ventes du jour'!$C:$C,'Ventes du jour'!$B:$B,B89))</f>
        <v/>
      </c>
      <c r="G89" s="6"/>
      <c r="H89" s="6"/>
      <c r="I89" s="9" t="str">
        <f>IF(OR(B89="",E89=""),"",E89-D89)</f>
        <v/>
      </c>
      <c r="J89" s="9" t="str">
        <f>IF(B89="","",F89*D89)</f>
        <v/>
      </c>
      <c r="K89" s="8" t="str">
        <f>IF(OR(B89="",H89=""),"",IF(F89&lt;=H89,"À commander","OK"))</f>
        <v/>
      </c>
    </row>
    <row r="90">
      <c r="A90" s="4"/>
      <c r="B90" s="4"/>
      <c r="C90" s="4"/>
      <c r="D90" s="26"/>
      <c r="E90" s="26"/>
      <c r="F90" s="28" t="str">
        <f>IF(B90="","",G90+SUMIFS('Entrées de stock'!$C:$C,'Entrées de stock'!$B:$B,B90)-SUMIFS('Ventes du jour'!$C:$C,'Ventes du jour'!$B:$B,B90))</f>
        <v/>
      </c>
      <c r="G90" s="6"/>
      <c r="H90" s="6"/>
      <c r="I90" s="9" t="str">
        <f>IF(OR(B90="",E90=""),"",E90-D90)</f>
        <v/>
      </c>
      <c r="J90" s="9" t="str">
        <f>IF(B90="","",F90*D90)</f>
        <v/>
      </c>
      <c r="K90" s="8" t="str">
        <f>IF(OR(B90="",H90=""),"",IF(F90&lt;=H90,"À commander","OK"))</f>
        <v/>
      </c>
    </row>
    <row r="91">
      <c r="A91" s="4"/>
      <c r="B91" s="4"/>
      <c r="C91" s="4"/>
      <c r="D91" s="26"/>
      <c r="E91" s="26"/>
      <c r="F91" s="28" t="str">
        <f>IF(B91="","",G91+SUMIFS('Entrées de stock'!$C:$C,'Entrées de stock'!$B:$B,B91)-SUMIFS('Ventes du jour'!$C:$C,'Ventes du jour'!$B:$B,B91))</f>
        <v/>
      </c>
      <c r="G91" s="6"/>
      <c r="H91" s="6"/>
      <c r="I91" s="9" t="str">
        <f>IF(OR(B91="",E91=""),"",E91-D91)</f>
        <v/>
      </c>
      <c r="J91" s="9" t="str">
        <f>IF(B91="","",F91*D91)</f>
        <v/>
      </c>
      <c r="K91" s="8" t="str">
        <f>IF(OR(B91="",H91=""),"",IF(F91&lt;=H91,"À commander","OK"))</f>
        <v/>
      </c>
    </row>
    <row r="92">
      <c r="A92" s="4"/>
      <c r="B92" s="4"/>
      <c r="C92" s="4"/>
      <c r="D92" s="26"/>
      <c r="E92" s="26"/>
      <c r="F92" s="28" t="str">
        <f>IF(B92="","",G92+SUMIFS('Entrées de stock'!$C:$C,'Entrées de stock'!$B:$B,B92)-SUMIFS('Ventes du jour'!$C:$C,'Ventes du jour'!$B:$B,B92))</f>
        <v/>
      </c>
      <c r="G92" s="6"/>
      <c r="H92" s="6"/>
      <c r="I92" s="9" t="str">
        <f>IF(OR(B92="",E92=""),"",E92-D92)</f>
        <v/>
      </c>
      <c r="J92" s="9" t="str">
        <f>IF(B92="","",F92*D92)</f>
        <v/>
      </c>
      <c r="K92" s="8" t="str">
        <f>IF(OR(B92="",H92=""),"",IF(F92&lt;=H92,"À commander","OK"))</f>
        <v/>
      </c>
    </row>
    <row r="93">
      <c r="A93" s="4"/>
      <c r="B93" s="4"/>
      <c r="C93" s="4"/>
      <c r="D93" s="26"/>
      <c r="E93" s="26"/>
      <c r="F93" s="28" t="str">
        <f>IF(B93="","",G93+SUMIFS('Entrées de stock'!$C:$C,'Entrées de stock'!$B:$B,B93)-SUMIFS('Ventes du jour'!$C:$C,'Ventes du jour'!$B:$B,B93))</f>
        <v/>
      </c>
      <c r="G93" s="6"/>
      <c r="H93" s="6"/>
      <c r="I93" s="9" t="str">
        <f>IF(OR(B93="",E93=""),"",E93-D93)</f>
        <v/>
      </c>
      <c r="J93" s="9" t="str">
        <f>IF(B93="","",F93*D93)</f>
        <v/>
      </c>
      <c r="K93" s="8" t="str">
        <f>IF(OR(B93="",H93=""),"",IF(F93&lt;=H93,"À commander","OK"))</f>
        <v/>
      </c>
    </row>
    <row r="94">
      <c r="A94" s="4"/>
      <c r="B94" s="4"/>
      <c r="C94" s="4"/>
      <c r="D94" s="26"/>
      <c r="E94" s="26"/>
      <c r="F94" s="28" t="str">
        <f>IF(B94="","",G94+SUMIFS('Entrées de stock'!$C:$C,'Entrées de stock'!$B:$B,B94)-SUMIFS('Ventes du jour'!$C:$C,'Ventes du jour'!$B:$B,B94))</f>
        <v/>
      </c>
      <c r="G94" s="6"/>
      <c r="H94" s="6"/>
      <c r="I94" s="9" t="str">
        <f>IF(OR(B94="",E94=""),"",E94-D94)</f>
        <v/>
      </c>
      <c r="J94" s="9" t="str">
        <f>IF(B94="","",F94*D94)</f>
        <v/>
      </c>
      <c r="K94" s="8" t="str">
        <f>IF(OR(B94="",H94=""),"",IF(F94&lt;=H94,"À commander","OK"))</f>
        <v/>
      </c>
    </row>
    <row r="95">
      <c r="A95" s="4"/>
      <c r="B95" s="4"/>
      <c r="C95" s="4"/>
      <c r="D95" s="26"/>
      <c r="E95" s="26"/>
      <c r="F95" s="28" t="str">
        <f>IF(B95="","",G95+SUMIFS('Entrées de stock'!$C:$C,'Entrées de stock'!$B:$B,B95)-SUMIFS('Ventes du jour'!$C:$C,'Ventes du jour'!$B:$B,B95))</f>
        <v/>
      </c>
      <c r="G95" s="6"/>
      <c r="H95" s="6"/>
      <c r="I95" s="9" t="str">
        <f>IF(OR(B95="",E95=""),"",E95-D95)</f>
        <v/>
      </c>
      <c r="J95" s="9" t="str">
        <f>IF(B95="","",F95*D95)</f>
        <v/>
      </c>
      <c r="K95" s="8" t="str">
        <f>IF(OR(B95="",H95=""),"",IF(F95&lt;=H95,"À commander","OK"))</f>
        <v/>
      </c>
    </row>
    <row r="96">
      <c r="A96" s="4"/>
      <c r="B96" s="4"/>
      <c r="C96" s="4"/>
      <c r="D96" s="26"/>
      <c r="E96" s="26"/>
      <c r="F96" s="28" t="str">
        <f>IF(B96="","",G96+SUMIFS('Entrées de stock'!$C:$C,'Entrées de stock'!$B:$B,B96)-SUMIFS('Ventes du jour'!$C:$C,'Ventes du jour'!$B:$B,B96))</f>
        <v/>
      </c>
      <c r="G96" s="6"/>
      <c r="H96" s="6"/>
      <c r="I96" s="9" t="str">
        <f>IF(OR(B96="",E96=""),"",E96-D96)</f>
        <v/>
      </c>
      <c r="J96" s="9" t="str">
        <f>IF(B96="","",F96*D96)</f>
        <v/>
      </c>
      <c r="K96" s="8" t="str">
        <f>IF(OR(B96="",H96=""),"",IF(F96&lt;=H96,"À commander","OK"))</f>
        <v/>
      </c>
    </row>
    <row r="97">
      <c r="A97" s="4"/>
      <c r="B97" s="4"/>
      <c r="C97" s="4"/>
      <c r="D97" s="26"/>
      <c r="E97" s="26"/>
      <c r="F97" s="28" t="str">
        <f>IF(B97="","",G97+SUMIFS('Entrées de stock'!$C:$C,'Entrées de stock'!$B:$B,B97)-SUMIFS('Ventes du jour'!$C:$C,'Ventes du jour'!$B:$B,B97))</f>
        <v/>
      </c>
      <c r="G97" s="6"/>
      <c r="H97" s="6"/>
      <c r="I97" s="9" t="str">
        <f>IF(OR(B97="",E97=""),"",E97-D97)</f>
        <v/>
      </c>
      <c r="J97" s="9" t="str">
        <f>IF(B97="","",F97*D97)</f>
        <v/>
      </c>
      <c r="K97" s="8" t="str">
        <f>IF(OR(B97="",H97=""),"",IF(F97&lt;=H97,"À commander","OK"))</f>
        <v/>
      </c>
    </row>
    <row r="98">
      <c r="A98" s="4"/>
      <c r="B98" s="4"/>
      <c r="C98" s="4"/>
      <c r="D98" s="26"/>
      <c r="E98" s="26"/>
      <c r="F98" s="28" t="str">
        <f>IF(B98="","",G98+SUMIFS('Entrées de stock'!$C:$C,'Entrées de stock'!$B:$B,B98)-SUMIFS('Ventes du jour'!$C:$C,'Ventes du jour'!$B:$B,B98))</f>
        <v/>
      </c>
      <c r="G98" s="6"/>
      <c r="H98" s="6"/>
      <c r="I98" s="9" t="str">
        <f>IF(OR(B98="",E98=""),"",E98-D98)</f>
        <v/>
      </c>
      <c r="J98" s="9" t="str">
        <f>IF(B98="","",F98*D98)</f>
        <v/>
      </c>
      <c r="K98" s="8" t="str">
        <f>IF(OR(B98="",H98=""),"",IF(F98&lt;=H98,"À commander","OK"))</f>
        <v/>
      </c>
    </row>
    <row r="99">
      <c r="A99" s="4"/>
      <c r="B99" s="4"/>
      <c r="C99" s="4"/>
      <c r="D99" s="26"/>
      <c r="E99" s="26"/>
      <c r="F99" s="28" t="str">
        <f>IF(B99="","",G99+SUMIFS('Entrées de stock'!$C:$C,'Entrées de stock'!$B:$B,B99)-SUMIFS('Ventes du jour'!$C:$C,'Ventes du jour'!$B:$B,B99))</f>
        <v/>
      </c>
      <c r="G99" s="6"/>
      <c r="H99" s="6"/>
      <c r="I99" s="9" t="str">
        <f>IF(OR(B99="",E99=""),"",E99-D99)</f>
        <v/>
      </c>
      <c r="J99" s="9" t="str">
        <f>IF(B99="","",F99*D99)</f>
        <v/>
      </c>
      <c r="K99" s="8" t="str">
        <f>IF(OR(B99="",H99=""),"",IF(F99&lt;=H99,"À commander","OK"))</f>
        <v/>
      </c>
    </row>
    <row r="100">
      <c r="A100" s="4"/>
      <c r="B100" s="4"/>
      <c r="C100" s="4"/>
      <c r="D100" s="26"/>
      <c r="E100" s="26"/>
      <c r="F100" s="28" t="str">
        <f>IF(B100="","",G100+SUMIFS('Entrées de stock'!$C:$C,'Entrées de stock'!$B:$B,B100)-SUMIFS('Ventes du jour'!$C:$C,'Ventes du jour'!$B:$B,B100))</f>
        <v/>
      </c>
      <c r="G100" s="6"/>
      <c r="H100" s="6"/>
      <c r="I100" s="9" t="str">
        <f>IF(OR(B100="",E100=""),"",E100-D100)</f>
        <v/>
      </c>
      <c r="J100" s="9" t="str">
        <f>IF(B100="","",F100*D100)</f>
        <v/>
      </c>
      <c r="K100" s="8" t="str">
        <f>IF(OR(B100="",H100=""),"",IF(F100&lt;=H100,"À commander","OK"))</f>
        <v/>
      </c>
    </row>
    <row r="101">
      <c r="A101" s="4"/>
      <c r="B101" s="4"/>
      <c r="C101" s="4"/>
      <c r="D101" s="26"/>
      <c r="E101" s="26"/>
      <c r="F101" s="28" t="str">
        <f>IF(B101="","",G101+SUMIFS('Entrées de stock'!$C:$C,'Entrées de stock'!$B:$B,B101)-SUMIFS('Ventes du jour'!$C:$C,'Ventes du jour'!$B:$B,B101))</f>
        <v/>
      </c>
      <c r="G101" s="6"/>
      <c r="H101" s="6"/>
      <c r="I101" s="9" t="str">
        <f>IF(OR(B101="",E101=""),"",E101-D101)</f>
        <v/>
      </c>
      <c r="J101" s="9" t="str">
        <f>IF(B101="","",F101*D101)</f>
        <v/>
      </c>
      <c r="K101" s="8" t="str">
        <f>IF(OR(B101="",H101=""),"",IF(F101&lt;=H101,"À commander","OK"))</f>
        <v/>
      </c>
    </row>
    <row r="102">
      <c r="A102" s="4"/>
      <c r="B102" s="4"/>
      <c r="C102" s="4"/>
      <c r="D102" s="26"/>
      <c r="E102" s="26"/>
      <c r="F102" s="28" t="str">
        <f>IF(B102="","",G102+SUMIFS('Entrées de stock'!$C:$C,'Entrées de stock'!$B:$B,B102)-SUMIFS('Ventes du jour'!$C:$C,'Ventes du jour'!$B:$B,B102))</f>
        <v/>
      </c>
      <c r="G102" s="6"/>
      <c r="H102" s="6"/>
      <c r="I102" s="9" t="str">
        <f>IF(OR(B102="",E102=""),"",E102-D102)</f>
        <v/>
      </c>
      <c r="J102" s="9" t="str">
        <f>IF(B102="","",F102*D102)</f>
        <v/>
      </c>
      <c r="K102" s="8" t="str">
        <f>IF(OR(B102="",H102=""),"",IF(F102&lt;=H102,"À commander","OK"))</f>
        <v/>
      </c>
    </row>
    <row r="103">
      <c r="A103" s="4"/>
      <c r="B103" s="4"/>
      <c r="C103" s="4"/>
      <c r="D103" s="26"/>
      <c r="E103" s="26"/>
      <c r="F103" s="28" t="str">
        <f>IF(B103="","",G103+SUMIFS('Entrées de stock'!$C:$C,'Entrées de stock'!$B:$B,B103)-SUMIFS('Ventes du jour'!$C:$C,'Ventes du jour'!$B:$B,B103))</f>
        <v/>
      </c>
      <c r="G103" s="6"/>
      <c r="H103" s="6"/>
      <c r="I103" s="9" t="str">
        <f>IF(OR(B103="",E103=""),"",E103-D103)</f>
        <v/>
      </c>
      <c r="J103" s="9" t="str">
        <f>IF(B103="","",F103*D103)</f>
        <v/>
      </c>
      <c r="K103" s="8" t="str">
        <f>IF(OR(B103="",H103=""),"",IF(F103&lt;=H103,"À commander","OK"))</f>
        <v/>
      </c>
    </row>
    <row r="104">
      <c r="A104" s="4"/>
      <c r="B104" s="4"/>
      <c r="C104" s="4"/>
      <c r="D104" s="26"/>
      <c r="E104" s="26"/>
      <c r="F104" s="28" t="str">
        <f>IF(B104="","",G104+SUMIFS('Entrées de stock'!$C:$C,'Entrées de stock'!$B:$B,B104)-SUMIFS('Ventes du jour'!$C:$C,'Ventes du jour'!$B:$B,B104))</f>
        <v/>
      </c>
      <c r="G104" s="6"/>
      <c r="H104" s="6"/>
      <c r="I104" s="9" t="str">
        <f>IF(OR(B104="",E104=""),"",E104-D104)</f>
        <v/>
      </c>
      <c r="J104" s="9" t="str">
        <f>IF(B104="","",F104*D104)</f>
        <v/>
      </c>
      <c r="K104" s="8" t="str">
        <f>IF(OR(B104="",H104=""),"",IF(F104&lt;=H104,"À commander","OK"))</f>
        <v/>
      </c>
    </row>
    <row r="105">
      <c r="A105" s="4"/>
      <c r="B105" s="4"/>
      <c r="C105" s="4"/>
      <c r="D105" s="26"/>
      <c r="E105" s="26"/>
      <c r="F105" s="28" t="str">
        <f>IF(B105="","",G105+SUMIFS('Entrées de stock'!$C:$C,'Entrées de stock'!$B:$B,B105)-SUMIFS('Ventes du jour'!$C:$C,'Ventes du jour'!$B:$B,B105))</f>
        <v/>
      </c>
      <c r="G105" s="6"/>
      <c r="H105" s="6"/>
      <c r="I105" s="9" t="str">
        <f>IF(OR(B105="",E105=""),"",E105-D105)</f>
        <v/>
      </c>
      <c r="J105" s="9" t="str">
        <f>IF(B105="","",F105*D105)</f>
        <v/>
      </c>
      <c r="K105" s="8" t="str">
        <f>IF(OR(B105="",H105=""),"",IF(F105&lt;=H105,"À commander","OK"))</f>
        <v/>
      </c>
    </row>
    <row r="106">
      <c r="A106" s="4"/>
      <c r="B106" s="4"/>
      <c r="C106" s="4"/>
      <c r="D106" s="26"/>
      <c r="E106" s="26"/>
      <c r="F106" s="28" t="str">
        <f>IF(B106="","",G106+SUMIFS('Entrées de stock'!$C:$C,'Entrées de stock'!$B:$B,B106)-SUMIFS('Ventes du jour'!$C:$C,'Ventes du jour'!$B:$B,B106))</f>
        <v/>
      </c>
      <c r="G106" s="6"/>
      <c r="H106" s="6"/>
      <c r="I106" s="9" t="str">
        <f>IF(OR(B106="",E106=""),"",E106-D106)</f>
        <v/>
      </c>
      <c r="J106" s="9" t="str">
        <f>IF(B106="","",F106*D106)</f>
        <v/>
      </c>
      <c r="K106" s="8" t="str">
        <f>IF(OR(B106="",H106=""),"",IF(F106&lt;=H106,"À commander","OK"))</f>
        <v/>
      </c>
    </row>
    <row r="107">
      <c r="A107" s="4"/>
      <c r="B107" s="4"/>
      <c r="C107" s="4"/>
      <c r="D107" s="26"/>
      <c r="E107" s="26"/>
      <c r="F107" s="28" t="str">
        <f>IF(B107="","",G107+SUMIFS('Entrées de stock'!$C:$C,'Entrées de stock'!$B:$B,B107)-SUMIFS('Ventes du jour'!$C:$C,'Ventes du jour'!$B:$B,B107))</f>
        <v/>
      </c>
      <c r="G107" s="6"/>
      <c r="H107" s="6"/>
      <c r="I107" s="9" t="str">
        <f>IF(OR(B107="",E107=""),"",E107-D107)</f>
        <v/>
      </c>
      <c r="J107" s="9" t="str">
        <f>IF(B107="","",F107*D107)</f>
        <v/>
      </c>
      <c r="K107" s="8" t="str">
        <f>IF(OR(B107="",H107=""),"",IF(F107&lt;=H107,"À commander","OK"))</f>
        <v/>
      </c>
    </row>
    <row r="108">
      <c r="A108" s="4"/>
      <c r="B108" s="4"/>
      <c r="C108" s="4"/>
      <c r="D108" s="26"/>
      <c r="E108" s="26"/>
      <c r="F108" s="28" t="str">
        <f>IF(B108="","",G108+SUMIFS('Entrées de stock'!$C:$C,'Entrées de stock'!$B:$B,B108)-SUMIFS('Ventes du jour'!$C:$C,'Ventes du jour'!$B:$B,B108))</f>
        <v/>
      </c>
      <c r="G108" s="6"/>
      <c r="H108" s="6"/>
      <c r="I108" s="9" t="str">
        <f>IF(OR(B108="",E108=""),"",E108-D108)</f>
        <v/>
      </c>
      <c r="J108" s="9" t="str">
        <f>IF(B108="","",F108*D108)</f>
        <v/>
      </c>
      <c r="K108" s="8" t="str">
        <f>IF(OR(B108="",H108=""),"",IF(F108&lt;=H108,"À commander","OK"))</f>
        <v/>
      </c>
    </row>
    <row r="109">
      <c r="A109" s="4"/>
      <c r="B109" s="4"/>
      <c r="C109" s="4"/>
      <c r="D109" s="26"/>
      <c r="E109" s="26"/>
      <c r="F109" s="28" t="str">
        <f>IF(B109="","",G109+SUMIFS('Entrées de stock'!$C:$C,'Entrées de stock'!$B:$B,B109)-SUMIFS('Ventes du jour'!$C:$C,'Ventes du jour'!$B:$B,B109))</f>
        <v/>
      </c>
      <c r="G109" s="6"/>
      <c r="H109" s="6"/>
      <c r="I109" s="9" t="str">
        <f>IF(OR(B109="",E109=""),"",E109-D109)</f>
        <v/>
      </c>
      <c r="J109" s="9" t="str">
        <f>IF(B109="","",F109*D109)</f>
        <v/>
      </c>
      <c r="K109" s="8" t="str">
        <f>IF(OR(B109="",H109=""),"",IF(F109&lt;=H109,"À commander","OK"))</f>
        <v/>
      </c>
    </row>
    <row r="110">
      <c r="A110" s="4"/>
      <c r="B110" s="4"/>
      <c r="C110" s="4"/>
      <c r="D110" s="26"/>
      <c r="E110" s="26"/>
      <c r="F110" s="28" t="str">
        <f>IF(B110="","",G110+SUMIFS('Entrées de stock'!$C:$C,'Entrées de stock'!$B:$B,B110)-SUMIFS('Ventes du jour'!$C:$C,'Ventes du jour'!$B:$B,B110))</f>
        <v/>
      </c>
      <c r="G110" s="6"/>
      <c r="H110" s="6"/>
      <c r="I110" s="9" t="str">
        <f>IF(OR(B110="",E110=""),"",E110-D110)</f>
        <v/>
      </c>
      <c r="J110" s="9" t="str">
        <f>IF(B110="","",F110*D110)</f>
        <v/>
      </c>
      <c r="K110" s="8" t="str">
        <f>IF(OR(B110="",H110=""),"",IF(F110&lt;=H110,"À commander","OK"))</f>
        <v/>
      </c>
    </row>
    <row r="111">
      <c r="A111" s="4"/>
      <c r="B111" s="4"/>
      <c r="C111" s="4"/>
      <c r="D111" s="26"/>
      <c r="E111" s="26"/>
      <c r="F111" s="28" t="str">
        <f>IF(B111="","",G111+SUMIFS('Entrées de stock'!$C:$C,'Entrées de stock'!$B:$B,B111)-SUMIFS('Ventes du jour'!$C:$C,'Ventes du jour'!$B:$B,B111))</f>
        <v/>
      </c>
      <c r="G111" s="6"/>
      <c r="H111" s="6"/>
      <c r="I111" s="9" t="str">
        <f>IF(OR(B111="",E111=""),"",E111-D111)</f>
        <v/>
      </c>
      <c r="J111" s="9" t="str">
        <f>IF(B111="","",F111*D111)</f>
        <v/>
      </c>
      <c r="K111" s="8" t="str">
        <f>IF(OR(B111="",H111=""),"",IF(F111&lt;=H111,"À commander","OK"))</f>
        <v/>
      </c>
    </row>
    <row r="112">
      <c r="A112" s="4"/>
      <c r="B112" s="4"/>
      <c r="C112" s="4"/>
      <c r="D112" s="26"/>
      <c r="E112" s="26"/>
      <c r="F112" s="28" t="str">
        <f>IF(B112="","",G112+SUMIFS('Entrées de stock'!$C:$C,'Entrées de stock'!$B:$B,B112)-SUMIFS('Ventes du jour'!$C:$C,'Ventes du jour'!$B:$B,B112))</f>
        <v/>
      </c>
      <c r="G112" s="6"/>
      <c r="H112" s="6"/>
      <c r="I112" s="9" t="str">
        <f>IF(OR(B112="",E112=""),"",E112-D112)</f>
        <v/>
      </c>
      <c r="J112" s="9" t="str">
        <f>IF(B112="","",F112*D112)</f>
        <v/>
      </c>
      <c r="K112" s="8" t="str">
        <f>IF(OR(B112="",H112=""),"",IF(F112&lt;=H112,"À commander","OK"))</f>
        <v/>
      </c>
    </row>
    <row r="113">
      <c r="A113" s="4"/>
      <c r="B113" s="4"/>
      <c r="C113" s="4"/>
      <c r="D113" s="26"/>
      <c r="E113" s="26"/>
      <c r="F113" s="28" t="str">
        <f>IF(B113="","",G113+SUMIFS('Entrées de stock'!$C:$C,'Entrées de stock'!$B:$B,B113)-SUMIFS('Ventes du jour'!$C:$C,'Ventes du jour'!$B:$B,B113))</f>
        <v/>
      </c>
      <c r="G113" s="6"/>
      <c r="H113" s="6"/>
      <c r="I113" s="9" t="str">
        <f>IF(OR(B113="",E113=""),"",E113-D113)</f>
        <v/>
      </c>
      <c r="J113" s="9" t="str">
        <f>IF(B113="","",F113*D113)</f>
        <v/>
      </c>
      <c r="K113" s="8" t="str">
        <f>IF(OR(B113="",H113=""),"",IF(F113&lt;=H113,"À commander","OK"))</f>
        <v/>
      </c>
    </row>
    <row r="114">
      <c r="A114" s="4"/>
      <c r="B114" s="4"/>
      <c r="C114" s="4"/>
      <c r="D114" s="26"/>
      <c r="E114" s="26"/>
      <c r="F114" s="28" t="str">
        <f>IF(B114="","",G114+SUMIFS('Entrées de stock'!$C:$C,'Entrées de stock'!$B:$B,B114)-SUMIFS('Ventes du jour'!$C:$C,'Ventes du jour'!$B:$B,B114))</f>
        <v/>
      </c>
      <c r="G114" s="6"/>
      <c r="H114" s="6"/>
      <c r="I114" s="9" t="str">
        <f>IF(OR(B114="",E114=""),"",E114-D114)</f>
        <v/>
      </c>
      <c r="J114" s="9" t="str">
        <f>IF(B114="","",F114*D114)</f>
        <v/>
      </c>
      <c r="K114" s="8" t="str">
        <f>IF(OR(B114="",H114=""),"",IF(F114&lt;=H114,"À commander","OK"))</f>
        <v/>
      </c>
    </row>
    <row r="115">
      <c r="A115" s="4"/>
      <c r="B115" s="4"/>
      <c r="C115" s="4"/>
      <c r="D115" s="26"/>
      <c r="E115" s="26"/>
      <c r="F115" s="28" t="str">
        <f>IF(B115="","",G115+SUMIFS('Entrées de stock'!$C:$C,'Entrées de stock'!$B:$B,B115)-SUMIFS('Ventes du jour'!$C:$C,'Ventes du jour'!$B:$B,B115))</f>
        <v/>
      </c>
      <c r="G115" s="6"/>
      <c r="H115" s="6"/>
      <c r="I115" s="9" t="str">
        <f>IF(OR(B115="",E115=""),"",E115-D115)</f>
        <v/>
      </c>
      <c r="J115" s="9" t="str">
        <f>IF(B115="","",F115*D115)</f>
        <v/>
      </c>
      <c r="K115" s="8" t="str">
        <f>IF(OR(B115="",H115=""),"",IF(F115&lt;=H115,"À commander","OK"))</f>
        <v/>
      </c>
    </row>
    <row r="116">
      <c r="A116" s="4"/>
      <c r="B116" s="4"/>
      <c r="C116" s="4"/>
      <c r="D116" s="26"/>
      <c r="E116" s="26"/>
      <c r="F116" s="28" t="str">
        <f>IF(B116="","",G116+SUMIFS('Entrées de stock'!$C:$C,'Entrées de stock'!$B:$B,B116)-SUMIFS('Ventes du jour'!$C:$C,'Ventes du jour'!$B:$B,B116))</f>
        <v/>
      </c>
      <c r="G116" s="6"/>
      <c r="H116" s="6"/>
      <c r="I116" s="9" t="str">
        <f>IF(OR(B116="",E116=""),"",E116-D116)</f>
        <v/>
      </c>
      <c r="J116" s="9" t="str">
        <f>IF(B116="","",F116*D116)</f>
        <v/>
      </c>
      <c r="K116" s="8" t="str">
        <f>IF(OR(B116="",H116=""),"",IF(F116&lt;=H116,"À commander","OK"))</f>
        <v/>
      </c>
    </row>
    <row r="117">
      <c r="A117" s="4"/>
      <c r="B117" s="4"/>
      <c r="C117" s="4"/>
      <c r="D117" s="26"/>
      <c r="E117" s="26"/>
      <c r="F117" s="28" t="str">
        <f>IF(B117="","",G117+SUMIFS('Entrées de stock'!$C:$C,'Entrées de stock'!$B:$B,B117)-SUMIFS('Ventes du jour'!$C:$C,'Ventes du jour'!$B:$B,B117))</f>
        <v/>
      </c>
      <c r="G117" s="6"/>
      <c r="H117" s="6"/>
      <c r="I117" s="9" t="str">
        <f>IF(OR(B117="",E117=""),"",E117-D117)</f>
        <v/>
      </c>
      <c r="J117" s="9" t="str">
        <f>IF(B117="","",F117*D117)</f>
        <v/>
      </c>
      <c r="K117" s="8" t="str">
        <f>IF(OR(B117="",H117=""),"",IF(F117&lt;=H117,"À commander","OK"))</f>
        <v/>
      </c>
    </row>
    <row r="118">
      <c r="A118" s="4"/>
      <c r="B118" s="4"/>
      <c r="C118" s="4"/>
      <c r="D118" s="26"/>
      <c r="E118" s="26"/>
      <c r="F118" s="28" t="str">
        <f>IF(B118="","",G118+SUMIFS('Entrées de stock'!$C:$C,'Entrées de stock'!$B:$B,B118)-SUMIFS('Ventes du jour'!$C:$C,'Ventes du jour'!$B:$B,B118))</f>
        <v/>
      </c>
      <c r="G118" s="6"/>
      <c r="H118" s="6"/>
      <c r="I118" s="9" t="str">
        <f>IF(OR(B118="",E118=""),"",E118-D118)</f>
        <v/>
      </c>
      <c r="J118" s="9" t="str">
        <f>IF(B118="","",F118*D118)</f>
        <v/>
      </c>
      <c r="K118" s="8" t="str">
        <f>IF(OR(B118="",H118=""),"",IF(F118&lt;=H118,"À commander","OK"))</f>
        <v/>
      </c>
    </row>
    <row r="119">
      <c r="A119" s="4"/>
      <c r="B119" s="4"/>
      <c r="C119" s="4"/>
      <c r="D119" s="26"/>
      <c r="E119" s="26"/>
      <c r="F119" s="28" t="str">
        <f>IF(B119="","",G119+SUMIFS('Entrées de stock'!$C:$C,'Entrées de stock'!$B:$B,B119)-SUMIFS('Ventes du jour'!$C:$C,'Ventes du jour'!$B:$B,B119))</f>
        <v/>
      </c>
      <c r="G119" s="6"/>
      <c r="H119" s="6"/>
      <c r="I119" s="9" t="str">
        <f>IF(OR(B119="",E119=""),"",E119-D119)</f>
        <v/>
      </c>
      <c r="J119" s="9" t="str">
        <f>IF(B119="","",F119*D119)</f>
        <v/>
      </c>
      <c r="K119" s="8" t="str">
        <f>IF(OR(B119="",H119=""),"",IF(F119&lt;=H119,"À commander","OK"))</f>
        <v/>
      </c>
    </row>
    <row r="120">
      <c r="A120" s="4"/>
      <c r="B120" s="4"/>
      <c r="C120" s="4"/>
      <c r="D120" s="26"/>
      <c r="E120" s="26"/>
      <c r="F120" s="28" t="str">
        <f>IF(B120="","",G120+SUMIFS('Entrées de stock'!$C:$C,'Entrées de stock'!$B:$B,B120)-SUMIFS('Ventes du jour'!$C:$C,'Ventes du jour'!$B:$B,B120))</f>
        <v/>
      </c>
      <c r="G120" s="6"/>
      <c r="H120" s="6"/>
      <c r="I120" s="9" t="str">
        <f>IF(OR(B120="",E120=""),"",E120-D120)</f>
        <v/>
      </c>
      <c r="J120" s="9" t="str">
        <f>IF(B120="","",F120*D120)</f>
        <v/>
      </c>
      <c r="K120" s="8" t="str">
        <f>IF(OR(B120="",H120=""),"",IF(F120&lt;=H120,"À commander","OK"))</f>
        <v/>
      </c>
    </row>
    <row r="121">
      <c r="A121" s="4"/>
      <c r="B121" s="4"/>
      <c r="C121" s="4"/>
      <c r="D121" s="26"/>
      <c r="E121" s="26"/>
      <c r="F121" s="28" t="str">
        <f>IF(B121="","",G121+SUMIFS('Entrées de stock'!$C:$C,'Entrées de stock'!$B:$B,B121)-SUMIFS('Ventes du jour'!$C:$C,'Ventes du jour'!$B:$B,B121))</f>
        <v/>
      </c>
      <c r="G121" s="6"/>
      <c r="H121" s="6"/>
      <c r="I121" s="9" t="str">
        <f>IF(OR(B121="",E121=""),"",E121-D121)</f>
        <v/>
      </c>
      <c r="J121" s="9" t="str">
        <f>IF(B121="","",F121*D121)</f>
        <v/>
      </c>
      <c r="K121" s="8" t="str">
        <f>IF(OR(B121="",H121=""),"",IF(F121&lt;=H121,"À commander","OK"))</f>
        <v/>
      </c>
    </row>
    <row r="122">
      <c r="A122" s="4"/>
      <c r="B122" s="4"/>
      <c r="C122" s="4"/>
      <c r="D122" s="26"/>
      <c r="E122" s="26"/>
      <c r="F122" s="28" t="str">
        <f>IF(B122="","",G122+SUMIFS('Entrées de stock'!$C:$C,'Entrées de stock'!$B:$B,B122)-SUMIFS('Ventes du jour'!$C:$C,'Ventes du jour'!$B:$B,B122))</f>
        <v/>
      </c>
      <c r="G122" s="6"/>
      <c r="H122" s="6"/>
      <c r="I122" s="9" t="str">
        <f>IF(OR(B122="",E122=""),"",E122-D122)</f>
        <v/>
      </c>
      <c r="J122" s="9" t="str">
        <f>IF(B122="","",F122*D122)</f>
        <v/>
      </c>
      <c r="K122" s="8" t="str">
        <f>IF(OR(B122="",H122=""),"",IF(F122&lt;=H122,"À commander","OK"))</f>
        <v/>
      </c>
    </row>
    <row r="123">
      <c r="A123" s="4"/>
      <c r="B123" s="4"/>
      <c r="C123" s="4"/>
      <c r="D123" s="26"/>
      <c r="E123" s="26"/>
      <c r="F123" s="28" t="str">
        <f>IF(B123="","",G123+SUMIFS('Entrées de stock'!$C:$C,'Entrées de stock'!$B:$B,B123)-SUMIFS('Ventes du jour'!$C:$C,'Ventes du jour'!$B:$B,B123))</f>
        <v/>
      </c>
      <c r="G123" s="6"/>
      <c r="H123" s="6"/>
      <c r="I123" s="9" t="str">
        <f>IF(OR(B123="",E123=""),"",E123-D123)</f>
        <v/>
      </c>
      <c r="J123" s="9" t="str">
        <f>IF(B123="","",F123*D123)</f>
        <v/>
      </c>
      <c r="K123" s="8" t="str">
        <f>IF(OR(B123="",H123=""),"",IF(F123&lt;=H123,"À commander","OK"))</f>
        <v/>
      </c>
    </row>
    <row r="124">
      <c r="A124" s="4"/>
      <c r="B124" s="4"/>
      <c r="C124" s="4"/>
      <c r="D124" s="26"/>
      <c r="E124" s="26"/>
      <c r="F124" s="28" t="str">
        <f>IF(B124="","",G124+SUMIFS('Entrées de stock'!$C:$C,'Entrées de stock'!$B:$B,B124)-SUMIFS('Ventes du jour'!$C:$C,'Ventes du jour'!$B:$B,B124))</f>
        <v/>
      </c>
      <c r="G124" s="6"/>
      <c r="H124" s="6"/>
      <c r="I124" s="9" t="str">
        <f>IF(OR(B124="",E124=""),"",E124-D124)</f>
        <v/>
      </c>
      <c r="J124" s="9" t="str">
        <f>IF(B124="","",F124*D124)</f>
        <v/>
      </c>
      <c r="K124" s="8" t="str">
        <f>IF(OR(B124="",H124=""),"",IF(F124&lt;=H124,"À commander","OK"))</f>
        <v/>
      </c>
    </row>
    <row r="125">
      <c r="A125" s="4"/>
      <c r="B125" s="4"/>
      <c r="C125" s="4"/>
      <c r="D125" s="26"/>
      <c r="E125" s="26"/>
      <c r="F125" s="28" t="str">
        <f>IF(B125="","",G125+SUMIFS('Entrées de stock'!$C:$C,'Entrées de stock'!$B:$B,B125)-SUMIFS('Ventes du jour'!$C:$C,'Ventes du jour'!$B:$B,B125))</f>
        <v/>
      </c>
      <c r="G125" s="6"/>
      <c r="H125" s="6"/>
      <c r="I125" s="9" t="str">
        <f>IF(OR(B125="",E125=""),"",E125-D125)</f>
        <v/>
      </c>
      <c r="J125" s="9" t="str">
        <f>IF(B125="","",F125*D125)</f>
        <v/>
      </c>
      <c r="K125" s="8" t="str">
        <f>IF(OR(B125="",H125=""),"",IF(F125&lt;=H125,"À commander","OK"))</f>
        <v/>
      </c>
    </row>
    <row r="126">
      <c r="A126" s="4"/>
      <c r="B126" s="4"/>
      <c r="C126" s="4"/>
      <c r="D126" s="26"/>
      <c r="E126" s="26"/>
      <c r="F126" s="28" t="str">
        <f>IF(B126="","",G126+SUMIFS('Entrées de stock'!$C:$C,'Entrées de stock'!$B:$B,B126)-SUMIFS('Ventes du jour'!$C:$C,'Ventes du jour'!$B:$B,B126))</f>
        <v/>
      </c>
      <c r="G126" s="6"/>
      <c r="H126" s="6"/>
      <c r="I126" s="9" t="str">
        <f>IF(OR(B126="",E126=""),"",E126-D126)</f>
        <v/>
      </c>
      <c r="J126" s="9" t="str">
        <f>IF(B126="","",F126*D126)</f>
        <v/>
      </c>
      <c r="K126" s="8" t="str">
        <f>IF(OR(B126="",H126=""),"",IF(F126&lt;=H126,"À commander","OK"))</f>
        <v/>
      </c>
    </row>
    <row r="127">
      <c r="A127" s="4"/>
      <c r="B127" s="4"/>
      <c r="C127" s="4"/>
      <c r="D127" s="26"/>
      <c r="E127" s="26"/>
      <c r="F127" s="28" t="str">
        <f>IF(B127="","",G127+SUMIFS('Entrées de stock'!$C:$C,'Entrées de stock'!$B:$B,B127)-SUMIFS('Ventes du jour'!$C:$C,'Ventes du jour'!$B:$B,B127))</f>
        <v/>
      </c>
      <c r="G127" s="6"/>
      <c r="H127" s="6"/>
      <c r="I127" s="9" t="str">
        <f>IF(OR(B127="",E127=""),"",E127-D127)</f>
        <v/>
      </c>
      <c r="J127" s="9" t="str">
        <f>IF(B127="","",F127*D127)</f>
        <v/>
      </c>
      <c r="K127" s="8" t="str">
        <f>IF(OR(B127="",H127=""),"",IF(F127&lt;=H127,"À commander","OK"))</f>
        <v/>
      </c>
    </row>
    <row r="128">
      <c r="A128" s="4"/>
      <c r="B128" s="4"/>
      <c r="C128" s="4"/>
      <c r="D128" s="26"/>
      <c r="E128" s="26"/>
      <c r="F128" s="28" t="str">
        <f>IF(B128="","",G128+SUMIFS('Entrées de stock'!$C:$C,'Entrées de stock'!$B:$B,B128)-SUMIFS('Ventes du jour'!$C:$C,'Ventes du jour'!$B:$B,B128))</f>
        <v/>
      </c>
      <c r="G128" s="6"/>
      <c r="H128" s="6"/>
      <c r="I128" s="9" t="str">
        <f>IF(OR(B128="",E128=""),"",E128-D128)</f>
        <v/>
      </c>
      <c r="J128" s="9" t="str">
        <f>IF(B128="","",F128*D128)</f>
        <v/>
      </c>
      <c r="K128" s="8" t="str">
        <f>IF(OR(B128="",H128=""),"",IF(F128&lt;=H128,"À commander","OK"))</f>
        <v/>
      </c>
    </row>
    <row r="129">
      <c r="A129" s="4"/>
      <c r="B129" s="4"/>
      <c r="C129" s="4"/>
      <c r="D129" s="26"/>
      <c r="E129" s="26"/>
      <c r="F129" s="28" t="str">
        <f>IF(B129="","",G129+SUMIFS('Entrées de stock'!$C:$C,'Entrées de stock'!$B:$B,B129)-SUMIFS('Ventes du jour'!$C:$C,'Ventes du jour'!$B:$B,B129))</f>
        <v/>
      </c>
      <c r="G129" s="6"/>
      <c r="H129" s="6"/>
      <c r="I129" s="9" t="str">
        <f>IF(OR(B129="",E129=""),"",E129-D129)</f>
        <v/>
      </c>
      <c r="J129" s="9" t="str">
        <f>IF(B129="","",F129*D129)</f>
        <v/>
      </c>
      <c r="K129" s="8" t="str">
        <f>IF(OR(B129="",H129=""),"",IF(F129&lt;=H129,"À commander","OK"))</f>
        <v/>
      </c>
    </row>
    <row r="130">
      <c r="A130" s="4"/>
      <c r="B130" s="4"/>
      <c r="C130" s="4"/>
      <c r="D130" s="26"/>
      <c r="E130" s="26"/>
      <c r="F130" s="28" t="str">
        <f>IF(B130="","",G130+SUMIFS('Entrées de stock'!$C:$C,'Entrées de stock'!$B:$B,B130)-SUMIFS('Ventes du jour'!$C:$C,'Ventes du jour'!$B:$B,B130))</f>
        <v/>
      </c>
      <c r="G130" s="6"/>
      <c r="H130" s="6"/>
      <c r="I130" s="9" t="str">
        <f>IF(OR(B130="",E130=""),"",E130-D130)</f>
        <v/>
      </c>
      <c r="J130" s="9" t="str">
        <f>IF(B130="","",F130*D130)</f>
        <v/>
      </c>
      <c r="K130" s="8" t="str">
        <f>IF(OR(B130="",H130=""),"",IF(F130&lt;=H130,"À commander","OK"))</f>
        <v/>
      </c>
    </row>
    <row r="131">
      <c r="A131" s="4"/>
      <c r="B131" s="4"/>
      <c r="C131" s="4"/>
      <c r="D131" s="26"/>
      <c r="E131" s="26"/>
      <c r="F131" s="28" t="str">
        <f>IF(B131="","",G131+SUMIFS('Entrées de stock'!$C:$C,'Entrées de stock'!$B:$B,B131)-SUMIFS('Ventes du jour'!$C:$C,'Ventes du jour'!$B:$B,B131))</f>
        <v/>
      </c>
      <c r="G131" s="6"/>
      <c r="H131" s="6"/>
      <c r="I131" s="9" t="str">
        <f>IF(OR(B131="",E131=""),"",E131-D131)</f>
        <v/>
      </c>
      <c r="J131" s="9" t="str">
        <f>IF(B131="","",F131*D131)</f>
        <v/>
      </c>
      <c r="K131" s="8" t="str">
        <f>IF(OR(B131="",H131=""),"",IF(F131&lt;=H131,"À commander","OK"))</f>
        <v/>
      </c>
    </row>
    <row r="132">
      <c r="A132" s="4"/>
      <c r="B132" s="4"/>
      <c r="C132" s="4"/>
      <c r="D132" s="26"/>
      <c r="E132" s="26"/>
      <c r="F132" s="28" t="str">
        <f>IF(B132="","",G132+SUMIFS('Entrées de stock'!$C:$C,'Entrées de stock'!$B:$B,B132)-SUMIFS('Ventes du jour'!$C:$C,'Ventes du jour'!$B:$B,B132))</f>
        <v/>
      </c>
      <c r="G132" s="6"/>
      <c r="H132" s="6"/>
      <c r="I132" s="9" t="str">
        <f>IF(OR(B132="",E132=""),"",E132-D132)</f>
        <v/>
      </c>
      <c r="J132" s="9" t="str">
        <f>IF(B132="","",F132*D132)</f>
        <v/>
      </c>
      <c r="K132" s="8" t="str">
        <f>IF(OR(B132="",H132=""),"",IF(F132&lt;=H132,"À commander","OK"))</f>
        <v/>
      </c>
    </row>
    <row r="133">
      <c r="A133" s="4"/>
      <c r="B133" s="4"/>
      <c r="C133" s="4"/>
      <c r="D133" s="26"/>
      <c r="E133" s="26"/>
      <c r="F133" s="28" t="str">
        <f>IF(B133="","",G133+SUMIFS('Entrées de stock'!$C:$C,'Entrées de stock'!$B:$B,B133)-SUMIFS('Ventes du jour'!$C:$C,'Ventes du jour'!$B:$B,B133))</f>
        <v/>
      </c>
      <c r="G133" s="6"/>
      <c r="H133" s="6"/>
      <c r="I133" s="9" t="str">
        <f>IF(OR(B133="",E133=""),"",E133-D133)</f>
        <v/>
      </c>
      <c r="J133" s="9" t="str">
        <f>IF(B133="","",F133*D133)</f>
        <v/>
      </c>
      <c r="K133" s="8" t="str">
        <f>IF(OR(B133="",H133=""),"",IF(F133&lt;=H133,"À commander","OK"))</f>
        <v/>
      </c>
    </row>
    <row r="134">
      <c r="A134" s="4"/>
      <c r="B134" s="4"/>
      <c r="C134" s="4"/>
      <c r="D134" s="26"/>
      <c r="E134" s="26"/>
      <c r="F134" s="28" t="str">
        <f>IF(B134="","",G134+SUMIFS('Entrées de stock'!$C:$C,'Entrées de stock'!$B:$B,B134)-SUMIFS('Ventes du jour'!$C:$C,'Ventes du jour'!$B:$B,B134))</f>
        <v/>
      </c>
      <c r="G134" s="6"/>
      <c r="H134" s="6"/>
      <c r="I134" s="9" t="str">
        <f>IF(OR(B134="",E134=""),"",E134-D134)</f>
        <v/>
      </c>
      <c r="J134" s="9" t="str">
        <f>IF(B134="","",F134*D134)</f>
        <v/>
      </c>
      <c r="K134" s="8" t="str">
        <f>IF(OR(B134="",H134=""),"",IF(F134&lt;=H134,"À commander","OK"))</f>
        <v/>
      </c>
    </row>
    <row r="135">
      <c r="A135" s="4"/>
      <c r="B135" s="4"/>
      <c r="C135" s="4"/>
      <c r="D135" s="26"/>
      <c r="E135" s="26"/>
      <c r="F135" s="28" t="str">
        <f>IF(B135="","",G135+SUMIFS('Entrées de stock'!$C:$C,'Entrées de stock'!$B:$B,B135)-SUMIFS('Ventes du jour'!$C:$C,'Ventes du jour'!$B:$B,B135))</f>
        <v/>
      </c>
      <c r="G135" s="6"/>
      <c r="H135" s="6"/>
      <c r="I135" s="9" t="str">
        <f>IF(OR(B135="",E135=""),"",E135-D135)</f>
        <v/>
      </c>
      <c r="J135" s="9" t="str">
        <f>IF(B135="","",F135*D135)</f>
        <v/>
      </c>
      <c r="K135" s="8" t="str">
        <f>IF(OR(B135="",H135=""),"",IF(F135&lt;=H135,"À commander","OK"))</f>
        <v/>
      </c>
    </row>
    <row r="136">
      <c r="A136" s="4"/>
      <c r="B136" s="4"/>
      <c r="C136" s="4"/>
      <c r="D136" s="26"/>
      <c r="E136" s="26"/>
      <c r="F136" s="28" t="str">
        <f>IF(B136="","",G136+SUMIFS('Entrées de stock'!$C:$C,'Entrées de stock'!$B:$B,B136)-SUMIFS('Ventes du jour'!$C:$C,'Ventes du jour'!$B:$B,B136))</f>
        <v/>
      </c>
      <c r="G136" s="6"/>
      <c r="H136" s="6"/>
      <c r="I136" s="9" t="str">
        <f>IF(OR(B136="",E136=""),"",E136-D136)</f>
        <v/>
      </c>
      <c r="J136" s="9" t="str">
        <f>IF(B136="","",F136*D136)</f>
        <v/>
      </c>
      <c r="K136" s="8" t="str">
        <f>IF(OR(B136="",H136=""),"",IF(F136&lt;=H136,"À commander","OK"))</f>
        <v/>
      </c>
    </row>
    <row r="137">
      <c r="A137" s="4"/>
      <c r="B137" s="4"/>
      <c r="C137" s="4"/>
      <c r="D137" s="26"/>
      <c r="E137" s="26"/>
      <c r="F137" s="28" t="str">
        <f>IF(B137="","",G137+SUMIFS('Entrées de stock'!$C:$C,'Entrées de stock'!$B:$B,B137)-SUMIFS('Ventes du jour'!$C:$C,'Ventes du jour'!$B:$B,B137))</f>
        <v/>
      </c>
      <c r="G137" s="6"/>
      <c r="H137" s="6"/>
      <c r="I137" s="9" t="str">
        <f>IF(OR(B137="",E137=""),"",E137-D137)</f>
        <v/>
      </c>
      <c r="J137" s="9" t="str">
        <f>IF(B137="","",F137*D137)</f>
        <v/>
      </c>
      <c r="K137" s="8" t="str">
        <f>IF(OR(B137="",H137=""),"",IF(F137&lt;=H137,"À commander","OK"))</f>
        <v/>
      </c>
    </row>
    <row r="138">
      <c r="A138" s="4"/>
      <c r="B138" s="4"/>
      <c r="C138" s="4"/>
      <c r="D138" s="26"/>
      <c r="E138" s="26"/>
      <c r="F138" s="28" t="str">
        <f>IF(B138="","",G138+SUMIFS('Entrées de stock'!$C:$C,'Entrées de stock'!$B:$B,B138)-SUMIFS('Ventes du jour'!$C:$C,'Ventes du jour'!$B:$B,B138))</f>
        <v/>
      </c>
      <c r="G138" s="6"/>
      <c r="H138" s="6"/>
      <c r="I138" s="9" t="str">
        <f>IF(OR(B138="",E138=""),"",E138-D138)</f>
        <v/>
      </c>
      <c r="J138" s="9" t="str">
        <f>IF(B138="","",F138*D138)</f>
        <v/>
      </c>
      <c r="K138" s="8" t="str">
        <f>IF(OR(B138="",H138=""),"",IF(F138&lt;=H138,"À commander","OK"))</f>
        <v/>
      </c>
    </row>
    <row r="139">
      <c r="A139" s="4"/>
      <c r="B139" s="4"/>
      <c r="C139" s="4"/>
      <c r="D139" s="26"/>
      <c r="E139" s="26"/>
      <c r="F139" s="28" t="str">
        <f>IF(B139="","",G139+SUMIFS('Entrées de stock'!$C:$C,'Entrées de stock'!$B:$B,B139)-SUMIFS('Ventes du jour'!$C:$C,'Ventes du jour'!$B:$B,B139))</f>
        <v/>
      </c>
      <c r="G139" s="6"/>
      <c r="H139" s="6"/>
      <c r="I139" s="9" t="str">
        <f>IF(OR(B139="",E139=""),"",E139-D139)</f>
        <v/>
      </c>
      <c r="J139" s="9" t="str">
        <f>IF(B139="","",F139*D139)</f>
        <v/>
      </c>
      <c r="K139" s="8" t="str">
        <f>IF(OR(B139="",H139=""),"",IF(F139&lt;=H139,"À commander","OK"))</f>
        <v/>
      </c>
    </row>
    <row r="140">
      <c r="A140" s="4"/>
      <c r="B140" s="4"/>
      <c r="C140" s="4"/>
      <c r="D140" s="26"/>
      <c r="E140" s="26"/>
      <c r="F140" s="28" t="str">
        <f>IF(B140="","",G140+SUMIFS('Entrées de stock'!$C:$C,'Entrées de stock'!$B:$B,B140)-SUMIFS('Ventes du jour'!$C:$C,'Ventes du jour'!$B:$B,B140))</f>
        <v/>
      </c>
      <c r="G140" s="6"/>
      <c r="H140" s="6"/>
      <c r="I140" s="9" t="str">
        <f>IF(OR(B140="",E140=""),"",E140-D140)</f>
        <v/>
      </c>
      <c r="J140" s="9" t="str">
        <f>IF(B140="","",F140*D140)</f>
        <v/>
      </c>
      <c r="K140" s="8" t="str">
        <f>IF(OR(B140="",H140=""),"",IF(F140&lt;=H140,"À commander","OK"))</f>
        <v/>
      </c>
    </row>
    <row r="141">
      <c r="A141" s="4"/>
      <c r="B141" s="4"/>
      <c r="C141" s="4"/>
      <c r="D141" s="26"/>
      <c r="E141" s="26"/>
      <c r="F141" s="28" t="str">
        <f>IF(B141="","",G141+SUMIFS('Entrées de stock'!$C:$C,'Entrées de stock'!$B:$B,B141)-SUMIFS('Ventes du jour'!$C:$C,'Ventes du jour'!$B:$B,B141))</f>
        <v/>
      </c>
      <c r="G141" s="6"/>
      <c r="H141" s="6"/>
      <c r="I141" s="9" t="str">
        <f>IF(OR(B141="",E141=""),"",E141-D141)</f>
        <v/>
      </c>
      <c r="J141" s="9" t="str">
        <f>IF(B141="","",F141*D141)</f>
        <v/>
      </c>
      <c r="K141" s="8" t="str">
        <f>IF(OR(B141="",H141=""),"",IF(F141&lt;=H141,"À commander","OK"))</f>
        <v/>
      </c>
    </row>
    <row r="142">
      <c r="A142" s="4"/>
      <c r="B142" s="4"/>
      <c r="C142" s="4"/>
      <c r="D142" s="26"/>
      <c r="E142" s="26"/>
      <c r="F142" s="28" t="str">
        <f>IF(B142="","",G142+SUMIFS('Entrées de stock'!$C:$C,'Entrées de stock'!$B:$B,B142)-SUMIFS('Ventes du jour'!$C:$C,'Ventes du jour'!$B:$B,B142))</f>
        <v/>
      </c>
      <c r="G142" s="6"/>
      <c r="H142" s="6"/>
      <c r="I142" s="9" t="str">
        <f>IF(OR(B142="",E142=""),"",E142-D142)</f>
        <v/>
      </c>
      <c r="J142" s="9" t="str">
        <f>IF(B142="","",F142*D142)</f>
        <v/>
      </c>
      <c r="K142" s="8" t="str">
        <f>IF(OR(B142="",H142=""),"",IF(F142&lt;=H142,"À commander","OK"))</f>
        <v/>
      </c>
    </row>
    <row r="143">
      <c r="A143" s="4"/>
      <c r="B143" s="4"/>
      <c r="C143" s="4"/>
      <c r="D143" s="26"/>
      <c r="E143" s="26"/>
      <c r="F143" s="28" t="str">
        <f>IF(B143="","",G143+SUMIFS('Entrées de stock'!$C:$C,'Entrées de stock'!$B:$B,B143)-SUMIFS('Ventes du jour'!$C:$C,'Ventes du jour'!$B:$B,B143))</f>
        <v/>
      </c>
      <c r="G143" s="6"/>
      <c r="H143" s="6"/>
      <c r="I143" s="9" t="str">
        <f>IF(OR(B143="",E143=""),"",E143-D143)</f>
        <v/>
      </c>
      <c r="J143" s="9" t="str">
        <f>IF(B143="","",F143*D143)</f>
        <v/>
      </c>
      <c r="K143" s="8" t="str">
        <f>IF(OR(B143="",H143=""),"",IF(F143&lt;=H143,"À commander","OK"))</f>
        <v/>
      </c>
    </row>
    <row r="144">
      <c r="A144" s="4"/>
      <c r="B144" s="4"/>
      <c r="C144" s="4"/>
      <c r="D144" s="26"/>
      <c r="E144" s="26"/>
      <c r="F144" s="28" t="str">
        <f>IF(B144="","",G144+SUMIFS('Entrées de stock'!$C:$C,'Entrées de stock'!$B:$B,B144)-SUMIFS('Ventes du jour'!$C:$C,'Ventes du jour'!$B:$B,B144))</f>
        <v/>
      </c>
      <c r="G144" s="6"/>
      <c r="H144" s="6"/>
      <c r="I144" s="9" t="str">
        <f>IF(OR(B144="",E144=""),"",E144-D144)</f>
        <v/>
      </c>
      <c r="J144" s="9" t="str">
        <f>IF(B144="","",F144*D144)</f>
        <v/>
      </c>
      <c r="K144" s="8" t="str">
        <f>IF(OR(B144="",H144=""),"",IF(F144&lt;=H144,"À commander","OK"))</f>
        <v/>
      </c>
    </row>
    <row r="145">
      <c r="A145" s="4"/>
      <c r="B145" s="4"/>
      <c r="C145" s="4"/>
      <c r="D145" s="26"/>
      <c r="E145" s="26"/>
      <c r="F145" s="28" t="str">
        <f>IF(B145="","",G145+SUMIFS('Entrées de stock'!$C:$C,'Entrées de stock'!$B:$B,B145)-SUMIFS('Ventes du jour'!$C:$C,'Ventes du jour'!$B:$B,B145))</f>
        <v/>
      </c>
      <c r="G145" s="6"/>
      <c r="H145" s="6"/>
      <c r="I145" s="9" t="str">
        <f>IF(OR(B145="",E145=""),"",E145-D145)</f>
        <v/>
      </c>
      <c r="J145" s="9" t="str">
        <f>IF(B145="","",F145*D145)</f>
        <v/>
      </c>
      <c r="K145" s="8" t="str">
        <f>IF(OR(B145="",H145=""),"",IF(F145&lt;=H145,"À commander","OK"))</f>
        <v/>
      </c>
    </row>
    <row r="146">
      <c r="A146" s="4"/>
      <c r="B146" s="4"/>
      <c r="C146" s="4"/>
      <c r="D146" s="26"/>
      <c r="E146" s="26"/>
      <c r="F146" s="28" t="str">
        <f>IF(B146="","",G146+SUMIFS('Entrées de stock'!$C:$C,'Entrées de stock'!$B:$B,B146)-SUMIFS('Ventes du jour'!$C:$C,'Ventes du jour'!$B:$B,B146))</f>
        <v/>
      </c>
      <c r="G146" s="6"/>
      <c r="H146" s="6"/>
      <c r="I146" s="9" t="str">
        <f>IF(OR(B146="",E146=""),"",E146-D146)</f>
        <v/>
      </c>
      <c r="J146" s="9" t="str">
        <f>IF(B146="","",F146*D146)</f>
        <v/>
      </c>
      <c r="K146" s="8" t="str">
        <f>IF(OR(B146="",H146=""),"",IF(F146&lt;=H146,"À commander","OK"))</f>
        <v/>
      </c>
    </row>
    <row r="147">
      <c r="A147" s="4"/>
      <c r="B147" s="4"/>
      <c r="C147" s="4"/>
      <c r="D147" s="26"/>
      <c r="E147" s="26"/>
      <c r="F147" s="28" t="str">
        <f>IF(B147="","",G147+SUMIFS('Entrées de stock'!$C:$C,'Entrées de stock'!$B:$B,B147)-SUMIFS('Ventes du jour'!$C:$C,'Ventes du jour'!$B:$B,B147))</f>
        <v/>
      </c>
      <c r="G147" s="6"/>
      <c r="H147" s="6"/>
      <c r="I147" s="9" t="str">
        <f>IF(OR(B147="",E147=""),"",E147-D147)</f>
        <v/>
      </c>
      <c r="J147" s="9" t="str">
        <f>IF(B147="","",F147*D147)</f>
        <v/>
      </c>
      <c r="K147" s="8" t="str">
        <f>IF(OR(B147="",H147=""),"",IF(F147&lt;=H147,"À commander","OK"))</f>
        <v/>
      </c>
    </row>
    <row r="148">
      <c r="A148" s="4"/>
      <c r="B148" s="4"/>
      <c r="C148" s="4"/>
      <c r="D148" s="26"/>
      <c r="E148" s="26"/>
      <c r="F148" s="28" t="str">
        <f>IF(B148="","",G148+SUMIFS('Entrées de stock'!$C:$C,'Entrées de stock'!$B:$B,B148)-SUMIFS('Ventes du jour'!$C:$C,'Ventes du jour'!$B:$B,B148))</f>
        <v/>
      </c>
      <c r="G148" s="6"/>
      <c r="H148" s="6"/>
      <c r="I148" s="9" t="str">
        <f>IF(OR(B148="",E148=""),"",E148-D148)</f>
        <v/>
      </c>
      <c r="J148" s="9" t="str">
        <f>IF(B148="","",F148*D148)</f>
        <v/>
      </c>
      <c r="K148" s="8" t="str">
        <f>IF(OR(B148="",H148=""),"",IF(F148&lt;=H148,"À commander","OK"))</f>
        <v/>
      </c>
    </row>
    <row r="149">
      <c r="A149" s="4"/>
      <c r="B149" s="4"/>
      <c r="C149" s="4"/>
      <c r="D149" s="26"/>
      <c r="E149" s="26"/>
      <c r="F149" s="28" t="str">
        <f>IF(B149="","",G149+SUMIFS('Entrées de stock'!$C:$C,'Entrées de stock'!$B:$B,B149)-SUMIFS('Ventes du jour'!$C:$C,'Ventes du jour'!$B:$B,B149))</f>
        <v/>
      </c>
      <c r="G149" s="6"/>
      <c r="H149" s="6"/>
      <c r="I149" s="9" t="str">
        <f>IF(OR(B149="",E149=""),"",E149-D149)</f>
        <v/>
      </c>
      <c r="J149" s="9" t="str">
        <f>IF(B149="","",F149*D149)</f>
        <v/>
      </c>
      <c r="K149" s="8" t="str">
        <f>IF(OR(B149="",H149=""),"",IF(F149&lt;=H149,"À commander","OK"))</f>
        <v/>
      </c>
    </row>
    <row r="150">
      <c r="A150" s="4"/>
      <c r="B150" s="4"/>
      <c r="C150" s="4"/>
      <c r="D150" s="26"/>
      <c r="E150" s="26"/>
      <c r="F150" s="28" t="str">
        <f>IF(B150="","",G150+SUMIFS('Entrées de stock'!$C:$C,'Entrées de stock'!$B:$B,B150)-SUMIFS('Ventes du jour'!$C:$C,'Ventes du jour'!$B:$B,B150))</f>
        <v/>
      </c>
      <c r="G150" s="6"/>
      <c r="H150" s="6"/>
      <c r="I150" s="9" t="str">
        <f>IF(OR(B150="",E150=""),"",E150-D150)</f>
        <v/>
      </c>
      <c r="J150" s="9" t="str">
        <f>IF(B150="","",F150*D150)</f>
        <v/>
      </c>
      <c r="K150" s="8" t="str">
        <f>IF(OR(B150="",H150=""),"",IF(F150&lt;=H150,"À commander","OK"))</f>
        <v/>
      </c>
    </row>
    <row r="151">
      <c r="A151" s="4"/>
      <c r="B151" s="4"/>
      <c r="C151" s="4"/>
      <c r="D151" s="26"/>
      <c r="E151" s="26"/>
      <c r="F151" s="28" t="str">
        <f>IF(B151="","",G151+SUMIFS('Entrées de stock'!$C:$C,'Entrées de stock'!$B:$B,B151)-SUMIFS('Ventes du jour'!$C:$C,'Ventes du jour'!$B:$B,B151))</f>
        <v/>
      </c>
      <c r="G151" s="6"/>
      <c r="H151" s="6"/>
      <c r="I151" s="9" t="str">
        <f>IF(OR(B151="",E151=""),"",E151-D151)</f>
        <v/>
      </c>
      <c r="J151" s="9" t="str">
        <f>IF(B151="","",F151*D151)</f>
        <v/>
      </c>
      <c r="K151" s="8" t="str">
        <f>IF(OR(B151="",H151=""),"",IF(F151&lt;=H151,"À commander","OK"))</f>
        <v/>
      </c>
    </row>
    <row r="152">
      <c r="A152" s="4"/>
      <c r="B152" s="4"/>
      <c r="C152" s="4"/>
      <c r="D152" s="26"/>
      <c r="E152" s="26"/>
      <c r="F152" s="28" t="str">
        <f>IF(B152="","",G152+SUMIFS('Entrées de stock'!$C:$C,'Entrées de stock'!$B:$B,B152)-SUMIFS('Ventes du jour'!$C:$C,'Ventes du jour'!$B:$B,B152))</f>
        <v/>
      </c>
      <c r="G152" s="6"/>
      <c r="H152" s="6"/>
      <c r="I152" s="9" t="str">
        <f>IF(OR(B152="",E152=""),"",E152-D152)</f>
        <v/>
      </c>
      <c r="J152" s="9" t="str">
        <f>IF(B152="","",F152*D152)</f>
        <v/>
      </c>
      <c r="K152" s="8" t="str">
        <f>IF(OR(B152="",H152=""),"",IF(F152&lt;=H152,"À commander","OK"))</f>
        <v/>
      </c>
    </row>
    <row r="153">
      <c r="A153" s="4"/>
      <c r="B153" s="4"/>
      <c r="C153" s="4"/>
      <c r="D153" s="26"/>
      <c r="E153" s="26"/>
      <c r="F153" s="28" t="str">
        <f>IF(B153="","",G153+SUMIFS('Entrées de stock'!$C:$C,'Entrées de stock'!$B:$B,B153)-SUMIFS('Ventes du jour'!$C:$C,'Ventes du jour'!$B:$B,B153))</f>
        <v/>
      </c>
      <c r="G153" s="6"/>
      <c r="H153" s="6"/>
      <c r="I153" s="9" t="str">
        <f>IF(OR(B153="",E153=""),"",E153-D153)</f>
        <v/>
      </c>
      <c r="J153" s="9" t="str">
        <f>IF(B153="","",F153*D153)</f>
        <v/>
      </c>
      <c r="K153" s="8" t="str">
        <f>IF(OR(B153="",H153=""),"",IF(F153&lt;=H153,"À commander","OK"))</f>
        <v/>
      </c>
    </row>
    <row r="154">
      <c r="A154" s="4"/>
      <c r="B154" s="4"/>
      <c r="C154" s="4"/>
      <c r="D154" s="26"/>
      <c r="E154" s="26"/>
      <c r="F154" s="28" t="str">
        <f>IF(B154="","",G154+SUMIFS('Entrées de stock'!$C:$C,'Entrées de stock'!$B:$B,B154)-SUMIFS('Ventes du jour'!$C:$C,'Ventes du jour'!$B:$B,B154))</f>
        <v/>
      </c>
      <c r="G154" s="6"/>
      <c r="H154" s="6"/>
      <c r="I154" s="9" t="str">
        <f>IF(OR(B154="",E154=""),"",E154-D154)</f>
        <v/>
      </c>
      <c r="J154" s="9" t="str">
        <f>IF(B154="","",F154*D154)</f>
        <v/>
      </c>
      <c r="K154" s="8" t="str">
        <f>IF(OR(B154="",H154=""),"",IF(F154&lt;=H154,"À commander","OK"))</f>
        <v/>
      </c>
    </row>
    <row r="155">
      <c r="A155" s="4"/>
      <c r="B155" s="4"/>
      <c r="C155" s="4"/>
      <c r="D155" s="26"/>
      <c r="E155" s="26"/>
      <c r="F155" s="28" t="str">
        <f>IF(B155="","",G155+SUMIFS('Entrées de stock'!$C:$C,'Entrées de stock'!$B:$B,B155)-SUMIFS('Ventes du jour'!$C:$C,'Ventes du jour'!$B:$B,B155))</f>
        <v/>
      </c>
      <c r="G155" s="6"/>
      <c r="H155" s="6"/>
      <c r="I155" s="9" t="str">
        <f>IF(OR(B155="",E155=""),"",E155-D155)</f>
        <v/>
      </c>
      <c r="J155" s="9" t="str">
        <f>IF(B155="","",F155*D155)</f>
        <v/>
      </c>
      <c r="K155" s="8" t="str">
        <f>IF(OR(B155="",H155=""),"",IF(F155&lt;=H155,"À commander","OK"))</f>
        <v/>
      </c>
    </row>
    <row r="156">
      <c r="A156" s="4"/>
      <c r="B156" s="4"/>
      <c r="C156" s="4"/>
      <c r="D156" s="26"/>
      <c r="E156" s="26"/>
      <c r="F156" s="28" t="str">
        <f>IF(B156="","",G156+SUMIFS('Entrées de stock'!$C:$C,'Entrées de stock'!$B:$B,B156)-SUMIFS('Ventes du jour'!$C:$C,'Ventes du jour'!$B:$B,B156))</f>
        <v/>
      </c>
      <c r="G156" s="6"/>
      <c r="H156" s="6"/>
      <c r="I156" s="9" t="str">
        <f>IF(OR(B156="",E156=""),"",E156-D156)</f>
        <v/>
      </c>
      <c r="J156" s="9" t="str">
        <f>IF(B156="","",F156*D156)</f>
        <v/>
      </c>
      <c r="K156" s="8" t="str">
        <f>IF(OR(B156="",H156=""),"",IF(F156&lt;=H156,"À commander","OK"))</f>
        <v/>
      </c>
    </row>
    <row r="157">
      <c r="A157" s="4"/>
      <c r="B157" s="4"/>
      <c r="C157" s="4"/>
      <c r="D157" s="26"/>
      <c r="E157" s="26"/>
      <c r="F157" s="28" t="str">
        <f>IF(B157="","",G157+SUMIFS('Entrées de stock'!$C:$C,'Entrées de stock'!$B:$B,B157)-SUMIFS('Ventes du jour'!$C:$C,'Ventes du jour'!$B:$B,B157))</f>
        <v/>
      </c>
      <c r="G157" s="6"/>
      <c r="H157" s="6"/>
      <c r="I157" s="9" t="str">
        <f>IF(OR(B157="",E157=""),"",E157-D157)</f>
        <v/>
      </c>
      <c r="J157" s="9" t="str">
        <f>IF(B157="","",F157*D157)</f>
        <v/>
      </c>
      <c r="K157" s="8" t="str">
        <f>IF(OR(B157="",H157=""),"",IF(F157&lt;=H157,"À commander","OK"))</f>
        <v/>
      </c>
    </row>
    <row r="158">
      <c r="A158" s="4"/>
      <c r="B158" s="4"/>
      <c r="C158" s="4"/>
      <c r="D158" s="26"/>
      <c r="E158" s="26"/>
      <c r="F158" s="28" t="str">
        <f>IF(B158="","",G158+SUMIFS('Entrées de stock'!$C:$C,'Entrées de stock'!$B:$B,B158)-SUMIFS('Ventes du jour'!$C:$C,'Ventes du jour'!$B:$B,B158))</f>
        <v/>
      </c>
      <c r="G158" s="6"/>
      <c r="H158" s="6"/>
      <c r="I158" s="9" t="str">
        <f>IF(OR(B158="",E158=""),"",E158-D158)</f>
        <v/>
      </c>
      <c r="J158" s="9" t="str">
        <f>IF(B158="","",F158*D158)</f>
        <v/>
      </c>
      <c r="K158" s="8" t="str">
        <f>IF(OR(B158="",H158=""),"",IF(F158&lt;=H158,"À commander","OK"))</f>
        <v/>
      </c>
    </row>
    <row r="159">
      <c r="A159" s="4"/>
      <c r="B159" s="4"/>
      <c r="C159" s="4"/>
      <c r="D159" s="26"/>
      <c r="E159" s="26"/>
      <c r="F159" s="28" t="str">
        <f>IF(B159="","",G159+SUMIFS('Entrées de stock'!$C:$C,'Entrées de stock'!$B:$B,B159)-SUMIFS('Ventes du jour'!$C:$C,'Ventes du jour'!$B:$B,B159))</f>
        <v/>
      </c>
      <c r="G159" s="6"/>
      <c r="H159" s="6"/>
      <c r="I159" s="9" t="str">
        <f>IF(OR(B159="",E159=""),"",E159-D159)</f>
        <v/>
      </c>
      <c r="J159" s="9" t="str">
        <f>IF(B159="","",F159*D159)</f>
        <v/>
      </c>
      <c r="K159" s="8" t="str">
        <f>IF(OR(B159="",H159=""),"",IF(F159&lt;=H159,"À commander","OK"))</f>
        <v/>
      </c>
    </row>
    <row r="160">
      <c r="A160" s="4"/>
      <c r="B160" s="4"/>
      <c r="C160" s="4"/>
      <c r="D160" s="26"/>
      <c r="E160" s="26"/>
      <c r="F160" s="28" t="str">
        <f>IF(B160="","",G160+SUMIFS('Entrées de stock'!$C:$C,'Entrées de stock'!$B:$B,B160)-SUMIFS('Ventes du jour'!$C:$C,'Ventes du jour'!$B:$B,B160))</f>
        <v/>
      </c>
      <c r="G160" s="6"/>
      <c r="H160" s="6"/>
      <c r="I160" s="9" t="str">
        <f>IF(OR(B160="",E160=""),"",E160-D160)</f>
        <v/>
      </c>
      <c r="J160" s="9" t="str">
        <f>IF(B160="","",F160*D160)</f>
        <v/>
      </c>
      <c r="K160" s="8" t="str">
        <f>IF(OR(B160="",H160=""),"",IF(F160&lt;=H160,"À commander","OK"))</f>
        <v/>
      </c>
    </row>
    <row r="161">
      <c r="A161" s="4"/>
      <c r="B161" s="4"/>
      <c r="C161" s="4"/>
      <c r="D161" s="26"/>
      <c r="E161" s="26"/>
      <c r="F161" s="28" t="str">
        <f>IF(B161="","",G161+SUMIFS('Entrées de stock'!$C:$C,'Entrées de stock'!$B:$B,B161)-SUMIFS('Ventes du jour'!$C:$C,'Ventes du jour'!$B:$B,B161))</f>
        <v/>
      </c>
      <c r="G161" s="6"/>
      <c r="H161" s="6"/>
      <c r="I161" s="9" t="str">
        <f>IF(OR(B161="",E161=""),"",E161-D161)</f>
        <v/>
      </c>
      <c r="J161" s="9" t="str">
        <f>IF(B161="","",F161*D161)</f>
        <v/>
      </c>
      <c r="K161" s="8" t="str">
        <f>IF(OR(B161="",H161=""),"",IF(F161&lt;=H161,"À commander","OK"))</f>
        <v/>
      </c>
    </row>
    <row r="162">
      <c r="A162" s="4"/>
      <c r="B162" s="4"/>
      <c r="C162" s="4"/>
      <c r="D162" s="26"/>
      <c r="E162" s="26"/>
      <c r="F162" s="28" t="str">
        <f>IF(B162="","",G162+SUMIFS('Entrées de stock'!$C:$C,'Entrées de stock'!$B:$B,B162)-SUMIFS('Ventes du jour'!$C:$C,'Ventes du jour'!$B:$B,B162))</f>
        <v/>
      </c>
      <c r="G162" s="6"/>
      <c r="H162" s="6"/>
      <c r="I162" s="9" t="str">
        <f>IF(OR(B162="",E162=""),"",E162-D162)</f>
        <v/>
      </c>
      <c r="J162" s="9" t="str">
        <f>IF(B162="","",F162*D162)</f>
        <v/>
      </c>
      <c r="K162" s="8" t="str">
        <f>IF(OR(B162="",H162=""),"",IF(F162&lt;=H162,"À commander","OK"))</f>
        <v/>
      </c>
    </row>
    <row r="163">
      <c r="A163" s="4"/>
      <c r="B163" s="4"/>
      <c r="C163" s="4"/>
      <c r="D163" s="26"/>
      <c r="E163" s="26"/>
      <c r="F163" s="28" t="str">
        <f>IF(B163="","",G163+SUMIFS('Entrées de stock'!$C:$C,'Entrées de stock'!$B:$B,B163)-SUMIFS('Ventes du jour'!$C:$C,'Ventes du jour'!$B:$B,B163))</f>
        <v/>
      </c>
      <c r="G163" s="6"/>
      <c r="H163" s="6"/>
      <c r="I163" s="9" t="str">
        <f>IF(OR(B163="",E163=""),"",E163-D163)</f>
        <v/>
      </c>
      <c r="J163" s="9" t="str">
        <f>IF(B163="","",F163*D163)</f>
        <v/>
      </c>
      <c r="K163" s="8" t="str">
        <f>IF(OR(B163="",H163=""),"",IF(F163&lt;=H163,"À commander","OK"))</f>
        <v/>
      </c>
    </row>
    <row r="164">
      <c r="A164" s="4"/>
      <c r="B164" s="4"/>
      <c r="C164" s="4"/>
      <c r="D164" s="26"/>
      <c r="E164" s="26"/>
      <c r="F164" s="28" t="str">
        <f>IF(B164="","",G164+SUMIFS('Entrées de stock'!$C:$C,'Entrées de stock'!$B:$B,B164)-SUMIFS('Ventes du jour'!$C:$C,'Ventes du jour'!$B:$B,B164))</f>
        <v/>
      </c>
      <c r="G164" s="6"/>
      <c r="H164" s="6"/>
      <c r="I164" s="9" t="str">
        <f>IF(OR(B164="",E164=""),"",E164-D164)</f>
        <v/>
      </c>
      <c r="J164" s="9" t="str">
        <f>IF(B164="","",F164*D164)</f>
        <v/>
      </c>
      <c r="K164" s="8" t="str">
        <f>IF(OR(B164="",H164=""),"",IF(F164&lt;=H164,"À commander","OK"))</f>
        <v/>
      </c>
    </row>
    <row r="165">
      <c r="A165" s="4"/>
      <c r="B165" s="4"/>
      <c r="C165" s="4"/>
      <c r="D165" s="26"/>
      <c r="E165" s="26"/>
      <c r="F165" s="28" t="str">
        <f>IF(B165="","",G165+SUMIFS('Entrées de stock'!$C:$C,'Entrées de stock'!$B:$B,B165)-SUMIFS('Ventes du jour'!$C:$C,'Ventes du jour'!$B:$B,B165))</f>
        <v/>
      </c>
      <c r="G165" s="6"/>
      <c r="H165" s="6"/>
      <c r="I165" s="9" t="str">
        <f>IF(OR(B165="",E165=""),"",E165-D165)</f>
        <v/>
      </c>
      <c r="J165" s="9" t="str">
        <f>IF(B165="","",F165*D165)</f>
        <v/>
      </c>
      <c r="K165" s="8" t="str">
        <f>IF(OR(B165="",H165=""),"",IF(F165&lt;=H165,"À commander","OK"))</f>
        <v/>
      </c>
    </row>
    <row r="166">
      <c r="A166" s="4"/>
      <c r="B166" s="4"/>
      <c r="C166" s="4"/>
      <c r="D166" s="26"/>
      <c r="E166" s="26"/>
      <c r="F166" s="28" t="str">
        <f>IF(B166="","",G166+SUMIFS('Entrées de stock'!$C:$C,'Entrées de stock'!$B:$B,B166)-SUMIFS('Ventes du jour'!$C:$C,'Ventes du jour'!$B:$B,B166))</f>
        <v/>
      </c>
      <c r="G166" s="6"/>
      <c r="H166" s="6"/>
      <c r="I166" s="9" t="str">
        <f>IF(OR(B166="",E166=""),"",E166-D166)</f>
        <v/>
      </c>
      <c r="J166" s="9" t="str">
        <f>IF(B166="","",F166*D166)</f>
        <v/>
      </c>
      <c r="K166" s="8" t="str">
        <f>IF(OR(B166="",H166=""),"",IF(F166&lt;=H166,"À commander","OK"))</f>
        <v/>
      </c>
    </row>
    <row r="167">
      <c r="A167" s="4"/>
      <c r="B167" s="4"/>
      <c r="C167" s="4"/>
      <c r="D167" s="26"/>
      <c r="E167" s="26"/>
      <c r="F167" s="28" t="str">
        <f>IF(B167="","",G167+SUMIFS('Entrées de stock'!$C:$C,'Entrées de stock'!$B:$B,B167)-SUMIFS('Ventes du jour'!$C:$C,'Ventes du jour'!$B:$B,B167))</f>
        <v/>
      </c>
      <c r="G167" s="6"/>
      <c r="H167" s="6"/>
      <c r="I167" s="9" t="str">
        <f>IF(OR(B167="",E167=""),"",E167-D167)</f>
        <v/>
      </c>
      <c r="J167" s="9" t="str">
        <f>IF(B167="","",F167*D167)</f>
        <v/>
      </c>
      <c r="K167" s="8" t="str">
        <f>IF(OR(B167="",H167=""),"",IF(F167&lt;=H167,"À commander","OK"))</f>
        <v/>
      </c>
    </row>
    <row r="168">
      <c r="A168" s="4"/>
      <c r="B168" s="4"/>
      <c r="C168" s="4"/>
      <c r="D168" s="26"/>
      <c r="E168" s="26"/>
      <c r="F168" s="28" t="str">
        <f>IF(B168="","",G168+SUMIFS('Entrées de stock'!$C:$C,'Entrées de stock'!$B:$B,B168)-SUMIFS('Ventes du jour'!$C:$C,'Ventes du jour'!$B:$B,B168))</f>
        <v/>
      </c>
      <c r="G168" s="6"/>
      <c r="H168" s="6"/>
      <c r="I168" s="9" t="str">
        <f>IF(OR(B168="",E168=""),"",E168-D168)</f>
        <v/>
      </c>
      <c r="J168" s="9" t="str">
        <f>IF(B168="","",F168*D168)</f>
        <v/>
      </c>
      <c r="K168" s="8" t="str">
        <f>IF(OR(B168="",H168=""),"",IF(F168&lt;=H168,"À commander","OK"))</f>
        <v/>
      </c>
    </row>
    <row r="169">
      <c r="A169" s="4"/>
      <c r="B169" s="4"/>
      <c r="C169" s="4"/>
      <c r="D169" s="26"/>
      <c r="E169" s="26"/>
      <c r="F169" s="28" t="str">
        <f>IF(B169="","",G169+SUMIFS('Entrées de stock'!$C:$C,'Entrées de stock'!$B:$B,B169)-SUMIFS('Ventes du jour'!$C:$C,'Ventes du jour'!$B:$B,B169))</f>
        <v/>
      </c>
      <c r="G169" s="6"/>
      <c r="H169" s="6"/>
      <c r="I169" s="9" t="str">
        <f>IF(OR(B169="",E169=""),"",E169-D169)</f>
        <v/>
      </c>
      <c r="J169" s="9" t="str">
        <f>IF(B169="","",F169*D169)</f>
        <v/>
      </c>
      <c r="K169" s="8" t="str">
        <f>IF(OR(B169="",H169=""),"",IF(F169&lt;=H169,"À commander","OK"))</f>
        <v/>
      </c>
    </row>
    <row r="170">
      <c r="A170" s="4"/>
      <c r="B170" s="4"/>
      <c r="C170" s="4"/>
      <c r="D170" s="26"/>
      <c r="E170" s="26"/>
      <c r="F170" s="28" t="str">
        <f>IF(B170="","",G170+SUMIFS('Entrées de stock'!$C:$C,'Entrées de stock'!$B:$B,B170)-SUMIFS('Ventes du jour'!$C:$C,'Ventes du jour'!$B:$B,B170))</f>
        <v/>
      </c>
      <c r="G170" s="6"/>
      <c r="H170" s="6"/>
      <c r="I170" s="9" t="str">
        <f>IF(OR(B170="",E170=""),"",E170-D170)</f>
        <v/>
      </c>
      <c r="J170" s="9" t="str">
        <f>IF(B170="","",F170*D170)</f>
        <v/>
      </c>
      <c r="K170" s="8" t="str">
        <f>IF(OR(B170="",H170=""),"",IF(F170&lt;=H170,"À commander","OK"))</f>
        <v/>
      </c>
    </row>
    <row r="171">
      <c r="A171" s="4"/>
      <c r="B171" s="4"/>
      <c r="C171" s="4"/>
      <c r="D171" s="26"/>
      <c r="E171" s="26"/>
      <c r="F171" s="28" t="str">
        <f>IF(B171="","",G171+SUMIFS('Entrées de stock'!$C:$C,'Entrées de stock'!$B:$B,B171)-SUMIFS('Ventes du jour'!$C:$C,'Ventes du jour'!$B:$B,B171))</f>
        <v/>
      </c>
      <c r="G171" s="6"/>
      <c r="H171" s="6"/>
      <c r="I171" s="9" t="str">
        <f>IF(OR(B171="",E171=""),"",E171-D171)</f>
        <v/>
      </c>
      <c r="J171" s="9" t="str">
        <f>IF(B171="","",F171*D171)</f>
        <v/>
      </c>
      <c r="K171" s="8" t="str">
        <f>IF(OR(B171="",H171=""),"",IF(F171&lt;=H171,"À commander","OK"))</f>
        <v/>
      </c>
    </row>
    <row r="172">
      <c r="A172" s="4"/>
      <c r="B172" s="4"/>
      <c r="C172" s="4"/>
      <c r="D172" s="26"/>
      <c r="E172" s="26"/>
      <c r="F172" s="28" t="str">
        <f>IF(B172="","",G172+SUMIFS('Entrées de stock'!$C:$C,'Entrées de stock'!$B:$B,B172)-SUMIFS('Ventes du jour'!$C:$C,'Ventes du jour'!$B:$B,B172))</f>
        <v/>
      </c>
      <c r="G172" s="6"/>
      <c r="H172" s="6"/>
      <c r="I172" s="9" t="str">
        <f>IF(OR(B172="",E172=""),"",E172-D172)</f>
        <v/>
      </c>
      <c r="J172" s="9" t="str">
        <f>IF(B172="","",F172*D172)</f>
        <v/>
      </c>
      <c r="K172" s="8" t="str">
        <f>IF(OR(B172="",H172=""),"",IF(F172&lt;=H172,"À commander","OK"))</f>
        <v/>
      </c>
    </row>
    <row r="173">
      <c r="A173" s="4"/>
      <c r="B173" s="4"/>
      <c r="C173" s="4"/>
      <c r="D173" s="26"/>
      <c r="E173" s="26"/>
      <c r="F173" s="28" t="str">
        <f>IF(B173="","",G173+SUMIFS('Entrées de stock'!$C:$C,'Entrées de stock'!$B:$B,B173)-SUMIFS('Ventes du jour'!$C:$C,'Ventes du jour'!$B:$B,B173))</f>
        <v/>
      </c>
      <c r="G173" s="6"/>
      <c r="H173" s="6"/>
      <c r="I173" s="9" t="str">
        <f>IF(OR(B173="",E173=""),"",E173-D173)</f>
        <v/>
      </c>
      <c r="J173" s="9" t="str">
        <f>IF(B173="","",F173*D173)</f>
        <v/>
      </c>
      <c r="K173" s="8" t="str">
        <f>IF(OR(B173="",H173=""),"",IF(F173&lt;=H173,"À commander","OK"))</f>
        <v/>
      </c>
    </row>
    <row r="174">
      <c r="A174" s="4"/>
      <c r="B174" s="4"/>
      <c r="C174" s="4"/>
      <c r="D174" s="26"/>
      <c r="E174" s="26"/>
      <c r="F174" s="28" t="str">
        <f>IF(B174="","",G174+SUMIFS('Entrées de stock'!$C:$C,'Entrées de stock'!$B:$B,B174)-SUMIFS('Ventes du jour'!$C:$C,'Ventes du jour'!$B:$B,B174))</f>
        <v/>
      </c>
      <c r="G174" s="6"/>
      <c r="H174" s="6"/>
      <c r="I174" s="9" t="str">
        <f>IF(OR(B174="",E174=""),"",E174-D174)</f>
        <v/>
      </c>
      <c r="J174" s="9" t="str">
        <f>IF(B174="","",F174*D174)</f>
        <v/>
      </c>
      <c r="K174" s="8" t="str">
        <f>IF(OR(B174="",H174=""),"",IF(F174&lt;=H174,"À commander","OK"))</f>
        <v/>
      </c>
    </row>
    <row r="175">
      <c r="A175" s="4"/>
      <c r="B175" s="4"/>
      <c r="C175" s="4"/>
      <c r="D175" s="26"/>
      <c r="E175" s="26"/>
      <c r="F175" s="28" t="str">
        <f>IF(B175="","",G175+SUMIFS('Entrées de stock'!$C:$C,'Entrées de stock'!$B:$B,B175)-SUMIFS('Ventes du jour'!$C:$C,'Ventes du jour'!$B:$B,B175))</f>
        <v/>
      </c>
      <c r="G175" s="6"/>
      <c r="H175" s="6"/>
      <c r="I175" s="9" t="str">
        <f>IF(OR(B175="",E175=""),"",E175-D175)</f>
        <v/>
      </c>
      <c r="J175" s="9" t="str">
        <f>IF(B175="","",F175*D175)</f>
        <v/>
      </c>
      <c r="K175" s="8" t="str">
        <f>IF(OR(B175="",H175=""),"",IF(F175&lt;=H175,"À commander","OK"))</f>
        <v/>
      </c>
    </row>
    <row r="176">
      <c r="A176" s="4"/>
      <c r="B176" s="4"/>
      <c r="C176" s="4"/>
      <c r="D176" s="26"/>
      <c r="E176" s="26"/>
      <c r="F176" s="28" t="str">
        <f>IF(B176="","",G176+SUMIFS('Entrées de stock'!$C:$C,'Entrées de stock'!$B:$B,B176)-SUMIFS('Ventes du jour'!$C:$C,'Ventes du jour'!$B:$B,B176))</f>
        <v/>
      </c>
      <c r="G176" s="6"/>
      <c r="H176" s="6"/>
      <c r="I176" s="9" t="str">
        <f>IF(OR(B176="",E176=""),"",E176-D176)</f>
        <v/>
      </c>
      <c r="J176" s="9" t="str">
        <f>IF(B176="","",F176*D176)</f>
        <v/>
      </c>
      <c r="K176" s="8" t="str">
        <f>IF(OR(B176="",H176=""),"",IF(F176&lt;=H176,"À commander","OK"))</f>
        <v/>
      </c>
    </row>
    <row r="177">
      <c r="A177" s="4"/>
      <c r="B177" s="4"/>
      <c r="C177" s="4"/>
      <c r="D177" s="26"/>
      <c r="E177" s="26"/>
      <c r="F177" s="28" t="str">
        <f>IF(B177="","",G177+SUMIFS('Entrées de stock'!$C:$C,'Entrées de stock'!$B:$B,B177)-SUMIFS('Ventes du jour'!$C:$C,'Ventes du jour'!$B:$B,B177))</f>
        <v/>
      </c>
      <c r="G177" s="6"/>
      <c r="H177" s="6"/>
      <c r="I177" s="9" t="str">
        <f>IF(OR(B177="",E177=""),"",E177-D177)</f>
        <v/>
      </c>
      <c r="J177" s="9" t="str">
        <f>IF(B177="","",F177*D177)</f>
        <v/>
      </c>
      <c r="K177" s="8" t="str">
        <f>IF(OR(B177="",H177=""),"",IF(F177&lt;=H177,"À commander","OK"))</f>
        <v/>
      </c>
    </row>
    <row r="178">
      <c r="A178" s="4"/>
      <c r="B178" s="4"/>
      <c r="C178" s="4"/>
      <c r="D178" s="26"/>
      <c r="E178" s="26"/>
      <c r="F178" s="28" t="str">
        <f>IF(B178="","",G178+SUMIFS('Entrées de stock'!$C:$C,'Entrées de stock'!$B:$B,B178)-SUMIFS('Ventes du jour'!$C:$C,'Ventes du jour'!$B:$B,B178))</f>
        <v/>
      </c>
      <c r="G178" s="6"/>
      <c r="H178" s="6"/>
      <c r="I178" s="9" t="str">
        <f>IF(OR(B178="",E178=""),"",E178-D178)</f>
        <v/>
      </c>
      <c r="J178" s="9" t="str">
        <f>IF(B178="","",F178*D178)</f>
        <v/>
      </c>
      <c r="K178" s="8" t="str">
        <f>IF(OR(B178="",H178=""),"",IF(F178&lt;=H178,"À commander","OK"))</f>
        <v/>
      </c>
    </row>
    <row r="179">
      <c r="A179" s="4"/>
      <c r="B179" s="4"/>
      <c r="C179" s="4"/>
      <c r="D179" s="26"/>
      <c r="E179" s="26"/>
      <c r="F179" s="28" t="str">
        <f>IF(B179="","",G179+SUMIFS('Entrées de stock'!$C:$C,'Entrées de stock'!$B:$B,B179)-SUMIFS('Ventes du jour'!$C:$C,'Ventes du jour'!$B:$B,B179))</f>
        <v/>
      </c>
      <c r="G179" s="6"/>
      <c r="H179" s="6"/>
      <c r="I179" s="9" t="str">
        <f>IF(OR(B179="",E179=""),"",E179-D179)</f>
        <v/>
      </c>
      <c r="J179" s="9" t="str">
        <f>IF(B179="","",F179*D179)</f>
        <v/>
      </c>
      <c r="K179" s="8" t="str">
        <f>IF(OR(B179="",H179=""),"",IF(F179&lt;=H179,"À commander","OK"))</f>
        <v/>
      </c>
    </row>
    <row r="180">
      <c r="A180" s="4"/>
      <c r="B180" s="4"/>
      <c r="C180" s="4"/>
      <c r="D180" s="26"/>
      <c r="E180" s="26"/>
      <c r="F180" s="28" t="str">
        <f>IF(B180="","",G180+SUMIFS('Entrées de stock'!$C:$C,'Entrées de stock'!$B:$B,B180)-SUMIFS('Ventes du jour'!$C:$C,'Ventes du jour'!$B:$B,B180))</f>
        <v/>
      </c>
      <c r="G180" s="6"/>
      <c r="H180" s="6"/>
      <c r="I180" s="9" t="str">
        <f>IF(OR(B180="",E180=""),"",E180-D180)</f>
        <v/>
      </c>
      <c r="J180" s="9" t="str">
        <f>IF(B180="","",F180*D180)</f>
        <v/>
      </c>
      <c r="K180" s="8" t="str">
        <f>IF(OR(B180="",H180=""),"",IF(F180&lt;=H180,"À commander","OK"))</f>
        <v/>
      </c>
    </row>
    <row r="181">
      <c r="A181" s="4"/>
      <c r="B181" s="4"/>
      <c r="C181" s="4"/>
      <c r="D181" s="26"/>
      <c r="E181" s="26"/>
      <c r="F181" s="28" t="str">
        <f>IF(B181="","",G181+SUMIFS('Entrées de stock'!$C:$C,'Entrées de stock'!$B:$B,B181)-SUMIFS('Ventes du jour'!$C:$C,'Ventes du jour'!$B:$B,B181))</f>
        <v/>
      </c>
      <c r="G181" s="6"/>
      <c r="H181" s="6"/>
      <c r="I181" s="9" t="str">
        <f>IF(OR(B181="",E181=""),"",E181-D181)</f>
        <v/>
      </c>
      <c r="J181" s="9" t="str">
        <f>IF(B181="","",F181*D181)</f>
        <v/>
      </c>
      <c r="K181" s="8" t="str">
        <f>IF(OR(B181="",H181=""),"",IF(F181&lt;=H181,"À commander","OK"))</f>
        <v/>
      </c>
    </row>
    <row r="182">
      <c r="A182" s="4"/>
      <c r="B182" s="4"/>
      <c r="C182" s="4"/>
      <c r="D182" s="26"/>
      <c r="E182" s="26"/>
      <c r="F182" s="28" t="str">
        <f>IF(B182="","",G182+SUMIFS('Entrées de stock'!$C:$C,'Entrées de stock'!$B:$B,B182)-SUMIFS('Ventes du jour'!$C:$C,'Ventes du jour'!$B:$B,B182))</f>
        <v/>
      </c>
      <c r="G182" s="6"/>
      <c r="H182" s="6"/>
      <c r="I182" s="9" t="str">
        <f>IF(OR(B182="",E182=""),"",E182-D182)</f>
        <v/>
      </c>
      <c r="J182" s="9" t="str">
        <f>IF(B182="","",F182*D182)</f>
        <v/>
      </c>
      <c r="K182" s="8" t="str">
        <f>IF(OR(B182="",H182=""),"",IF(F182&lt;=H182,"À commander","OK"))</f>
        <v/>
      </c>
    </row>
    <row r="183">
      <c r="A183" s="4"/>
      <c r="B183" s="4"/>
      <c r="C183" s="4"/>
      <c r="D183" s="26"/>
      <c r="E183" s="26"/>
      <c r="F183" s="28" t="str">
        <f>IF(B183="","",G183+SUMIFS('Entrées de stock'!$C:$C,'Entrées de stock'!$B:$B,B183)-SUMIFS('Ventes du jour'!$C:$C,'Ventes du jour'!$B:$B,B183))</f>
        <v/>
      </c>
      <c r="G183" s="6"/>
      <c r="H183" s="6"/>
      <c r="I183" s="9" t="str">
        <f>IF(OR(B183="",E183=""),"",E183-D183)</f>
        <v/>
      </c>
      <c r="J183" s="9" t="str">
        <f>IF(B183="","",F183*D183)</f>
        <v/>
      </c>
      <c r="K183" s="8" t="str">
        <f>IF(OR(B183="",H183=""),"",IF(F183&lt;=H183,"À commander","OK"))</f>
        <v/>
      </c>
    </row>
    <row r="184">
      <c r="A184" s="4"/>
      <c r="B184" s="4"/>
      <c r="C184" s="4"/>
      <c r="D184" s="26"/>
      <c r="E184" s="26"/>
      <c r="F184" s="28" t="str">
        <f>IF(B184="","",G184+SUMIFS('Entrées de stock'!$C:$C,'Entrées de stock'!$B:$B,B184)-SUMIFS('Ventes du jour'!$C:$C,'Ventes du jour'!$B:$B,B184))</f>
        <v/>
      </c>
      <c r="G184" s="6"/>
      <c r="H184" s="6"/>
      <c r="I184" s="9" t="str">
        <f>IF(OR(B184="",E184=""),"",E184-D184)</f>
        <v/>
      </c>
      <c r="J184" s="9" t="str">
        <f>IF(B184="","",F184*D184)</f>
        <v/>
      </c>
      <c r="K184" s="8" t="str">
        <f>IF(OR(B184="",H184=""),"",IF(F184&lt;=H184,"À commander","OK"))</f>
        <v/>
      </c>
    </row>
    <row r="185">
      <c r="A185" s="4"/>
      <c r="B185" s="4"/>
      <c r="C185" s="4"/>
      <c r="D185" s="26"/>
      <c r="E185" s="26"/>
      <c r="F185" s="28" t="str">
        <f>IF(B185="","",G185+SUMIFS('Entrées de stock'!$C:$C,'Entrées de stock'!$B:$B,B185)-SUMIFS('Ventes du jour'!$C:$C,'Ventes du jour'!$B:$B,B185))</f>
        <v/>
      </c>
      <c r="G185" s="6"/>
      <c r="H185" s="6"/>
      <c r="I185" s="9" t="str">
        <f>IF(OR(B185="",E185=""),"",E185-D185)</f>
        <v/>
      </c>
      <c r="J185" s="9" t="str">
        <f>IF(B185="","",F185*D185)</f>
        <v/>
      </c>
      <c r="K185" s="8" t="str">
        <f>IF(OR(B185="",H185=""),"",IF(F185&lt;=H185,"À commander","OK"))</f>
        <v/>
      </c>
    </row>
    <row r="186">
      <c r="A186" s="4"/>
      <c r="B186" s="4"/>
      <c r="C186" s="4"/>
      <c r="D186" s="26"/>
      <c r="E186" s="26"/>
      <c r="F186" s="28" t="str">
        <f>IF(B186="","",G186+SUMIFS('Entrées de stock'!$C:$C,'Entrées de stock'!$B:$B,B186)-SUMIFS('Ventes du jour'!$C:$C,'Ventes du jour'!$B:$B,B186))</f>
        <v/>
      </c>
      <c r="G186" s="6"/>
      <c r="H186" s="6"/>
      <c r="I186" s="9" t="str">
        <f>IF(OR(B186="",E186=""),"",E186-D186)</f>
        <v/>
      </c>
      <c r="J186" s="9" t="str">
        <f>IF(B186="","",F186*D186)</f>
        <v/>
      </c>
      <c r="K186" s="8" t="str">
        <f>IF(OR(B186="",H186=""),"",IF(F186&lt;=H186,"À commander","OK"))</f>
        <v/>
      </c>
    </row>
    <row r="187">
      <c r="A187" s="4"/>
      <c r="B187" s="4"/>
      <c r="C187" s="4"/>
      <c r="D187" s="26"/>
      <c r="E187" s="26"/>
      <c r="F187" s="28" t="str">
        <f>IF(B187="","",G187+SUMIFS('Entrées de stock'!$C:$C,'Entrées de stock'!$B:$B,B187)-SUMIFS('Ventes du jour'!$C:$C,'Ventes du jour'!$B:$B,B187))</f>
        <v/>
      </c>
      <c r="G187" s="6"/>
      <c r="H187" s="6"/>
      <c r="I187" s="9" t="str">
        <f>IF(OR(B187="",E187=""),"",E187-D187)</f>
        <v/>
      </c>
      <c r="J187" s="9" t="str">
        <f>IF(B187="","",F187*D187)</f>
        <v/>
      </c>
      <c r="K187" s="8" t="str">
        <f>IF(OR(B187="",H187=""),"",IF(F187&lt;=H187,"À commander","OK"))</f>
        <v/>
      </c>
    </row>
    <row r="188">
      <c r="A188" s="4"/>
      <c r="B188" s="4"/>
      <c r="C188" s="4"/>
      <c r="D188" s="26"/>
      <c r="E188" s="26"/>
      <c r="F188" s="28" t="str">
        <f>IF(B188="","",G188+SUMIFS('Entrées de stock'!$C:$C,'Entrées de stock'!$B:$B,B188)-SUMIFS('Ventes du jour'!$C:$C,'Ventes du jour'!$B:$B,B188))</f>
        <v/>
      </c>
      <c r="G188" s="6"/>
      <c r="H188" s="6"/>
      <c r="I188" s="9" t="str">
        <f>IF(OR(B188="",E188=""),"",E188-D188)</f>
        <v/>
      </c>
      <c r="J188" s="9" t="str">
        <f>IF(B188="","",F188*D188)</f>
        <v/>
      </c>
      <c r="K188" s="8" t="str">
        <f>IF(OR(B188="",H188=""),"",IF(F188&lt;=H188,"À commander","OK"))</f>
        <v/>
      </c>
    </row>
    <row r="189">
      <c r="A189" s="4"/>
      <c r="B189" s="4"/>
      <c r="C189" s="4"/>
      <c r="D189" s="26"/>
      <c r="E189" s="26"/>
      <c r="F189" s="28" t="str">
        <f>IF(B189="","",G189+SUMIFS('Entrées de stock'!$C:$C,'Entrées de stock'!$B:$B,B189)-SUMIFS('Ventes du jour'!$C:$C,'Ventes du jour'!$B:$B,B189))</f>
        <v/>
      </c>
      <c r="G189" s="6"/>
      <c r="H189" s="6"/>
      <c r="I189" s="9" t="str">
        <f>IF(OR(B189="",E189=""),"",E189-D189)</f>
        <v/>
      </c>
      <c r="J189" s="9" t="str">
        <f>IF(B189="","",F189*D189)</f>
        <v/>
      </c>
      <c r="K189" s="8" t="str">
        <f>IF(OR(B189="",H189=""),"",IF(F189&lt;=H189,"À commander","OK"))</f>
        <v/>
      </c>
    </row>
    <row r="190">
      <c r="A190" s="4"/>
      <c r="B190" s="4"/>
      <c r="C190" s="4"/>
      <c r="D190" s="26"/>
      <c r="E190" s="26"/>
      <c r="F190" s="28" t="str">
        <f>IF(B190="","",G190+SUMIFS('Entrées de stock'!$C:$C,'Entrées de stock'!$B:$B,B190)-SUMIFS('Ventes du jour'!$C:$C,'Ventes du jour'!$B:$B,B190))</f>
        <v/>
      </c>
      <c r="G190" s="6"/>
      <c r="H190" s="6"/>
      <c r="I190" s="9" t="str">
        <f>IF(OR(B190="",E190=""),"",E190-D190)</f>
        <v/>
      </c>
      <c r="J190" s="9" t="str">
        <f>IF(B190="","",F190*D190)</f>
        <v/>
      </c>
      <c r="K190" s="8" t="str">
        <f>IF(OR(B190="",H190=""),"",IF(F190&lt;=H190,"À commander","OK"))</f>
        <v/>
      </c>
    </row>
    <row r="191">
      <c r="A191" s="4"/>
      <c r="B191" s="4"/>
      <c r="C191" s="4"/>
      <c r="D191" s="26"/>
      <c r="E191" s="26"/>
      <c r="F191" s="28" t="str">
        <f>IF(B191="","",G191+SUMIFS('Entrées de stock'!$C:$C,'Entrées de stock'!$B:$B,B191)-SUMIFS('Ventes du jour'!$C:$C,'Ventes du jour'!$B:$B,B191))</f>
        <v/>
      </c>
      <c r="G191" s="6"/>
      <c r="H191" s="6"/>
      <c r="I191" s="9" t="str">
        <f>IF(OR(B191="",E191=""),"",E191-D191)</f>
        <v/>
      </c>
      <c r="J191" s="9" t="str">
        <f>IF(B191="","",F191*D191)</f>
        <v/>
      </c>
      <c r="K191" s="8" t="str">
        <f>IF(OR(B191="",H191=""),"",IF(F191&lt;=H191,"À commander","OK"))</f>
        <v/>
      </c>
    </row>
    <row r="192">
      <c r="A192" s="4"/>
      <c r="B192" s="4"/>
      <c r="C192" s="4"/>
      <c r="D192" s="26"/>
      <c r="E192" s="26"/>
      <c r="F192" s="28" t="str">
        <f>IF(B192="","",G192+SUMIFS('Entrées de stock'!$C:$C,'Entrées de stock'!$B:$B,B192)-SUMIFS('Ventes du jour'!$C:$C,'Ventes du jour'!$B:$B,B192))</f>
        <v/>
      </c>
      <c r="G192" s="6"/>
      <c r="H192" s="6"/>
      <c r="I192" s="9" t="str">
        <f>IF(OR(B192="",E192=""),"",E192-D192)</f>
        <v/>
      </c>
      <c r="J192" s="9" t="str">
        <f>IF(B192="","",F192*D192)</f>
        <v/>
      </c>
      <c r="K192" s="8" t="str">
        <f>IF(OR(B192="",H192=""),"",IF(F192&lt;=H192,"À commander","OK"))</f>
        <v/>
      </c>
    </row>
    <row r="193">
      <c r="A193" s="4"/>
      <c r="B193" s="4"/>
      <c r="C193" s="4"/>
      <c r="D193" s="26"/>
      <c r="E193" s="26"/>
      <c r="F193" s="28" t="str">
        <f>IF(B193="","",G193+SUMIFS('Entrées de stock'!$C:$C,'Entrées de stock'!$B:$B,B193)-SUMIFS('Ventes du jour'!$C:$C,'Ventes du jour'!$B:$B,B193))</f>
        <v/>
      </c>
      <c r="G193" s="6"/>
      <c r="H193" s="6"/>
      <c r="I193" s="9" t="str">
        <f>IF(OR(B193="",E193=""),"",E193-D193)</f>
        <v/>
      </c>
      <c r="J193" s="9" t="str">
        <f>IF(B193="","",F193*D193)</f>
        <v/>
      </c>
      <c r="K193" s="8" t="str">
        <f>IF(OR(B193="",H193=""),"",IF(F193&lt;=H193,"À commander","OK"))</f>
        <v/>
      </c>
    </row>
    <row r="194">
      <c r="A194" s="4"/>
      <c r="B194" s="4"/>
      <c r="C194" s="4"/>
      <c r="D194" s="26"/>
      <c r="E194" s="26"/>
      <c r="F194" s="28" t="str">
        <f>IF(B194="","",G194+SUMIFS('Entrées de stock'!$C:$C,'Entrées de stock'!$B:$B,B194)-SUMIFS('Ventes du jour'!$C:$C,'Ventes du jour'!$B:$B,B194))</f>
        <v/>
      </c>
      <c r="G194" s="6"/>
      <c r="H194" s="6"/>
      <c r="I194" s="9" t="str">
        <f>IF(OR(B194="",E194=""),"",E194-D194)</f>
        <v/>
      </c>
      <c r="J194" s="9" t="str">
        <f>IF(B194="","",F194*D194)</f>
        <v/>
      </c>
      <c r="K194" s="8" t="str">
        <f>IF(OR(B194="",H194=""),"",IF(F194&lt;=H194,"À commander","OK"))</f>
        <v/>
      </c>
    </row>
    <row r="195">
      <c r="A195" s="4"/>
      <c r="B195" s="4"/>
      <c r="C195" s="4"/>
      <c r="D195" s="26"/>
      <c r="E195" s="26"/>
      <c r="F195" s="28" t="str">
        <f>IF(B195="","",G195+SUMIFS('Entrées de stock'!$C:$C,'Entrées de stock'!$B:$B,B195)-SUMIFS('Ventes du jour'!$C:$C,'Ventes du jour'!$B:$B,B195))</f>
        <v/>
      </c>
      <c r="G195" s="6"/>
      <c r="H195" s="6"/>
      <c r="I195" s="9" t="str">
        <f>IF(OR(B195="",E195=""),"",E195-D195)</f>
        <v/>
      </c>
      <c r="J195" s="9" t="str">
        <f>IF(B195="","",F195*D195)</f>
        <v/>
      </c>
      <c r="K195" s="8" t="str">
        <f>IF(OR(B195="",H195=""),"",IF(F195&lt;=H195,"À commander","OK"))</f>
        <v/>
      </c>
    </row>
    <row r="196">
      <c r="A196" s="4"/>
      <c r="B196" s="4"/>
      <c r="C196" s="4"/>
      <c r="D196" s="26"/>
      <c r="E196" s="26"/>
      <c r="F196" s="28" t="str">
        <f>IF(B196="","",G196+SUMIFS('Entrées de stock'!$C:$C,'Entrées de stock'!$B:$B,B196)-SUMIFS('Ventes du jour'!$C:$C,'Ventes du jour'!$B:$B,B196))</f>
        <v/>
      </c>
      <c r="G196" s="6"/>
      <c r="H196" s="6"/>
      <c r="I196" s="9" t="str">
        <f>IF(OR(B196="",E196=""),"",E196-D196)</f>
        <v/>
      </c>
      <c r="J196" s="9" t="str">
        <f>IF(B196="","",F196*D196)</f>
        <v/>
      </c>
      <c r="K196" s="8" t="str">
        <f>IF(OR(B196="",H196=""),"",IF(F196&lt;=H196,"À commander","OK"))</f>
        <v/>
      </c>
    </row>
    <row r="197">
      <c r="A197" s="4"/>
      <c r="B197" s="4"/>
      <c r="C197" s="4"/>
      <c r="D197" s="26"/>
      <c r="E197" s="26"/>
      <c r="F197" s="28" t="str">
        <f>IF(B197="","",G197+SUMIFS('Entrées de stock'!$C:$C,'Entrées de stock'!$B:$B,B197)-SUMIFS('Ventes du jour'!$C:$C,'Ventes du jour'!$B:$B,B197))</f>
        <v/>
      </c>
      <c r="G197" s="6"/>
      <c r="H197" s="6"/>
      <c r="I197" s="9" t="str">
        <f>IF(OR(B197="",E197=""),"",E197-D197)</f>
        <v/>
      </c>
      <c r="J197" s="9" t="str">
        <f>IF(B197="","",F197*D197)</f>
        <v/>
      </c>
      <c r="K197" s="8" t="str">
        <f>IF(OR(B197="",H197=""),"",IF(F197&lt;=H197,"À commander","OK"))</f>
        <v/>
      </c>
    </row>
    <row r="198">
      <c r="A198" s="4"/>
      <c r="B198" s="4"/>
      <c r="C198" s="4"/>
      <c r="D198" s="26"/>
      <c r="E198" s="26"/>
      <c r="F198" s="28" t="str">
        <f>IF(B198="","",G198+SUMIFS('Entrées de stock'!$C:$C,'Entrées de stock'!$B:$B,B198)-SUMIFS('Ventes du jour'!$C:$C,'Ventes du jour'!$B:$B,B198))</f>
        <v/>
      </c>
      <c r="G198" s="6"/>
      <c r="H198" s="6"/>
      <c r="I198" s="9" t="str">
        <f>IF(OR(B198="",E198=""),"",E198-D198)</f>
        <v/>
      </c>
      <c r="J198" s="9" t="str">
        <f>IF(B198="","",F198*D198)</f>
        <v/>
      </c>
      <c r="K198" s="8" t="str">
        <f>IF(OR(B198="",H198=""),"",IF(F198&lt;=H198,"À commander","OK"))</f>
        <v/>
      </c>
    </row>
    <row r="199">
      <c r="A199" s="4"/>
      <c r="B199" s="4"/>
      <c r="C199" s="4"/>
      <c r="D199" s="26"/>
      <c r="E199" s="26"/>
      <c r="F199" s="28" t="str">
        <f>IF(B199="","",G199+SUMIFS('Entrées de stock'!$C:$C,'Entrées de stock'!$B:$B,B199)-SUMIFS('Ventes du jour'!$C:$C,'Ventes du jour'!$B:$B,B199))</f>
        <v/>
      </c>
      <c r="G199" s="6"/>
      <c r="H199" s="6"/>
      <c r="I199" s="9" t="str">
        <f>IF(OR(B199="",E199=""),"",E199-D199)</f>
        <v/>
      </c>
      <c r="J199" s="9" t="str">
        <f>IF(B199="","",F199*D199)</f>
        <v/>
      </c>
      <c r="K199" s="8" t="str">
        <f>IF(OR(B199="",H199=""),"",IF(F199&lt;=H199,"À commander","OK"))</f>
        <v/>
      </c>
    </row>
    <row r="200">
      <c r="A200" s="4"/>
      <c r="B200" s="4"/>
      <c r="C200" s="4"/>
      <c r="D200" s="26"/>
      <c r="E200" s="26"/>
      <c r="F200" s="28" t="str">
        <f>IF(B200="","",G200+SUMIFS('Entrées de stock'!$C:$C,'Entrées de stock'!$B:$B,B200)-SUMIFS('Ventes du jour'!$C:$C,'Ventes du jour'!$B:$B,B200))</f>
        <v/>
      </c>
      <c r="G200" s="6"/>
      <c r="H200" s="6"/>
      <c r="I200" s="9" t="str">
        <f>IF(OR(B200="",E200=""),"",E200-D200)</f>
        <v/>
      </c>
      <c r="J200" s="9" t="str">
        <f>IF(B200="","",F200*D200)</f>
        <v/>
      </c>
      <c r="K200" s="8" t="str">
        <f>IF(OR(B200="",H200=""),"",IF(F200&lt;=H200,"À commander","OK"))</f>
        <v/>
      </c>
    </row>
    <row r="201">
      <c r="A201" s="4"/>
      <c r="B201" s="4"/>
      <c r="C201" s="4"/>
      <c r="D201" s="26"/>
      <c r="E201" s="26"/>
      <c r="F201" s="28" t="str">
        <f>IF(B201="","",G201+SUMIFS('Entrées de stock'!$C:$C,'Entrées de stock'!$B:$B,B201)-SUMIFS('Ventes du jour'!$C:$C,'Ventes du jour'!$B:$B,B201))</f>
        <v/>
      </c>
      <c r="G201" s="6"/>
      <c r="H201" s="6"/>
      <c r="I201" s="9" t="str">
        <f>IF(OR(B201="",E201=""),"",E201-D201)</f>
        <v/>
      </c>
      <c r="J201" s="9" t="str">
        <f>IF(B201="","",F201*D201)</f>
        <v/>
      </c>
      <c r="K201" s="8" t="str">
        <f>IF(OR(B201="",H201=""),"",IF(F201&lt;=H201,"À commander","OK"))</f>
        <v/>
      </c>
    </row>
    <row r="202">
      <c r="A202" s="4"/>
      <c r="B202" s="4"/>
      <c r="C202" s="4"/>
      <c r="D202" s="26"/>
      <c r="E202" s="26"/>
      <c r="F202" s="28" t="str">
        <f>IF(B202="","",G202+SUMIFS('Entrées de stock'!$C:$C,'Entrées de stock'!$B:$B,B202)-SUMIFS('Ventes du jour'!$C:$C,'Ventes du jour'!$B:$B,B202))</f>
        <v/>
      </c>
      <c r="G202" s="6"/>
      <c r="H202" s="6"/>
      <c r="I202" s="9" t="str">
        <f>IF(OR(B202="",E202=""),"",E202-D202)</f>
        <v/>
      </c>
      <c r="J202" s="9" t="str">
        <f>IF(B202="","",F202*D202)</f>
        <v/>
      </c>
      <c r="K202" s="8" t="str">
        <f>IF(OR(B202="",H202=""),"",IF(F202&lt;=H202,"À commander","OK"))</f>
        <v/>
      </c>
    </row>
    <row r="203">
      <c r="A203" s="4"/>
      <c r="B203" s="4"/>
      <c r="C203" s="4"/>
      <c r="D203" s="26"/>
      <c r="E203" s="26"/>
      <c r="F203" s="28" t="str">
        <f>IF(B203="","",G203+SUMIFS('Entrées de stock'!$C:$C,'Entrées de stock'!$B:$B,B203)-SUMIFS('Ventes du jour'!$C:$C,'Ventes du jour'!$B:$B,B203))</f>
        <v/>
      </c>
      <c r="G203" s="6"/>
      <c r="H203" s="6"/>
      <c r="I203" s="9" t="str">
        <f>IF(OR(B203="",E203=""),"",E203-D203)</f>
        <v/>
      </c>
      <c r="J203" s="9" t="str">
        <f>IF(B203="","",F203*D203)</f>
        <v/>
      </c>
      <c r="K203" s="8" t="str">
        <f>IF(OR(B203="",H203=""),"",IF(F203&lt;=H203,"À commander","OK"))</f>
        <v/>
      </c>
    </row>
    <row r="204">
      <c r="A204" s="4"/>
      <c r="B204" s="4"/>
      <c r="C204" s="4"/>
      <c r="D204" s="26"/>
      <c r="E204" s="26"/>
      <c r="F204" s="28" t="str">
        <f>IF(B204="","",G204+SUMIFS('Entrées de stock'!$C:$C,'Entrées de stock'!$B:$B,B204)-SUMIFS('Ventes du jour'!$C:$C,'Ventes du jour'!$B:$B,B204))</f>
        <v/>
      </c>
      <c r="G204" s="6"/>
      <c r="H204" s="6"/>
      <c r="I204" s="9" t="str">
        <f>IF(OR(B204="",E204=""),"",E204-D204)</f>
        <v/>
      </c>
      <c r="J204" s="9" t="str">
        <f>IF(B204="","",F204*D204)</f>
        <v/>
      </c>
      <c r="K204" s="8" t="str">
        <f>IF(OR(B204="",H204=""),"",IF(F204&lt;=H204,"À commander","OK"))</f>
        <v/>
      </c>
    </row>
    <row r="205">
      <c r="A205" s="4"/>
      <c r="B205" s="4"/>
      <c r="C205" s="4"/>
      <c r="D205" s="26"/>
      <c r="E205" s="26"/>
      <c r="F205" s="28" t="str">
        <f>IF(B205="","",G205+SUMIFS('Entrées de stock'!$C:$C,'Entrées de stock'!$B:$B,B205)-SUMIFS('Ventes du jour'!$C:$C,'Ventes du jour'!$B:$B,B205))</f>
        <v/>
      </c>
      <c r="G205" s="6"/>
      <c r="H205" s="6"/>
      <c r="I205" s="9" t="str">
        <f>IF(OR(B205="",E205=""),"",E205-D205)</f>
        <v/>
      </c>
      <c r="J205" s="9" t="str">
        <f>IF(B205="","",F205*D205)</f>
        <v/>
      </c>
      <c r="K205" s="8" t="str">
        <f>IF(OR(B205="",H205=""),"",IF(F205&lt;=H205,"À commander","OK"))</f>
        <v/>
      </c>
    </row>
    <row r="206">
      <c r="A206" s="4"/>
      <c r="B206" s="4"/>
      <c r="C206" s="4"/>
      <c r="D206" s="26"/>
      <c r="E206" s="26"/>
      <c r="F206" s="28" t="str">
        <f>IF(B206="","",G206+SUMIFS('Entrées de stock'!$C:$C,'Entrées de stock'!$B:$B,B206)-SUMIFS('Ventes du jour'!$C:$C,'Ventes du jour'!$B:$B,B206))</f>
        <v/>
      </c>
      <c r="G206" s="6"/>
      <c r="H206" s="6"/>
      <c r="I206" s="9" t="str">
        <f>IF(OR(B206="",E206=""),"",E206-D206)</f>
        <v/>
      </c>
      <c r="J206" s="9" t="str">
        <f>IF(B206="","",F206*D206)</f>
        <v/>
      </c>
      <c r="K206" s="8" t="str">
        <f>IF(OR(B206="",H206=""),"",IF(F206&lt;=H206,"À commander","OK"))</f>
        <v/>
      </c>
    </row>
    <row r="207">
      <c r="A207" s="4"/>
      <c r="B207" s="4"/>
      <c r="C207" s="4"/>
      <c r="D207" s="26"/>
      <c r="E207" s="26"/>
      <c r="F207" s="28" t="str">
        <f>IF(B207="","",G207+SUMIFS('Entrées de stock'!$C:$C,'Entrées de stock'!$B:$B,B207)-SUMIFS('Ventes du jour'!$C:$C,'Ventes du jour'!$B:$B,B207))</f>
        <v/>
      </c>
      <c r="G207" s="6"/>
      <c r="H207" s="6"/>
      <c r="I207" s="9" t="str">
        <f>IF(OR(B207="",E207=""),"",E207-D207)</f>
        <v/>
      </c>
      <c r="J207" s="9" t="str">
        <f>IF(B207="","",F207*D207)</f>
        <v/>
      </c>
      <c r="K207" s="8" t="str">
        <f>IF(OR(B207="",H207=""),"",IF(F207&lt;=H207,"À commander","OK"))</f>
        <v/>
      </c>
    </row>
    <row r="208">
      <c r="A208" s="4"/>
      <c r="B208" s="4"/>
      <c r="C208" s="4"/>
      <c r="D208" s="26"/>
      <c r="E208" s="26"/>
      <c r="F208" s="28" t="str">
        <f>IF(B208="","",G208+SUMIFS('Entrées de stock'!$C:$C,'Entrées de stock'!$B:$B,B208)-SUMIFS('Ventes du jour'!$C:$C,'Ventes du jour'!$B:$B,B208))</f>
        <v/>
      </c>
      <c r="G208" s="6"/>
      <c r="H208" s="6"/>
      <c r="I208" s="9" t="str">
        <f>IF(OR(B208="",E208=""),"",E208-D208)</f>
        <v/>
      </c>
      <c r="J208" s="9" t="str">
        <f>IF(B208="","",F208*D208)</f>
        <v/>
      </c>
      <c r="K208" s="8" t="str">
        <f>IF(OR(B208="",H208=""),"",IF(F208&lt;=H208,"À commander","OK"))</f>
        <v/>
      </c>
    </row>
    <row r="209">
      <c r="A209" s="4"/>
      <c r="B209" s="4"/>
      <c r="C209" s="4"/>
      <c r="D209" s="26"/>
      <c r="E209" s="26"/>
      <c r="F209" s="28" t="str">
        <f>IF(B209="","",G209+SUMIFS('Entrées de stock'!$C:$C,'Entrées de stock'!$B:$B,B209)-SUMIFS('Ventes du jour'!$C:$C,'Ventes du jour'!$B:$B,B209))</f>
        <v/>
      </c>
      <c r="G209" s="6"/>
      <c r="H209" s="6"/>
      <c r="I209" s="9" t="str">
        <f>IF(OR(B209="",E209=""),"",E209-D209)</f>
        <v/>
      </c>
      <c r="J209" s="9" t="str">
        <f>IF(B209="","",F209*D209)</f>
        <v/>
      </c>
      <c r="K209" s="8" t="str">
        <f>IF(OR(B209="",H209=""),"",IF(F209&lt;=H209,"À commander","OK"))</f>
        <v/>
      </c>
    </row>
    <row r="210">
      <c r="A210" s="4"/>
      <c r="B210" s="4"/>
      <c r="C210" s="4"/>
      <c r="D210" s="26"/>
      <c r="E210" s="26"/>
      <c r="F210" s="28" t="str">
        <f>IF(B210="","",G210+SUMIFS('Entrées de stock'!$C:$C,'Entrées de stock'!$B:$B,B210)-SUMIFS('Ventes du jour'!$C:$C,'Ventes du jour'!$B:$B,B210))</f>
        <v/>
      </c>
      <c r="G210" s="6"/>
      <c r="H210" s="6"/>
      <c r="I210" s="9" t="str">
        <f>IF(OR(B210="",E210=""),"",E210-D210)</f>
        <v/>
      </c>
      <c r="J210" s="9" t="str">
        <f>IF(B210="","",F210*D210)</f>
        <v/>
      </c>
      <c r="K210" s="8" t="str">
        <f>IF(OR(B210="",H210=""),"",IF(F210&lt;=H210,"À commander","OK"))</f>
        <v/>
      </c>
    </row>
    <row r="211">
      <c r="A211" s="4"/>
      <c r="B211" s="4"/>
      <c r="C211" s="4"/>
      <c r="D211" s="26"/>
      <c r="E211" s="26"/>
      <c r="F211" s="28" t="str">
        <f>IF(B211="","",G211+SUMIFS('Entrées de stock'!$C:$C,'Entrées de stock'!$B:$B,B211)-SUMIFS('Ventes du jour'!$C:$C,'Ventes du jour'!$B:$B,B211))</f>
        <v/>
      </c>
      <c r="G211" s="6"/>
      <c r="H211" s="6"/>
      <c r="I211" s="9" t="str">
        <f>IF(OR(B211="",E211=""),"",E211-D211)</f>
        <v/>
      </c>
      <c r="J211" s="9" t="str">
        <f>IF(B211="","",F211*D211)</f>
        <v/>
      </c>
      <c r="K211" s="8" t="str">
        <f>IF(OR(B211="",H211=""),"",IF(F211&lt;=H211,"À commander","OK"))</f>
        <v/>
      </c>
    </row>
    <row r="212">
      <c r="A212" s="4"/>
      <c r="B212" s="4"/>
      <c r="C212" s="4"/>
      <c r="D212" s="26"/>
      <c r="E212" s="26"/>
      <c r="F212" s="28" t="str">
        <f>IF(B212="","",G212+SUMIFS('Entrées de stock'!$C:$C,'Entrées de stock'!$B:$B,B212)-SUMIFS('Ventes du jour'!$C:$C,'Ventes du jour'!$B:$B,B212))</f>
        <v/>
      </c>
      <c r="G212" s="6"/>
      <c r="H212" s="6"/>
      <c r="I212" s="9" t="str">
        <f>IF(OR(B212="",E212=""),"",E212-D212)</f>
        <v/>
      </c>
      <c r="J212" s="9" t="str">
        <f>IF(B212="","",F212*D212)</f>
        <v/>
      </c>
      <c r="K212" s="8" t="str">
        <f>IF(OR(B212="",H212=""),"",IF(F212&lt;=H212,"À commander","OK"))</f>
        <v/>
      </c>
    </row>
    <row r="213">
      <c r="A213" s="4"/>
      <c r="B213" s="4"/>
      <c r="C213" s="4"/>
      <c r="D213" s="26"/>
      <c r="E213" s="26"/>
      <c r="F213" s="28" t="str">
        <f>IF(B213="","",G213+SUMIFS('Entrées de stock'!$C:$C,'Entrées de stock'!$B:$B,B213)-SUMIFS('Ventes du jour'!$C:$C,'Ventes du jour'!$B:$B,B213))</f>
        <v/>
      </c>
      <c r="G213" s="6"/>
      <c r="H213" s="6"/>
      <c r="I213" s="9" t="str">
        <f>IF(OR(B213="",E213=""),"",E213-D213)</f>
        <v/>
      </c>
      <c r="J213" s="9" t="str">
        <f>IF(B213="","",F213*D213)</f>
        <v/>
      </c>
      <c r="K213" s="8" t="str">
        <f>IF(OR(B213="",H213=""),"",IF(F213&lt;=H213,"À commander","OK"))</f>
        <v/>
      </c>
    </row>
    <row r="214">
      <c r="A214" s="4"/>
      <c r="B214" s="4"/>
      <c r="C214" s="4"/>
      <c r="D214" s="26"/>
      <c r="E214" s="26"/>
      <c r="F214" s="28" t="str">
        <f>IF(B214="","",G214+SUMIFS('Entrées de stock'!$C:$C,'Entrées de stock'!$B:$B,B214)-SUMIFS('Ventes du jour'!$C:$C,'Ventes du jour'!$B:$B,B214))</f>
        <v/>
      </c>
      <c r="G214" s="6"/>
      <c r="H214" s="6"/>
      <c r="I214" s="9" t="str">
        <f>IF(OR(B214="",E214=""),"",E214-D214)</f>
        <v/>
      </c>
      <c r="J214" s="9" t="str">
        <f>IF(B214="","",F214*D214)</f>
        <v/>
      </c>
      <c r="K214" s="8" t="str">
        <f>IF(OR(B214="",H214=""),"",IF(F214&lt;=H214,"À commander","OK"))</f>
        <v/>
      </c>
    </row>
    <row r="215">
      <c r="A215" s="4"/>
      <c r="B215" s="4"/>
      <c r="C215" s="4"/>
      <c r="D215" s="26"/>
      <c r="E215" s="26"/>
      <c r="F215" s="28" t="str">
        <f>IF(B215="","",G215+SUMIFS('Entrées de stock'!$C:$C,'Entrées de stock'!$B:$B,B215)-SUMIFS('Ventes du jour'!$C:$C,'Ventes du jour'!$B:$B,B215))</f>
        <v/>
      </c>
      <c r="G215" s="6"/>
      <c r="H215" s="6"/>
      <c r="I215" s="9" t="str">
        <f>IF(OR(B215="",E215=""),"",E215-D215)</f>
        <v/>
      </c>
      <c r="J215" s="9" t="str">
        <f>IF(B215="","",F215*D215)</f>
        <v/>
      </c>
      <c r="K215" s="8" t="str">
        <f>IF(OR(B215="",H215=""),"",IF(F215&lt;=H215,"À commander","OK"))</f>
        <v/>
      </c>
    </row>
    <row r="216">
      <c r="A216" s="4"/>
      <c r="B216" s="4"/>
      <c r="C216" s="4"/>
      <c r="D216" s="26"/>
      <c r="E216" s="26"/>
      <c r="F216" s="28" t="str">
        <f>IF(B216="","",G216+SUMIFS('Entrées de stock'!$C:$C,'Entrées de stock'!$B:$B,B216)-SUMIFS('Ventes du jour'!$C:$C,'Ventes du jour'!$B:$B,B216))</f>
        <v/>
      </c>
      <c r="G216" s="6"/>
      <c r="H216" s="6"/>
      <c r="I216" s="9" t="str">
        <f>IF(OR(B216="",E216=""),"",E216-D216)</f>
        <v/>
      </c>
      <c r="J216" s="9" t="str">
        <f>IF(B216="","",F216*D216)</f>
        <v/>
      </c>
      <c r="K216" s="8" t="str">
        <f>IF(OR(B216="",H216=""),"",IF(F216&lt;=H216,"À commander","OK"))</f>
        <v/>
      </c>
    </row>
    <row r="217">
      <c r="A217" s="4"/>
      <c r="B217" s="4"/>
      <c r="C217" s="4"/>
      <c r="D217" s="26"/>
      <c r="E217" s="26"/>
      <c r="F217" s="28" t="str">
        <f>IF(B217="","",G217+SUMIFS('Entrées de stock'!$C:$C,'Entrées de stock'!$B:$B,B217)-SUMIFS('Ventes du jour'!$C:$C,'Ventes du jour'!$B:$B,B217))</f>
        <v/>
      </c>
      <c r="G217" s="6"/>
      <c r="H217" s="6"/>
      <c r="I217" s="9" t="str">
        <f>IF(OR(B217="",E217=""),"",E217-D217)</f>
        <v/>
      </c>
      <c r="J217" s="9" t="str">
        <f>IF(B217="","",F217*D217)</f>
        <v/>
      </c>
      <c r="K217" s="8" t="str">
        <f>IF(OR(B217="",H217=""),"",IF(F217&lt;=H217,"À commander","OK"))</f>
        <v/>
      </c>
    </row>
    <row r="218">
      <c r="A218" s="4"/>
      <c r="B218" s="4"/>
      <c r="C218" s="4"/>
      <c r="D218" s="26"/>
      <c r="E218" s="26"/>
      <c r="F218" s="28" t="str">
        <f>IF(B218="","",G218+SUMIFS('Entrées de stock'!$C:$C,'Entrées de stock'!$B:$B,B218)-SUMIFS('Ventes du jour'!$C:$C,'Ventes du jour'!$B:$B,B218))</f>
        <v/>
      </c>
      <c r="G218" s="6"/>
      <c r="H218" s="6"/>
      <c r="I218" s="9" t="str">
        <f>IF(OR(B218="",E218=""),"",E218-D218)</f>
        <v/>
      </c>
      <c r="J218" s="9" t="str">
        <f>IF(B218="","",F218*D218)</f>
        <v/>
      </c>
      <c r="K218" s="8" t="str">
        <f>IF(OR(B218="",H218=""),"",IF(F218&lt;=H218,"À commander","OK"))</f>
        <v/>
      </c>
    </row>
    <row r="219">
      <c r="A219" s="4"/>
      <c r="B219" s="4"/>
      <c r="C219" s="4"/>
      <c r="D219" s="26"/>
      <c r="E219" s="26"/>
      <c r="F219" s="28" t="str">
        <f>IF(B219="","",G219+SUMIFS('Entrées de stock'!$C:$C,'Entrées de stock'!$B:$B,B219)-SUMIFS('Ventes du jour'!$C:$C,'Ventes du jour'!$B:$B,B219))</f>
        <v/>
      </c>
      <c r="G219" s="6"/>
      <c r="H219" s="6"/>
      <c r="I219" s="9" t="str">
        <f>IF(OR(B219="",E219=""),"",E219-D219)</f>
        <v/>
      </c>
      <c r="J219" s="9" t="str">
        <f>IF(B219="","",F219*D219)</f>
        <v/>
      </c>
      <c r="K219" s="8" t="str">
        <f>IF(OR(B219="",H219=""),"",IF(F219&lt;=H219,"À commander","OK"))</f>
        <v/>
      </c>
    </row>
    <row r="220">
      <c r="A220" s="4"/>
      <c r="B220" s="4"/>
      <c r="C220" s="4"/>
      <c r="D220" s="26"/>
      <c r="E220" s="26"/>
      <c r="F220" s="28" t="str">
        <f>IF(B220="","",G220+SUMIFS('Entrées de stock'!$C:$C,'Entrées de stock'!$B:$B,B220)-SUMIFS('Ventes du jour'!$C:$C,'Ventes du jour'!$B:$B,B220))</f>
        <v/>
      </c>
      <c r="G220" s="6"/>
      <c r="H220" s="6"/>
      <c r="I220" s="9" t="str">
        <f>IF(OR(B220="",E220=""),"",E220-D220)</f>
        <v/>
      </c>
      <c r="J220" s="9" t="str">
        <f>IF(B220="","",F220*D220)</f>
        <v/>
      </c>
      <c r="K220" s="8" t="str">
        <f>IF(OR(B220="",H220=""),"",IF(F220&lt;=H220,"À commander","OK"))</f>
        <v/>
      </c>
    </row>
    <row r="221">
      <c r="A221" s="4"/>
      <c r="B221" s="4"/>
      <c r="C221" s="4"/>
      <c r="D221" s="26"/>
      <c r="E221" s="26"/>
      <c r="F221" s="28" t="str">
        <f>IF(B221="","",G221+SUMIFS('Entrées de stock'!$C:$C,'Entrées de stock'!$B:$B,B221)-SUMIFS('Ventes du jour'!$C:$C,'Ventes du jour'!$B:$B,B221))</f>
        <v/>
      </c>
      <c r="G221" s="6"/>
      <c r="H221" s="6"/>
      <c r="I221" s="9" t="str">
        <f>IF(OR(B221="",E221=""),"",E221-D221)</f>
        <v/>
      </c>
      <c r="J221" s="9" t="str">
        <f>IF(B221="","",F221*D221)</f>
        <v/>
      </c>
      <c r="K221" s="8" t="str">
        <f>IF(OR(B221="",H221=""),"",IF(F221&lt;=H221,"À commander","OK"))</f>
        <v/>
      </c>
    </row>
    <row r="222">
      <c r="A222" s="4"/>
      <c r="B222" s="4"/>
      <c r="C222" s="4"/>
      <c r="D222" s="26"/>
      <c r="E222" s="26"/>
      <c r="F222" s="28" t="str">
        <f>IF(B222="","",G222+SUMIFS('Entrées de stock'!$C:$C,'Entrées de stock'!$B:$B,B222)-SUMIFS('Ventes du jour'!$C:$C,'Ventes du jour'!$B:$B,B222))</f>
        <v/>
      </c>
      <c r="G222" s="6"/>
      <c r="H222" s="6"/>
      <c r="I222" s="9" t="str">
        <f>IF(OR(B222="",E222=""),"",E222-D222)</f>
        <v/>
      </c>
      <c r="J222" s="9" t="str">
        <f>IF(B222="","",F222*D222)</f>
        <v/>
      </c>
      <c r="K222" s="8" t="str">
        <f>IF(OR(B222="",H222=""),"",IF(F222&lt;=H222,"À commander","OK"))</f>
        <v/>
      </c>
    </row>
    <row r="223">
      <c r="A223" s="4"/>
      <c r="B223" s="4"/>
      <c r="C223" s="4"/>
      <c r="D223" s="26"/>
      <c r="E223" s="26"/>
      <c r="F223" s="28" t="str">
        <f>IF(B223="","",G223+SUMIFS('Entrées de stock'!$C:$C,'Entrées de stock'!$B:$B,B223)-SUMIFS('Ventes du jour'!$C:$C,'Ventes du jour'!$B:$B,B223))</f>
        <v/>
      </c>
      <c r="G223" s="6"/>
      <c r="H223" s="6"/>
      <c r="I223" s="9" t="str">
        <f>IF(OR(B223="",E223=""),"",E223-D223)</f>
        <v/>
      </c>
      <c r="J223" s="9" t="str">
        <f>IF(B223="","",F223*D223)</f>
        <v/>
      </c>
      <c r="K223" s="8" t="str">
        <f>IF(OR(B223="",H223=""),"",IF(F223&lt;=H223,"À commander","OK"))</f>
        <v/>
      </c>
    </row>
    <row r="224">
      <c r="A224" s="4"/>
      <c r="B224" s="4"/>
      <c r="C224" s="4"/>
      <c r="D224" s="26"/>
      <c r="E224" s="26"/>
      <c r="F224" s="28" t="str">
        <f>IF(B224="","",G224+SUMIFS('Entrées de stock'!$C:$C,'Entrées de stock'!$B:$B,B224)-SUMIFS('Ventes du jour'!$C:$C,'Ventes du jour'!$B:$B,B224))</f>
        <v/>
      </c>
      <c r="G224" s="6"/>
      <c r="H224" s="6"/>
      <c r="I224" s="9" t="str">
        <f>IF(OR(B224="",E224=""),"",E224-D224)</f>
        <v/>
      </c>
      <c r="J224" s="9" t="str">
        <f>IF(B224="","",F224*D224)</f>
        <v/>
      </c>
      <c r="K224" s="8" t="str">
        <f>IF(OR(B224="",H224=""),"",IF(F224&lt;=H224,"À commander","OK"))</f>
        <v/>
      </c>
    </row>
    <row r="225">
      <c r="A225" s="4"/>
      <c r="B225" s="4"/>
      <c r="C225" s="4"/>
      <c r="D225" s="26"/>
      <c r="E225" s="26"/>
      <c r="F225" s="28" t="str">
        <f>IF(B225="","",G225+SUMIFS('Entrées de stock'!$C:$C,'Entrées de stock'!$B:$B,B225)-SUMIFS('Ventes du jour'!$C:$C,'Ventes du jour'!$B:$B,B225))</f>
        <v/>
      </c>
      <c r="G225" s="6"/>
      <c r="H225" s="6"/>
      <c r="I225" s="9" t="str">
        <f>IF(OR(B225="",E225=""),"",E225-D225)</f>
        <v/>
      </c>
      <c r="J225" s="9" t="str">
        <f>IF(B225="","",F225*D225)</f>
        <v/>
      </c>
      <c r="K225" s="8" t="str">
        <f>IF(OR(B225="",H225=""),"",IF(F225&lt;=H225,"À commander","OK"))</f>
        <v/>
      </c>
    </row>
    <row r="226">
      <c r="A226" s="4"/>
      <c r="B226" s="4"/>
      <c r="C226" s="4"/>
      <c r="D226" s="26"/>
      <c r="E226" s="26"/>
      <c r="F226" s="28" t="str">
        <f>IF(B226="","",G226+SUMIFS('Entrées de stock'!$C:$C,'Entrées de stock'!$B:$B,B226)-SUMIFS('Ventes du jour'!$C:$C,'Ventes du jour'!$B:$B,B226))</f>
        <v/>
      </c>
      <c r="G226" s="6"/>
      <c r="H226" s="6"/>
      <c r="I226" s="9" t="str">
        <f>IF(OR(B226="",E226=""),"",E226-D226)</f>
        <v/>
      </c>
      <c r="J226" s="9" t="str">
        <f>IF(B226="","",F226*D226)</f>
        <v/>
      </c>
      <c r="K226" s="8" t="str">
        <f>IF(OR(B226="",H226=""),"",IF(F226&lt;=H226,"À commander","OK"))</f>
        <v/>
      </c>
    </row>
    <row r="227">
      <c r="A227" s="4"/>
      <c r="B227" s="4"/>
      <c r="C227" s="4"/>
      <c r="D227" s="26"/>
      <c r="E227" s="26"/>
      <c r="F227" s="28" t="str">
        <f>IF(B227="","",G227+SUMIFS('Entrées de stock'!$C:$C,'Entrées de stock'!$B:$B,B227)-SUMIFS('Ventes du jour'!$C:$C,'Ventes du jour'!$B:$B,B227))</f>
        <v/>
      </c>
      <c r="G227" s="6"/>
      <c r="H227" s="6"/>
      <c r="I227" s="9" t="str">
        <f>IF(OR(B227="",E227=""),"",E227-D227)</f>
        <v/>
      </c>
      <c r="J227" s="9" t="str">
        <f>IF(B227="","",F227*D227)</f>
        <v/>
      </c>
      <c r="K227" s="8" t="str">
        <f>IF(OR(B227="",H227=""),"",IF(F227&lt;=H227,"À commander","OK"))</f>
        <v/>
      </c>
    </row>
    <row r="228">
      <c r="A228" s="4"/>
      <c r="B228" s="4"/>
      <c r="C228" s="4"/>
      <c r="D228" s="26"/>
      <c r="E228" s="26"/>
      <c r="F228" s="28" t="str">
        <f>IF(B228="","",G228+SUMIFS('Entrées de stock'!$C:$C,'Entrées de stock'!$B:$B,B228)-SUMIFS('Ventes du jour'!$C:$C,'Ventes du jour'!$B:$B,B228))</f>
        <v/>
      </c>
      <c r="G228" s="6"/>
      <c r="H228" s="6"/>
      <c r="I228" s="9" t="str">
        <f>IF(OR(B228="",E228=""),"",E228-D228)</f>
        <v/>
      </c>
      <c r="J228" s="9" t="str">
        <f>IF(B228="","",F228*D228)</f>
        <v/>
      </c>
      <c r="K228" s="8" t="str">
        <f>IF(OR(B228="",H228=""),"",IF(F228&lt;=H228,"À commander","OK"))</f>
        <v/>
      </c>
    </row>
    <row r="229">
      <c r="A229" s="4"/>
      <c r="B229" s="4"/>
      <c r="C229" s="4"/>
      <c r="D229" s="26"/>
      <c r="E229" s="26"/>
      <c r="F229" s="28" t="str">
        <f>IF(B229="","",G229+SUMIFS('Entrées de stock'!$C:$C,'Entrées de stock'!$B:$B,B229)-SUMIFS('Ventes du jour'!$C:$C,'Ventes du jour'!$B:$B,B229))</f>
        <v/>
      </c>
      <c r="G229" s="6"/>
      <c r="H229" s="6"/>
      <c r="I229" s="9" t="str">
        <f>IF(OR(B229="",E229=""),"",E229-D229)</f>
        <v/>
      </c>
      <c r="J229" s="9" t="str">
        <f>IF(B229="","",F229*D229)</f>
        <v/>
      </c>
      <c r="K229" s="8" t="str">
        <f>IF(OR(B229="",H229=""),"",IF(F229&lt;=H229,"À commander","OK"))</f>
        <v/>
      </c>
    </row>
    <row r="230">
      <c r="A230" s="4"/>
      <c r="B230" s="4"/>
      <c r="C230" s="4"/>
      <c r="D230" s="26"/>
      <c r="E230" s="26"/>
      <c r="F230" s="28" t="str">
        <f>IF(B230="","",G230+SUMIFS('Entrées de stock'!$C:$C,'Entrées de stock'!$B:$B,B230)-SUMIFS('Ventes du jour'!$C:$C,'Ventes du jour'!$B:$B,B230))</f>
        <v/>
      </c>
      <c r="G230" s="6"/>
      <c r="H230" s="6"/>
      <c r="I230" s="9" t="str">
        <f>IF(OR(B230="",E230=""),"",E230-D230)</f>
        <v/>
      </c>
      <c r="J230" s="9" t="str">
        <f>IF(B230="","",F230*D230)</f>
        <v/>
      </c>
      <c r="K230" s="8" t="str">
        <f>IF(OR(B230="",H230=""),"",IF(F230&lt;=H230,"À commander","OK"))</f>
        <v/>
      </c>
    </row>
    <row r="231">
      <c r="A231" s="4"/>
      <c r="B231" s="4"/>
      <c r="C231" s="4"/>
      <c r="D231" s="26"/>
      <c r="E231" s="26"/>
      <c r="F231" s="28" t="str">
        <f>IF(B231="","",G231+SUMIFS('Entrées de stock'!$C:$C,'Entrées de stock'!$B:$B,B231)-SUMIFS('Ventes du jour'!$C:$C,'Ventes du jour'!$B:$B,B231))</f>
        <v/>
      </c>
      <c r="G231" s="6"/>
      <c r="H231" s="6"/>
      <c r="I231" s="9" t="str">
        <f>IF(OR(B231="",E231=""),"",E231-D231)</f>
        <v/>
      </c>
      <c r="J231" s="9" t="str">
        <f>IF(B231="","",F231*D231)</f>
        <v/>
      </c>
      <c r="K231" s="8" t="str">
        <f>IF(OR(B231="",H231=""),"",IF(F231&lt;=H231,"À commander","OK"))</f>
        <v/>
      </c>
    </row>
    <row r="232">
      <c r="A232" s="4"/>
      <c r="B232" s="4"/>
      <c r="C232" s="4"/>
      <c r="D232" s="26"/>
      <c r="E232" s="26"/>
      <c r="F232" s="28" t="str">
        <f>IF(B232="","",G232+SUMIFS('Entrées de stock'!$C:$C,'Entrées de stock'!$B:$B,B232)-SUMIFS('Ventes du jour'!$C:$C,'Ventes du jour'!$B:$B,B232))</f>
        <v/>
      </c>
      <c r="G232" s="6"/>
      <c r="H232" s="6"/>
      <c r="I232" s="9" t="str">
        <f>IF(OR(B232="",E232=""),"",E232-D232)</f>
        <v/>
      </c>
      <c r="J232" s="9" t="str">
        <f>IF(B232="","",F232*D232)</f>
        <v/>
      </c>
      <c r="K232" s="8" t="str">
        <f>IF(OR(B232="",H232=""),"",IF(F232&lt;=H232,"À commander","OK"))</f>
        <v/>
      </c>
    </row>
    <row r="233">
      <c r="A233" s="4"/>
      <c r="B233" s="4"/>
      <c r="C233" s="4"/>
      <c r="D233" s="26"/>
      <c r="E233" s="26"/>
      <c r="F233" s="28" t="str">
        <f>IF(B233="","",G233+SUMIFS('Entrées de stock'!$C:$C,'Entrées de stock'!$B:$B,B233)-SUMIFS('Ventes du jour'!$C:$C,'Ventes du jour'!$B:$B,B233))</f>
        <v/>
      </c>
      <c r="G233" s="6"/>
      <c r="H233" s="6"/>
      <c r="I233" s="9" t="str">
        <f>IF(OR(B233="",E233=""),"",E233-D233)</f>
        <v/>
      </c>
      <c r="J233" s="9" t="str">
        <f>IF(B233="","",F233*D233)</f>
        <v/>
      </c>
      <c r="K233" s="8" t="str">
        <f>IF(OR(B233="",H233=""),"",IF(F233&lt;=H233,"À commander","OK"))</f>
        <v/>
      </c>
    </row>
    <row r="234">
      <c r="A234" s="4"/>
      <c r="B234" s="4"/>
      <c r="C234" s="4"/>
      <c r="D234" s="26"/>
      <c r="E234" s="26"/>
      <c r="F234" s="28" t="str">
        <f>IF(B234="","",G234+SUMIFS('Entrées de stock'!$C:$C,'Entrées de stock'!$B:$B,B234)-SUMIFS('Ventes du jour'!$C:$C,'Ventes du jour'!$B:$B,B234))</f>
        <v/>
      </c>
      <c r="G234" s="6"/>
      <c r="H234" s="6"/>
      <c r="I234" s="9" t="str">
        <f>IF(OR(B234="",E234=""),"",E234-D234)</f>
        <v/>
      </c>
      <c r="J234" s="9" t="str">
        <f>IF(B234="","",F234*D234)</f>
        <v/>
      </c>
      <c r="K234" s="8" t="str">
        <f>IF(OR(B234="",H234=""),"",IF(F234&lt;=H234,"À commander","OK"))</f>
        <v/>
      </c>
    </row>
    <row r="235">
      <c r="A235" s="4"/>
      <c r="B235" s="4"/>
      <c r="C235" s="4"/>
      <c r="D235" s="26"/>
      <c r="E235" s="26"/>
      <c r="F235" s="28" t="str">
        <f>IF(B235="","",G235+SUMIFS('Entrées de stock'!$C:$C,'Entrées de stock'!$B:$B,B235)-SUMIFS('Ventes du jour'!$C:$C,'Ventes du jour'!$B:$B,B235))</f>
        <v/>
      </c>
      <c r="G235" s="6"/>
      <c r="H235" s="6"/>
      <c r="I235" s="9" t="str">
        <f>IF(OR(B235="",E235=""),"",E235-D235)</f>
        <v/>
      </c>
      <c r="J235" s="9" t="str">
        <f>IF(B235="","",F235*D235)</f>
        <v/>
      </c>
      <c r="K235" s="8" t="str">
        <f>IF(OR(B235="",H235=""),"",IF(F235&lt;=H235,"À commander","OK"))</f>
        <v/>
      </c>
    </row>
    <row r="236">
      <c r="A236" s="4"/>
      <c r="B236" s="4"/>
      <c r="C236" s="4"/>
      <c r="D236" s="26"/>
      <c r="E236" s="26"/>
      <c r="F236" s="28" t="str">
        <f>IF(B236="","",G236+SUMIFS('Entrées de stock'!$C:$C,'Entrées de stock'!$B:$B,B236)-SUMIFS('Ventes du jour'!$C:$C,'Ventes du jour'!$B:$B,B236))</f>
        <v/>
      </c>
      <c r="G236" s="6"/>
      <c r="H236" s="6"/>
      <c r="I236" s="9" t="str">
        <f>IF(OR(B236="",E236=""),"",E236-D236)</f>
        <v/>
      </c>
      <c r="J236" s="9" t="str">
        <f>IF(B236="","",F236*D236)</f>
        <v/>
      </c>
      <c r="K236" s="8" t="str">
        <f>IF(OR(B236="",H236=""),"",IF(F236&lt;=H236,"À commander","OK"))</f>
        <v/>
      </c>
    </row>
    <row r="237">
      <c r="A237" s="4"/>
      <c r="B237" s="4"/>
      <c r="C237" s="4"/>
      <c r="D237" s="26"/>
      <c r="E237" s="26"/>
      <c r="F237" s="28" t="str">
        <f>IF(B237="","",G237+SUMIFS('Entrées de stock'!$C:$C,'Entrées de stock'!$B:$B,B237)-SUMIFS('Ventes du jour'!$C:$C,'Ventes du jour'!$B:$B,B237))</f>
        <v/>
      </c>
      <c r="G237" s="6"/>
      <c r="H237" s="6"/>
      <c r="I237" s="9" t="str">
        <f>IF(OR(B237="",E237=""),"",E237-D237)</f>
        <v/>
      </c>
      <c r="J237" s="9" t="str">
        <f>IF(B237="","",F237*D237)</f>
        <v/>
      </c>
      <c r="K237" s="8" t="str">
        <f>IF(OR(B237="",H237=""),"",IF(F237&lt;=H237,"À commander","OK"))</f>
        <v/>
      </c>
    </row>
    <row r="238">
      <c r="A238" s="4"/>
      <c r="B238" s="4"/>
      <c r="C238" s="4"/>
      <c r="D238" s="26"/>
      <c r="E238" s="26"/>
      <c r="F238" s="28" t="str">
        <f>IF(B238="","",G238+SUMIFS('Entrées de stock'!$C:$C,'Entrées de stock'!$B:$B,B238)-SUMIFS('Ventes du jour'!$C:$C,'Ventes du jour'!$B:$B,B238))</f>
        <v/>
      </c>
      <c r="G238" s="6"/>
      <c r="H238" s="6"/>
      <c r="I238" s="9" t="str">
        <f>IF(OR(B238="",E238=""),"",E238-D238)</f>
        <v/>
      </c>
      <c r="J238" s="9" t="str">
        <f>IF(B238="","",F238*D238)</f>
        <v/>
      </c>
      <c r="K238" s="8" t="str">
        <f>IF(OR(B238="",H238=""),"",IF(F238&lt;=H238,"À commander","OK"))</f>
        <v/>
      </c>
    </row>
    <row r="239">
      <c r="A239" s="4"/>
      <c r="B239" s="4"/>
      <c r="C239" s="4"/>
      <c r="D239" s="26"/>
      <c r="E239" s="26"/>
      <c r="F239" s="28" t="str">
        <f>IF(B239="","",G239+SUMIFS('Entrées de stock'!$C:$C,'Entrées de stock'!$B:$B,B239)-SUMIFS('Ventes du jour'!$C:$C,'Ventes du jour'!$B:$B,B239))</f>
        <v/>
      </c>
      <c r="G239" s="6"/>
      <c r="H239" s="6"/>
      <c r="I239" s="9" t="str">
        <f>IF(OR(B239="",E239=""),"",E239-D239)</f>
        <v/>
      </c>
      <c r="J239" s="9" t="str">
        <f>IF(B239="","",F239*D239)</f>
        <v/>
      </c>
      <c r="K239" s="8" t="str">
        <f>IF(OR(B239="",H239=""),"",IF(F239&lt;=H239,"À commander","OK"))</f>
        <v/>
      </c>
    </row>
    <row r="240">
      <c r="A240" s="4"/>
      <c r="B240" s="4"/>
      <c r="C240" s="4"/>
      <c r="D240" s="26"/>
      <c r="E240" s="26"/>
      <c r="F240" s="28" t="str">
        <f>IF(B240="","",G240+SUMIFS('Entrées de stock'!$C:$C,'Entrées de stock'!$B:$B,B240)-SUMIFS('Ventes du jour'!$C:$C,'Ventes du jour'!$B:$B,B240))</f>
        <v/>
      </c>
      <c r="G240" s="6"/>
      <c r="H240" s="6"/>
      <c r="I240" s="9" t="str">
        <f>IF(OR(B240="",E240=""),"",E240-D240)</f>
        <v/>
      </c>
      <c r="J240" s="9" t="str">
        <f>IF(B240="","",F240*D240)</f>
        <v/>
      </c>
      <c r="K240" s="8" t="str">
        <f>IF(OR(B240="",H240=""),"",IF(F240&lt;=H240,"À commander","OK"))</f>
        <v/>
      </c>
    </row>
    <row r="241">
      <c r="A241" s="4"/>
      <c r="B241" s="4"/>
      <c r="C241" s="4"/>
      <c r="D241" s="26"/>
      <c r="E241" s="26"/>
      <c r="F241" s="28" t="str">
        <f>IF(B241="","",G241+SUMIFS('Entrées de stock'!$C:$C,'Entrées de stock'!$B:$B,B241)-SUMIFS('Ventes du jour'!$C:$C,'Ventes du jour'!$B:$B,B241))</f>
        <v/>
      </c>
      <c r="G241" s="6"/>
      <c r="H241" s="6"/>
      <c r="I241" s="9" t="str">
        <f>IF(OR(B241="",E241=""),"",E241-D241)</f>
        <v/>
      </c>
      <c r="J241" s="9" t="str">
        <f>IF(B241="","",F241*D241)</f>
        <v/>
      </c>
      <c r="K241" s="8" t="str">
        <f>IF(OR(B241="",H241=""),"",IF(F241&lt;=H241,"À commander","OK"))</f>
        <v/>
      </c>
    </row>
    <row r="242">
      <c r="A242" s="4"/>
      <c r="B242" s="4"/>
      <c r="C242" s="4"/>
      <c r="D242" s="26"/>
      <c r="E242" s="26"/>
      <c r="F242" s="28" t="str">
        <f>IF(B242="","",G242+SUMIFS('Entrées de stock'!$C:$C,'Entrées de stock'!$B:$B,B242)-SUMIFS('Ventes du jour'!$C:$C,'Ventes du jour'!$B:$B,B242))</f>
        <v/>
      </c>
      <c r="G242" s="6"/>
      <c r="H242" s="6"/>
      <c r="I242" s="9" t="str">
        <f>IF(OR(B242="",E242=""),"",E242-D242)</f>
        <v/>
      </c>
      <c r="J242" s="9" t="str">
        <f>IF(B242="","",F242*D242)</f>
        <v/>
      </c>
      <c r="K242" s="8" t="str">
        <f>IF(OR(B242="",H242=""),"",IF(F242&lt;=H242,"À commander","OK"))</f>
        <v/>
      </c>
    </row>
    <row r="243">
      <c r="A243" s="4"/>
      <c r="B243" s="4"/>
      <c r="C243" s="4"/>
      <c r="D243" s="26"/>
      <c r="E243" s="26"/>
      <c r="F243" s="28" t="str">
        <f>IF(B243="","",G243+SUMIFS('Entrées de stock'!$C:$C,'Entrées de stock'!$B:$B,B243)-SUMIFS('Ventes du jour'!$C:$C,'Ventes du jour'!$B:$B,B243))</f>
        <v/>
      </c>
      <c r="G243" s="6"/>
      <c r="H243" s="6"/>
      <c r="I243" s="9" t="str">
        <f>IF(OR(B243="",E243=""),"",E243-D243)</f>
        <v/>
      </c>
      <c r="J243" s="9" t="str">
        <f>IF(B243="","",F243*D243)</f>
        <v/>
      </c>
      <c r="K243" s="8" t="str">
        <f>IF(OR(B243="",H243=""),"",IF(F243&lt;=H243,"À commander","OK"))</f>
        <v/>
      </c>
    </row>
    <row r="244">
      <c r="A244" s="4"/>
      <c r="B244" s="4"/>
      <c r="C244" s="4"/>
      <c r="D244" s="26"/>
      <c r="E244" s="26"/>
      <c r="F244" s="28" t="str">
        <f>IF(B244="","",G244+SUMIFS('Entrées de stock'!$C:$C,'Entrées de stock'!$B:$B,B244)-SUMIFS('Ventes du jour'!$C:$C,'Ventes du jour'!$B:$B,B244))</f>
        <v/>
      </c>
      <c r="G244" s="6"/>
      <c r="H244" s="6"/>
      <c r="I244" s="9" t="str">
        <f>IF(OR(B244="",E244=""),"",E244-D244)</f>
        <v/>
      </c>
      <c r="J244" s="9" t="str">
        <f>IF(B244="","",F244*D244)</f>
        <v/>
      </c>
      <c r="K244" s="8" t="str">
        <f>IF(OR(B244="",H244=""),"",IF(F244&lt;=H244,"À commander","OK"))</f>
        <v/>
      </c>
    </row>
    <row r="245">
      <c r="A245" s="4"/>
      <c r="B245" s="4"/>
      <c r="C245" s="4"/>
      <c r="D245" s="26"/>
      <c r="E245" s="26"/>
      <c r="F245" s="28" t="str">
        <f>IF(B245="","",G245+SUMIFS('Entrées de stock'!$C:$C,'Entrées de stock'!$B:$B,B245)-SUMIFS('Ventes du jour'!$C:$C,'Ventes du jour'!$B:$B,B245))</f>
        <v/>
      </c>
      <c r="G245" s="6"/>
      <c r="H245" s="6"/>
      <c r="I245" s="9" t="str">
        <f>IF(OR(B245="",E245=""),"",E245-D245)</f>
        <v/>
      </c>
      <c r="J245" s="9" t="str">
        <f>IF(B245="","",F245*D245)</f>
        <v/>
      </c>
      <c r="K245" s="8" t="str">
        <f>IF(OR(B245="",H245=""),"",IF(F245&lt;=H245,"À commander","OK"))</f>
        <v/>
      </c>
    </row>
    <row r="246">
      <c r="A246" s="4"/>
      <c r="B246" s="4"/>
      <c r="C246" s="4"/>
      <c r="D246" s="26"/>
      <c r="E246" s="26"/>
      <c r="F246" s="28" t="str">
        <f>IF(B246="","",G246+SUMIFS('Entrées de stock'!$C:$C,'Entrées de stock'!$B:$B,B246)-SUMIFS('Ventes du jour'!$C:$C,'Ventes du jour'!$B:$B,B246))</f>
        <v/>
      </c>
      <c r="G246" s="6"/>
      <c r="H246" s="6"/>
      <c r="I246" s="9" t="str">
        <f>IF(OR(B246="",E246=""),"",E246-D246)</f>
        <v/>
      </c>
      <c r="J246" s="9" t="str">
        <f>IF(B246="","",F246*D246)</f>
        <v/>
      </c>
      <c r="K246" s="8" t="str">
        <f>IF(OR(B246="",H246=""),"",IF(F246&lt;=H246,"À commander","OK"))</f>
        <v/>
      </c>
    </row>
    <row r="247">
      <c r="A247" s="4"/>
      <c r="B247" s="4"/>
      <c r="C247" s="4"/>
      <c r="D247" s="26"/>
      <c r="E247" s="26"/>
      <c r="F247" s="28" t="str">
        <f>IF(B247="","",G247+SUMIFS('Entrées de stock'!$C:$C,'Entrées de stock'!$B:$B,B247)-SUMIFS('Ventes du jour'!$C:$C,'Ventes du jour'!$B:$B,B247))</f>
        <v/>
      </c>
      <c r="G247" s="6"/>
      <c r="H247" s="6"/>
      <c r="I247" s="9" t="str">
        <f>IF(OR(B247="",E247=""),"",E247-D247)</f>
        <v/>
      </c>
      <c r="J247" s="9" t="str">
        <f>IF(B247="","",F247*D247)</f>
        <v/>
      </c>
      <c r="K247" s="8" t="str">
        <f>IF(OR(B247="",H247=""),"",IF(F247&lt;=H247,"À commander","OK"))</f>
        <v/>
      </c>
    </row>
    <row r="248">
      <c r="A248" s="4"/>
      <c r="B248" s="4"/>
      <c r="C248" s="4"/>
      <c r="D248" s="26"/>
      <c r="E248" s="26"/>
      <c r="F248" s="28" t="str">
        <f>IF(B248="","",G248+SUMIFS('Entrées de stock'!$C:$C,'Entrées de stock'!$B:$B,B248)-SUMIFS('Ventes du jour'!$C:$C,'Ventes du jour'!$B:$B,B248))</f>
        <v/>
      </c>
      <c r="G248" s="6"/>
      <c r="H248" s="6"/>
      <c r="I248" s="9" t="str">
        <f>IF(OR(B248="",E248=""),"",E248-D248)</f>
        <v/>
      </c>
      <c r="J248" s="9" t="str">
        <f>IF(B248="","",F248*D248)</f>
        <v/>
      </c>
      <c r="K248" s="8" t="str">
        <f>IF(OR(B248="",H248=""),"",IF(F248&lt;=H248,"À commander","OK"))</f>
        <v/>
      </c>
    </row>
    <row r="249">
      <c r="A249" s="4"/>
      <c r="B249" s="4"/>
      <c r="C249" s="4"/>
      <c r="D249" s="26"/>
      <c r="E249" s="26"/>
      <c r="F249" s="28" t="str">
        <f>IF(B249="","",G249+SUMIFS('Entrées de stock'!$C:$C,'Entrées de stock'!$B:$B,B249)-SUMIFS('Ventes du jour'!$C:$C,'Ventes du jour'!$B:$B,B249))</f>
        <v/>
      </c>
      <c r="G249" s="6"/>
      <c r="H249" s="6"/>
      <c r="I249" s="9" t="str">
        <f>IF(OR(B249="",E249=""),"",E249-D249)</f>
        <v/>
      </c>
      <c r="J249" s="9" t="str">
        <f>IF(B249="","",F249*D249)</f>
        <v/>
      </c>
      <c r="K249" s="8" t="str">
        <f>IF(OR(B249="",H249=""),"",IF(F249&lt;=H249,"À commander","OK"))</f>
        <v/>
      </c>
    </row>
    <row r="250">
      <c r="A250" s="4"/>
      <c r="B250" s="4"/>
      <c r="C250" s="4"/>
      <c r="D250" s="26"/>
      <c r="E250" s="26"/>
      <c r="F250" s="28" t="str">
        <f>IF(B250="","",G250+SUMIFS('Entrées de stock'!$C:$C,'Entrées de stock'!$B:$B,B250)-SUMIFS('Ventes du jour'!$C:$C,'Ventes du jour'!$B:$B,B250))</f>
        <v/>
      </c>
      <c r="G250" s="6"/>
      <c r="H250" s="6"/>
      <c r="I250" s="9" t="str">
        <f>IF(OR(B250="",E250=""),"",E250-D250)</f>
        <v/>
      </c>
      <c r="J250" s="9" t="str">
        <f>IF(B250="","",F250*D250)</f>
        <v/>
      </c>
      <c r="K250" s="8" t="str">
        <f>IF(OR(B250="",H250=""),"",IF(F250&lt;=H250,"À commander","OK"))</f>
        <v/>
      </c>
    </row>
    <row r="251">
      <c r="A251" s="4"/>
      <c r="B251" s="4"/>
      <c r="C251" s="4"/>
      <c r="D251" s="26"/>
      <c r="E251" s="26"/>
      <c r="F251" s="28" t="str">
        <f>IF(B251="","",G251+SUMIFS('Entrées de stock'!$C:$C,'Entrées de stock'!$B:$B,B251)-SUMIFS('Ventes du jour'!$C:$C,'Ventes du jour'!$B:$B,B251))</f>
        <v/>
      </c>
      <c r="G251" s="6"/>
      <c r="H251" s="6"/>
      <c r="I251" s="9" t="str">
        <f>IF(OR(B251="",E251=""),"",E251-D251)</f>
        <v/>
      </c>
      <c r="J251" s="9" t="str">
        <f>IF(B251="","",F251*D251)</f>
        <v/>
      </c>
      <c r="K251" s="8" t="str">
        <f>IF(OR(B251="",H251=""),"",IF(F251&lt;=H251,"À commander","OK"))</f>
        <v/>
      </c>
    </row>
    <row r="252">
      <c r="A252" s="4"/>
      <c r="B252" s="4"/>
      <c r="C252" s="4"/>
      <c r="D252" s="26"/>
      <c r="E252" s="26"/>
      <c r="F252" s="28" t="str">
        <f>IF(B252="","",G252+SUMIFS('Entrées de stock'!$C:$C,'Entrées de stock'!$B:$B,B252)-SUMIFS('Ventes du jour'!$C:$C,'Ventes du jour'!$B:$B,B252))</f>
        <v/>
      </c>
      <c r="G252" s="6"/>
      <c r="H252" s="6"/>
      <c r="I252" s="9" t="str">
        <f>IF(OR(B252="",E252=""),"",E252-D252)</f>
        <v/>
      </c>
      <c r="J252" s="9" t="str">
        <f>IF(B252="","",F252*D252)</f>
        <v/>
      </c>
      <c r="K252" s="8" t="str">
        <f>IF(OR(B252="",H252=""),"",IF(F252&lt;=H252,"À commander","OK"))</f>
        <v/>
      </c>
    </row>
    <row r="253">
      <c r="A253" s="4"/>
      <c r="B253" s="4"/>
      <c r="C253" s="4"/>
      <c r="D253" s="26"/>
      <c r="E253" s="26"/>
      <c r="F253" s="28" t="str">
        <f>IF(B253="","",G253+SUMIFS('Entrées de stock'!$C:$C,'Entrées de stock'!$B:$B,B253)-SUMIFS('Ventes du jour'!$C:$C,'Ventes du jour'!$B:$B,B253))</f>
        <v/>
      </c>
      <c r="G253" s="6"/>
      <c r="H253" s="6"/>
      <c r="I253" s="9" t="str">
        <f>IF(OR(B253="",E253=""),"",E253-D253)</f>
        <v/>
      </c>
      <c r="J253" s="9" t="str">
        <f>IF(B253="","",F253*D253)</f>
        <v/>
      </c>
      <c r="K253" s="8" t="str">
        <f>IF(OR(B253="",H253=""),"",IF(F253&lt;=H253,"À commander","OK"))</f>
        <v/>
      </c>
    </row>
    <row r="254">
      <c r="A254" s="4"/>
      <c r="B254" s="4"/>
      <c r="C254" s="4"/>
      <c r="D254" s="26"/>
      <c r="E254" s="26"/>
      <c r="F254" s="28" t="str">
        <f>IF(B254="","",G254+SUMIFS('Entrées de stock'!$C:$C,'Entrées de stock'!$B:$B,B254)-SUMIFS('Ventes du jour'!$C:$C,'Ventes du jour'!$B:$B,B254))</f>
        <v/>
      </c>
      <c r="G254" s="6"/>
      <c r="H254" s="6"/>
      <c r="I254" s="9" t="str">
        <f>IF(OR(B254="",E254=""),"",E254-D254)</f>
        <v/>
      </c>
      <c r="J254" s="9" t="str">
        <f>IF(B254="","",F254*D254)</f>
        <v/>
      </c>
      <c r="K254" s="8" t="str">
        <f>IF(OR(B254="",H254=""),"",IF(F254&lt;=H254,"À commander","OK"))</f>
        <v/>
      </c>
    </row>
    <row r="255">
      <c r="A255" s="4"/>
      <c r="B255" s="4"/>
      <c r="C255" s="4"/>
      <c r="D255" s="26"/>
      <c r="E255" s="26"/>
      <c r="F255" s="28" t="str">
        <f>IF(B255="","",G255+SUMIFS('Entrées de stock'!$C:$C,'Entrées de stock'!$B:$B,B255)-SUMIFS('Ventes du jour'!$C:$C,'Ventes du jour'!$B:$B,B255))</f>
        <v/>
      </c>
      <c r="G255" s="6"/>
      <c r="H255" s="6"/>
      <c r="I255" s="9" t="str">
        <f>IF(OR(B255="",E255=""),"",E255-D255)</f>
        <v/>
      </c>
      <c r="J255" s="9" t="str">
        <f>IF(B255="","",F255*D255)</f>
        <v/>
      </c>
      <c r="K255" s="8" t="str">
        <f>IF(OR(B255="",H255=""),"",IF(F255&lt;=H255,"À commander","OK"))</f>
        <v/>
      </c>
    </row>
    <row r="256">
      <c r="A256" s="4"/>
      <c r="B256" s="4"/>
      <c r="C256" s="4"/>
      <c r="D256" s="26"/>
      <c r="E256" s="26"/>
      <c r="F256" s="28" t="str">
        <f>IF(B256="","",G256+SUMIFS('Entrées de stock'!$C:$C,'Entrées de stock'!$B:$B,B256)-SUMIFS('Ventes du jour'!$C:$C,'Ventes du jour'!$B:$B,B256))</f>
        <v/>
      </c>
      <c r="G256" s="6"/>
      <c r="H256" s="6"/>
      <c r="I256" s="9" t="str">
        <f>IF(OR(B256="",E256=""),"",E256-D256)</f>
        <v/>
      </c>
      <c r="J256" s="9" t="str">
        <f>IF(B256="","",F256*D256)</f>
        <v/>
      </c>
      <c r="K256" s="8" t="str">
        <f>IF(OR(B256="",H256=""),"",IF(F256&lt;=H256,"À commander","OK"))</f>
        <v/>
      </c>
    </row>
    <row r="257">
      <c r="A257" s="4"/>
      <c r="B257" s="4"/>
      <c r="C257" s="4"/>
      <c r="D257" s="26"/>
      <c r="E257" s="26"/>
      <c r="F257" s="28" t="str">
        <f>IF(B257="","",G257+SUMIFS('Entrées de stock'!$C:$C,'Entrées de stock'!$B:$B,B257)-SUMIFS('Ventes du jour'!$C:$C,'Ventes du jour'!$B:$B,B257))</f>
        <v/>
      </c>
      <c r="G257" s="6"/>
      <c r="H257" s="6"/>
      <c r="I257" s="9" t="str">
        <f>IF(OR(B257="",E257=""),"",E257-D257)</f>
        <v/>
      </c>
      <c r="J257" s="9" t="str">
        <f>IF(B257="","",F257*D257)</f>
        <v/>
      </c>
      <c r="K257" s="8" t="str">
        <f>IF(OR(B257="",H257=""),"",IF(F257&lt;=H257,"À commander","OK"))</f>
        <v/>
      </c>
    </row>
    <row r="258">
      <c r="A258" s="4"/>
      <c r="B258" s="4"/>
      <c r="C258" s="4"/>
      <c r="D258" s="26"/>
      <c r="E258" s="26"/>
      <c r="F258" s="28" t="str">
        <f>IF(B258="","",G258+SUMIFS('Entrées de stock'!$C:$C,'Entrées de stock'!$B:$B,B258)-SUMIFS('Ventes du jour'!$C:$C,'Ventes du jour'!$B:$B,B258))</f>
        <v/>
      </c>
      <c r="G258" s="6"/>
      <c r="H258" s="6"/>
      <c r="I258" s="9" t="str">
        <f>IF(OR(B258="",E258=""),"",E258-D258)</f>
        <v/>
      </c>
      <c r="J258" s="9" t="str">
        <f>IF(B258="","",F258*D258)</f>
        <v/>
      </c>
      <c r="K258" s="8" t="str">
        <f>IF(OR(B258="",H258=""),"",IF(F258&lt;=H258,"À commander","OK"))</f>
        <v/>
      </c>
    </row>
    <row r="259">
      <c r="A259" s="4"/>
      <c r="B259" s="4"/>
      <c r="C259" s="4"/>
      <c r="D259" s="26"/>
      <c r="E259" s="26"/>
      <c r="F259" s="28" t="str">
        <f>IF(B259="","",G259+SUMIFS('Entrées de stock'!$C:$C,'Entrées de stock'!$B:$B,B259)-SUMIFS('Ventes du jour'!$C:$C,'Ventes du jour'!$B:$B,B259))</f>
        <v/>
      </c>
      <c r="G259" s="6"/>
      <c r="H259" s="6"/>
      <c r="I259" s="9" t="str">
        <f>IF(OR(B259="",E259=""),"",E259-D259)</f>
        <v/>
      </c>
      <c r="J259" s="9" t="str">
        <f>IF(B259="","",F259*D259)</f>
        <v/>
      </c>
      <c r="K259" s="8" t="str">
        <f>IF(OR(B259="",H259=""),"",IF(F259&lt;=H259,"À commander","OK"))</f>
        <v/>
      </c>
    </row>
    <row r="260">
      <c r="A260" s="4"/>
      <c r="B260" s="4"/>
      <c r="C260" s="4"/>
      <c r="D260" s="26"/>
      <c r="E260" s="26"/>
      <c r="F260" s="28" t="str">
        <f>IF(B260="","",G260+SUMIFS('Entrées de stock'!$C:$C,'Entrées de stock'!$B:$B,B260)-SUMIFS('Ventes du jour'!$C:$C,'Ventes du jour'!$B:$B,B260))</f>
        <v/>
      </c>
      <c r="G260" s="6"/>
      <c r="H260" s="6"/>
      <c r="I260" s="9" t="str">
        <f>IF(OR(B260="",E260=""),"",E260-D260)</f>
        <v/>
      </c>
      <c r="J260" s="9" t="str">
        <f>IF(B260="","",F260*D260)</f>
        <v/>
      </c>
      <c r="K260" s="8" t="str">
        <f>IF(OR(B260="",H260=""),"",IF(F260&lt;=H260,"À commander","OK"))</f>
        <v/>
      </c>
    </row>
    <row r="261">
      <c r="A261" s="4"/>
      <c r="B261" s="4"/>
      <c r="C261" s="4"/>
      <c r="D261" s="26"/>
      <c r="E261" s="26"/>
      <c r="F261" s="28" t="str">
        <f>IF(B261="","",G261+SUMIFS('Entrées de stock'!$C:$C,'Entrées de stock'!$B:$B,B261)-SUMIFS('Ventes du jour'!$C:$C,'Ventes du jour'!$B:$B,B261))</f>
        <v/>
      </c>
      <c r="G261" s="6"/>
      <c r="H261" s="6"/>
      <c r="I261" s="9" t="str">
        <f>IF(OR(B261="",E261=""),"",E261-D261)</f>
        <v/>
      </c>
      <c r="J261" s="9" t="str">
        <f>IF(B261="","",F261*D261)</f>
        <v/>
      </c>
      <c r="K261" s="8" t="str">
        <f>IF(OR(B261="",H261=""),"",IF(F261&lt;=H261,"À commander","OK"))</f>
        <v/>
      </c>
    </row>
    <row r="262">
      <c r="A262" s="4"/>
      <c r="B262" s="4"/>
      <c r="C262" s="4"/>
      <c r="D262" s="26"/>
      <c r="E262" s="26"/>
      <c r="F262" s="28" t="str">
        <f>IF(B262="","",G262+SUMIFS('Entrées de stock'!$C:$C,'Entrées de stock'!$B:$B,B262)-SUMIFS('Ventes du jour'!$C:$C,'Ventes du jour'!$B:$B,B262))</f>
        <v/>
      </c>
      <c r="G262" s="6"/>
      <c r="H262" s="6"/>
      <c r="I262" s="9" t="str">
        <f>IF(OR(B262="",E262=""),"",E262-D262)</f>
        <v/>
      </c>
      <c r="J262" s="9" t="str">
        <f>IF(B262="","",F262*D262)</f>
        <v/>
      </c>
      <c r="K262" s="8" t="str">
        <f>IF(OR(B262="",H262=""),"",IF(F262&lt;=H262,"À commander","OK"))</f>
        <v/>
      </c>
    </row>
    <row r="263">
      <c r="A263" s="4"/>
      <c r="B263" s="4"/>
      <c r="C263" s="4"/>
      <c r="D263" s="26"/>
      <c r="E263" s="26"/>
      <c r="F263" s="28" t="str">
        <f>IF(B263="","",G263+SUMIFS('Entrées de stock'!$C:$C,'Entrées de stock'!$B:$B,B263)-SUMIFS('Ventes du jour'!$C:$C,'Ventes du jour'!$B:$B,B263))</f>
        <v/>
      </c>
      <c r="G263" s="6"/>
      <c r="H263" s="6"/>
      <c r="I263" s="9" t="str">
        <f>IF(OR(B263="",E263=""),"",E263-D263)</f>
        <v/>
      </c>
      <c r="J263" s="9" t="str">
        <f>IF(B263="","",F263*D263)</f>
        <v/>
      </c>
      <c r="K263" s="8" t="str">
        <f>IF(OR(B263="",H263=""),"",IF(F263&lt;=H263,"À commander","OK"))</f>
        <v/>
      </c>
    </row>
    <row r="264">
      <c r="A264" s="4"/>
      <c r="B264" s="4"/>
      <c r="C264" s="4"/>
      <c r="D264" s="26"/>
      <c r="E264" s="26"/>
      <c r="F264" s="28" t="str">
        <f>IF(B264="","",G264+SUMIFS('Entrées de stock'!$C:$C,'Entrées de stock'!$B:$B,B264)-SUMIFS('Ventes du jour'!$C:$C,'Ventes du jour'!$B:$B,B264))</f>
        <v/>
      </c>
      <c r="G264" s="6"/>
      <c r="H264" s="6"/>
      <c r="I264" s="9" t="str">
        <f>IF(OR(B264="",E264=""),"",E264-D264)</f>
        <v/>
      </c>
      <c r="J264" s="9" t="str">
        <f>IF(B264="","",F264*D264)</f>
        <v/>
      </c>
      <c r="K264" s="8" t="str">
        <f>IF(OR(B264="",H264=""),"",IF(F264&lt;=H264,"À commander","OK"))</f>
        <v/>
      </c>
    </row>
    <row r="265">
      <c r="A265" s="4"/>
      <c r="B265" s="4"/>
      <c r="C265" s="4"/>
      <c r="D265" s="26"/>
      <c r="E265" s="26"/>
      <c r="F265" s="28" t="str">
        <f>IF(B265="","",G265+SUMIFS('Entrées de stock'!$C:$C,'Entrées de stock'!$B:$B,B265)-SUMIFS('Ventes du jour'!$C:$C,'Ventes du jour'!$B:$B,B265))</f>
        <v/>
      </c>
      <c r="G265" s="6"/>
      <c r="H265" s="6"/>
      <c r="I265" s="9" t="str">
        <f>IF(OR(B265="",E265=""),"",E265-D265)</f>
        <v/>
      </c>
      <c r="J265" s="9" t="str">
        <f>IF(B265="","",F265*D265)</f>
        <v/>
      </c>
      <c r="K265" s="8" t="str">
        <f>IF(OR(B265="",H265=""),"",IF(F265&lt;=H265,"À commander","OK"))</f>
        <v/>
      </c>
    </row>
    <row r="266">
      <c r="A266" s="4"/>
      <c r="B266" s="4"/>
      <c r="C266" s="4"/>
      <c r="D266" s="26"/>
      <c r="E266" s="26"/>
      <c r="F266" s="28" t="str">
        <f>IF(B266="","",G266+SUMIFS('Entrées de stock'!$C:$C,'Entrées de stock'!$B:$B,B266)-SUMIFS('Ventes du jour'!$C:$C,'Ventes du jour'!$B:$B,B266))</f>
        <v/>
      </c>
      <c r="G266" s="6"/>
      <c r="H266" s="6"/>
      <c r="I266" s="9" t="str">
        <f>IF(OR(B266="",E266=""),"",E266-D266)</f>
        <v/>
      </c>
      <c r="J266" s="9" t="str">
        <f>IF(B266="","",F266*D266)</f>
        <v/>
      </c>
      <c r="K266" s="8" t="str">
        <f>IF(OR(B266="",H266=""),"",IF(F266&lt;=H266,"À commander","OK"))</f>
        <v/>
      </c>
    </row>
    <row r="267">
      <c r="A267" s="4"/>
      <c r="B267" s="4"/>
      <c r="C267" s="4"/>
      <c r="D267" s="26"/>
      <c r="E267" s="26"/>
      <c r="F267" s="28" t="str">
        <f>IF(B267="","",G267+SUMIFS('Entrées de stock'!$C:$C,'Entrées de stock'!$B:$B,B267)-SUMIFS('Ventes du jour'!$C:$C,'Ventes du jour'!$B:$B,B267))</f>
        <v/>
      </c>
      <c r="G267" s="6"/>
      <c r="H267" s="6"/>
      <c r="I267" s="9" t="str">
        <f>IF(OR(B267="",E267=""),"",E267-D267)</f>
        <v/>
      </c>
      <c r="J267" s="9" t="str">
        <f>IF(B267="","",F267*D267)</f>
        <v/>
      </c>
      <c r="K267" s="8" t="str">
        <f>IF(OR(B267="",H267=""),"",IF(F267&lt;=H267,"À commander","OK"))</f>
        <v/>
      </c>
    </row>
    <row r="268">
      <c r="A268" s="4"/>
      <c r="B268" s="4"/>
      <c r="C268" s="4"/>
      <c r="D268" s="26"/>
      <c r="E268" s="26"/>
      <c r="F268" s="28" t="str">
        <f>IF(B268="","",G268+SUMIFS('Entrées de stock'!$C:$C,'Entrées de stock'!$B:$B,B268)-SUMIFS('Ventes du jour'!$C:$C,'Ventes du jour'!$B:$B,B268))</f>
        <v/>
      </c>
      <c r="G268" s="6"/>
      <c r="H268" s="6"/>
      <c r="I268" s="9" t="str">
        <f>IF(OR(B268="",E268=""),"",E268-D268)</f>
        <v/>
      </c>
      <c r="J268" s="9" t="str">
        <f>IF(B268="","",F268*D268)</f>
        <v/>
      </c>
      <c r="K268" s="8" t="str">
        <f>IF(OR(B268="",H268=""),"",IF(F268&lt;=H268,"À commander","OK"))</f>
        <v/>
      </c>
    </row>
    <row r="269">
      <c r="A269" s="4"/>
      <c r="B269" s="4"/>
      <c r="C269" s="4"/>
      <c r="D269" s="26"/>
      <c r="E269" s="26"/>
      <c r="F269" s="28" t="str">
        <f>IF(B269="","",G269+SUMIFS('Entrées de stock'!$C:$C,'Entrées de stock'!$B:$B,B269)-SUMIFS('Ventes du jour'!$C:$C,'Ventes du jour'!$B:$B,B269))</f>
        <v/>
      </c>
      <c r="G269" s="6"/>
      <c r="H269" s="6"/>
      <c r="I269" s="9" t="str">
        <f>IF(OR(B269="",E269=""),"",E269-D269)</f>
        <v/>
      </c>
      <c r="J269" s="9" t="str">
        <f>IF(B269="","",F269*D269)</f>
        <v/>
      </c>
      <c r="K269" s="8" t="str">
        <f>IF(OR(B269="",H269=""),"",IF(F269&lt;=H269,"À commander","OK"))</f>
        <v/>
      </c>
    </row>
    <row r="270">
      <c r="A270" s="4"/>
      <c r="B270" s="4"/>
      <c r="C270" s="4"/>
      <c r="D270" s="26"/>
      <c r="E270" s="26"/>
      <c r="F270" s="28" t="str">
        <f>IF(B270="","",G270+SUMIFS('Entrées de stock'!$C:$C,'Entrées de stock'!$B:$B,B270)-SUMIFS('Ventes du jour'!$C:$C,'Ventes du jour'!$B:$B,B270))</f>
        <v/>
      </c>
      <c r="G270" s="6"/>
      <c r="H270" s="6"/>
      <c r="I270" s="9" t="str">
        <f>IF(OR(B270="",E270=""),"",E270-D270)</f>
        <v/>
      </c>
      <c r="J270" s="9" t="str">
        <f>IF(B270="","",F270*D270)</f>
        <v/>
      </c>
      <c r="K270" s="8" t="str">
        <f>IF(OR(B270="",H270=""),"",IF(F270&lt;=H270,"À commander","OK"))</f>
        <v/>
      </c>
    </row>
    <row r="271">
      <c r="A271" s="4"/>
      <c r="B271" s="4"/>
      <c r="C271" s="4"/>
      <c r="D271" s="26"/>
      <c r="E271" s="26"/>
      <c r="F271" s="28" t="str">
        <f>IF(B271="","",G271+SUMIFS('Entrées de stock'!$C:$C,'Entrées de stock'!$B:$B,B271)-SUMIFS('Ventes du jour'!$C:$C,'Ventes du jour'!$B:$B,B271))</f>
        <v/>
      </c>
      <c r="G271" s="6"/>
      <c r="H271" s="6"/>
      <c r="I271" s="9" t="str">
        <f>IF(OR(B271="",E271=""),"",E271-D271)</f>
        <v/>
      </c>
      <c r="J271" s="9" t="str">
        <f>IF(B271="","",F271*D271)</f>
        <v/>
      </c>
      <c r="K271" s="8" t="str">
        <f>IF(OR(B271="",H271=""),"",IF(F271&lt;=H271,"À commander","OK"))</f>
        <v/>
      </c>
    </row>
    <row r="272">
      <c r="A272" s="4"/>
      <c r="B272" s="4"/>
      <c r="C272" s="4"/>
      <c r="D272" s="26"/>
      <c r="E272" s="26"/>
      <c r="F272" s="28" t="str">
        <f>IF(B272="","",G272+SUMIFS('Entrées de stock'!$C:$C,'Entrées de stock'!$B:$B,B272)-SUMIFS('Ventes du jour'!$C:$C,'Ventes du jour'!$B:$B,B272))</f>
        <v/>
      </c>
      <c r="G272" s="6"/>
      <c r="H272" s="6"/>
      <c r="I272" s="9" t="str">
        <f>IF(OR(B272="",E272=""),"",E272-D272)</f>
        <v/>
      </c>
      <c r="J272" s="9" t="str">
        <f>IF(B272="","",F272*D272)</f>
        <v/>
      </c>
      <c r="K272" s="8" t="str">
        <f>IF(OR(B272="",H272=""),"",IF(F272&lt;=H272,"À commander","OK"))</f>
        <v/>
      </c>
    </row>
    <row r="273">
      <c r="A273" s="4"/>
      <c r="B273" s="4"/>
      <c r="C273" s="4"/>
      <c r="D273" s="26"/>
      <c r="E273" s="26"/>
      <c r="F273" s="28" t="str">
        <f>IF(B273="","",G273+SUMIFS('Entrées de stock'!$C:$C,'Entrées de stock'!$B:$B,B273)-SUMIFS('Ventes du jour'!$C:$C,'Ventes du jour'!$B:$B,B273))</f>
        <v/>
      </c>
      <c r="G273" s="6"/>
      <c r="H273" s="6"/>
      <c r="I273" s="9" t="str">
        <f>IF(OR(B273="",E273=""),"",E273-D273)</f>
        <v/>
      </c>
      <c r="J273" s="9" t="str">
        <f>IF(B273="","",F273*D273)</f>
        <v/>
      </c>
      <c r="K273" s="8" t="str">
        <f>IF(OR(B273="",H273=""),"",IF(F273&lt;=H273,"À commander","OK"))</f>
        <v/>
      </c>
    </row>
    <row r="274">
      <c r="A274" s="4"/>
      <c r="B274" s="4"/>
      <c r="C274" s="4"/>
      <c r="D274" s="26"/>
      <c r="E274" s="26"/>
      <c r="F274" s="28" t="str">
        <f>IF(B274="","",G274+SUMIFS('Entrées de stock'!$C:$C,'Entrées de stock'!$B:$B,B274)-SUMIFS('Ventes du jour'!$C:$C,'Ventes du jour'!$B:$B,B274))</f>
        <v/>
      </c>
      <c r="G274" s="6"/>
      <c r="H274" s="6"/>
      <c r="I274" s="9" t="str">
        <f>IF(OR(B274="",E274=""),"",E274-D274)</f>
        <v/>
      </c>
      <c r="J274" s="9" t="str">
        <f>IF(B274="","",F274*D274)</f>
        <v/>
      </c>
      <c r="K274" s="8" t="str">
        <f>IF(OR(B274="",H274=""),"",IF(F274&lt;=H274,"À commander","OK"))</f>
        <v/>
      </c>
    </row>
    <row r="275">
      <c r="A275" s="4"/>
      <c r="B275" s="4"/>
      <c r="C275" s="4"/>
      <c r="D275" s="26"/>
      <c r="E275" s="26"/>
      <c r="F275" s="28" t="str">
        <f>IF(B275="","",G275+SUMIFS('Entrées de stock'!$C:$C,'Entrées de stock'!$B:$B,B275)-SUMIFS('Ventes du jour'!$C:$C,'Ventes du jour'!$B:$B,B275))</f>
        <v/>
      </c>
      <c r="G275" s="6"/>
      <c r="H275" s="6"/>
      <c r="I275" s="9" t="str">
        <f>IF(OR(B275="",E275=""),"",E275-D275)</f>
        <v/>
      </c>
      <c r="J275" s="9" t="str">
        <f>IF(B275="","",F275*D275)</f>
        <v/>
      </c>
      <c r="K275" s="8" t="str">
        <f>IF(OR(B275="",H275=""),"",IF(F275&lt;=H275,"À commander","OK"))</f>
        <v/>
      </c>
    </row>
    <row r="276">
      <c r="A276" s="4"/>
      <c r="B276" s="4"/>
      <c r="C276" s="4"/>
      <c r="D276" s="26"/>
      <c r="E276" s="26"/>
      <c r="F276" s="28" t="str">
        <f>IF(B276="","",G276+SUMIFS('Entrées de stock'!$C:$C,'Entrées de stock'!$B:$B,B276)-SUMIFS('Ventes du jour'!$C:$C,'Ventes du jour'!$B:$B,B276))</f>
        <v/>
      </c>
      <c r="G276" s="6"/>
      <c r="H276" s="6"/>
      <c r="I276" s="9" t="str">
        <f>IF(OR(B276="",E276=""),"",E276-D276)</f>
        <v/>
      </c>
      <c r="J276" s="9" t="str">
        <f>IF(B276="","",F276*D276)</f>
        <v/>
      </c>
      <c r="K276" s="8" t="str">
        <f>IF(OR(B276="",H276=""),"",IF(F276&lt;=H276,"À commander","OK"))</f>
        <v/>
      </c>
    </row>
    <row r="277">
      <c r="A277" s="4"/>
      <c r="B277" s="4"/>
      <c r="C277" s="4"/>
      <c r="D277" s="26"/>
      <c r="E277" s="26"/>
      <c r="F277" s="28" t="str">
        <f>IF(B277="","",G277+SUMIFS('Entrées de stock'!$C:$C,'Entrées de stock'!$B:$B,B277)-SUMIFS('Ventes du jour'!$C:$C,'Ventes du jour'!$B:$B,B277))</f>
        <v/>
      </c>
      <c r="G277" s="6"/>
      <c r="H277" s="6"/>
      <c r="I277" s="9" t="str">
        <f>IF(OR(B277="",E277=""),"",E277-D277)</f>
        <v/>
      </c>
      <c r="J277" s="9" t="str">
        <f>IF(B277="","",F277*D277)</f>
        <v/>
      </c>
      <c r="K277" s="8" t="str">
        <f>IF(OR(B277="",H277=""),"",IF(F277&lt;=H277,"À commander","OK"))</f>
        <v/>
      </c>
    </row>
    <row r="278">
      <c r="A278" s="4"/>
      <c r="B278" s="4"/>
      <c r="C278" s="4"/>
      <c r="D278" s="26"/>
      <c r="E278" s="26"/>
      <c r="F278" s="28" t="str">
        <f>IF(B278="","",G278+SUMIFS('Entrées de stock'!$C:$C,'Entrées de stock'!$B:$B,B278)-SUMIFS('Ventes du jour'!$C:$C,'Ventes du jour'!$B:$B,B278))</f>
        <v/>
      </c>
      <c r="G278" s="6"/>
      <c r="H278" s="6"/>
      <c r="I278" s="9" t="str">
        <f>IF(OR(B278="",E278=""),"",E278-D278)</f>
        <v/>
      </c>
      <c r="J278" s="9" t="str">
        <f>IF(B278="","",F278*D278)</f>
        <v/>
      </c>
      <c r="K278" s="8" t="str">
        <f>IF(OR(B278="",H278=""),"",IF(F278&lt;=H278,"À commander","OK"))</f>
        <v/>
      </c>
    </row>
    <row r="279">
      <c r="A279" s="4"/>
      <c r="B279" s="4"/>
      <c r="C279" s="4"/>
      <c r="D279" s="26"/>
      <c r="E279" s="26"/>
      <c r="F279" s="28" t="str">
        <f>IF(B279="","",G279+SUMIFS('Entrées de stock'!$C:$C,'Entrées de stock'!$B:$B,B279)-SUMIFS('Ventes du jour'!$C:$C,'Ventes du jour'!$B:$B,B279))</f>
        <v/>
      </c>
      <c r="G279" s="6"/>
      <c r="H279" s="6"/>
      <c r="I279" s="9" t="str">
        <f>IF(OR(B279="",E279=""),"",E279-D279)</f>
        <v/>
      </c>
      <c r="J279" s="9" t="str">
        <f>IF(B279="","",F279*D279)</f>
        <v/>
      </c>
      <c r="K279" s="8" t="str">
        <f>IF(OR(B279="",H279=""),"",IF(F279&lt;=H279,"À commander","OK"))</f>
        <v/>
      </c>
    </row>
    <row r="280">
      <c r="A280" s="4"/>
      <c r="B280" s="4"/>
      <c r="C280" s="4"/>
      <c r="D280" s="26"/>
      <c r="E280" s="26"/>
      <c r="F280" s="28" t="str">
        <f>IF(B280="","",G280+SUMIFS('Entrées de stock'!$C:$C,'Entrées de stock'!$B:$B,B280)-SUMIFS('Ventes du jour'!$C:$C,'Ventes du jour'!$B:$B,B280))</f>
        <v/>
      </c>
      <c r="G280" s="6"/>
      <c r="H280" s="6"/>
      <c r="I280" s="9" t="str">
        <f>IF(OR(B280="",E280=""),"",E280-D280)</f>
        <v/>
      </c>
      <c r="J280" s="9" t="str">
        <f>IF(B280="","",F280*D280)</f>
        <v/>
      </c>
      <c r="K280" s="8" t="str">
        <f>IF(OR(B280="",H280=""),"",IF(F280&lt;=H280,"À commander","OK"))</f>
        <v/>
      </c>
    </row>
    <row r="281">
      <c r="A281" s="4"/>
      <c r="B281" s="4"/>
      <c r="C281" s="4"/>
      <c r="D281" s="26"/>
      <c r="E281" s="26"/>
      <c r="F281" s="28" t="str">
        <f>IF(B281="","",G281+SUMIFS('Entrées de stock'!$C:$C,'Entrées de stock'!$B:$B,B281)-SUMIFS('Ventes du jour'!$C:$C,'Ventes du jour'!$B:$B,B281))</f>
        <v/>
      </c>
      <c r="G281" s="6"/>
      <c r="H281" s="6"/>
      <c r="I281" s="9" t="str">
        <f>IF(OR(B281="",E281=""),"",E281-D281)</f>
        <v/>
      </c>
      <c r="J281" s="9" t="str">
        <f>IF(B281="","",F281*D281)</f>
        <v/>
      </c>
      <c r="K281" s="8" t="str">
        <f>IF(OR(B281="",H281=""),"",IF(F281&lt;=H281,"À commander","OK"))</f>
        <v/>
      </c>
    </row>
    <row r="282">
      <c r="A282" s="4"/>
      <c r="B282" s="4"/>
      <c r="C282" s="4"/>
      <c r="D282" s="26"/>
      <c r="E282" s="26"/>
      <c r="F282" s="28" t="str">
        <f>IF(B282="","",G282+SUMIFS('Entrées de stock'!$C:$C,'Entrées de stock'!$B:$B,B282)-SUMIFS('Ventes du jour'!$C:$C,'Ventes du jour'!$B:$B,B282))</f>
        <v/>
      </c>
      <c r="G282" s="6"/>
      <c r="H282" s="6"/>
      <c r="I282" s="9" t="str">
        <f>IF(OR(B282="",E282=""),"",E282-D282)</f>
        <v/>
      </c>
      <c r="J282" s="9" t="str">
        <f>IF(B282="","",F282*D282)</f>
        <v/>
      </c>
      <c r="K282" s="8" t="str">
        <f>IF(OR(B282="",H282=""),"",IF(F282&lt;=H282,"À commander","OK"))</f>
        <v/>
      </c>
    </row>
    <row r="283">
      <c r="A283" s="4"/>
      <c r="B283" s="4"/>
      <c r="C283" s="4"/>
      <c r="D283" s="26"/>
      <c r="E283" s="26"/>
      <c r="F283" s="28" t="str">
        <f>IF(B283="","",G283+SUMIFS('Entrées de stock'!$C:$C,'Entrées de stock'!$B:$B,B283)-SUMIFS('Ventes du jour'!$C:$C,'Ventes du jour'!$B:$B,B283))</f>
        <v/>
      </c>
      <c r="G283" s="6"/>
      <c r="H283" s="6"/>
      <c r="I283" s="9" t="str">
        <f>IF(OR(B283="",E283=""),"",E283-D283)</f>
        <v/>
      </c>
      <c r="J283" s="9" t="str">
        <f>IF(B283="","",F283*D283)</f>
        <v/>
      </c>
      <c r="K283" s="8" t="str">
        <f>IF(OR(B283="",H283=""),"",IF(F283&lt;=H283,"À commander","OK"))</f>
        <v/>
      </c>
    </row>
    <row r="284">
      <c r="A284" s="4"/>
      <c r="B284" s="4"/>
      <c r="C284" s="4"/>
      <c r="D284" s="26"/>
      <c r="E284" s="26"/>
      <c r="F284" s="28" t="str">
        <f>IF(B284="","",G284+SUMIFS('Entrées de stock'!$C:$C,'Entrées de stock'!$B:$B,B284)-SUMIFS('Ventes du jour'!$C:$C,'Ventes du jour'!$B:$B,B284))</f>
        <v/>
      </c>
      <c r="G284" s="6"/>
      <c r="H284" s="6"/>
      <c r="I284" s="9" t="str">
        <f>IF(OR(B284="",E284=""),"",E284-D284)</f>
        <v/>
      </c>
      <c r="J284" s="9" t="str">
        <f>IF(B284="","",F284*D284)</f>
        <v/>
      </c>
      <c r="K284" s="8" t="str">
        <f>IF(OR(B284="",H284=""),"",IF(F284&lt;=H284,"À commander","OK"))</f>
        <v/>
      </c>
    </row>
    <row r="285">
      <c r="A285" s="4"/>
      <c r="B285" s="4"/>
      <c r="C285" s="4"/>
      <c r="D285" s="26"/>
      <c r="E285" s="26"/>
      <c r="F285" s="28" t="str">
        <f>IF(B285="","",G285+SUMIFS('Entrées de stock'!$C:$C,'Entrées de stock'!$B:$B,B285)-SUMIFS('Ventes du jour'!$C:$C,'Ventes du jour'!$B:$B,B285))</f>
        <v/>
      </c>
      <c r="G285" s="6"/>
      <c r="H285" s="6"/>
      <c r="I285" s="9" t="str">
        <f>IF(OR(B285="",E285=""),"",E285-D285)</f>
        <v/>
      </c>
      <c r="J285" s="9" t="str">
        <f>IF(B285="","",F285*D285)</f>
        <v/>
      </c>
      <c r="K285" s="8" t="str">
        <f>IF(OR(B285="",H285=""),"",IF(F285&lt;=H285,"À commander","OK"))</f>
        <v/>
      </c>
    </row>
    <row r="286">
      <c r="A286" s="4"/>
      <c r="B286" s="4"/>
      <c r="C286" s="4"/>
      <c r="D286" s="26"/>
      <c r="E286" s="26"/>
      <c r="F286" s="28" t="str">
        <f>IF(B286="","",G286+SUMIFS('Entrées de stock'!$C:$C,'Entrées de stock'!$B:$B,B286)-SUMIFS('Ventes du jour'!$C:$C,'Ventes du jour'!$B:$B,B286))</f>
        <v/>
      </c>
      <c r="G286" s="6"/>
      <c r="H286" s="6"/>
      <c r="I286" s="9" t="str">
        <f>IF(OR(B286="",E286=""),"",E286-D286)</f>
        <v/>
      </c>
      <c r="J286" s="9" t="str">
        <f>IF(B286="","",F286*D286)</f>
        <v/>
      </c>
      <c r="K286" s="8" t="str">
        <f>IF(OR(B286="",H286=""),"",IF(F286&lt;=H286,"À commander","OK"))</f>
        <v/>
      </c>
    </row>
    <row r="287">
      <c r="A287" s="4"/>
      <c r="B287" s="4"/>
      <c r="C287" s="4"/>
      <c r="D287" s="26"/>
      <c r="E287" s="26"/>
      <c r="F287" s="28" t="str">
        <f>IF(B287="","",G287+SUMIFS('Entrées de stock'!$C:$C,'Entrées de stock'!$B:$B,B287)-SUMIFS('Ventes du jour'!$C:$C,'Ventes du jour'!$B:$B,B287))</f>
        <v/>
      </c>
      <c r="G287" s="6"/>
      <c r="H287" s="6"/>
      <c r="I287" s="9" t="str">
        <f>IF(OR(B287="",E287=""),"",E287-D287)</f>
        <v/>
      </c>
      <c r="J287" s="9" t="str">
        <f>IF(B287="","",F287*D287)</f>
        <v/>
      </c>
      <c r="K287" s="8" t="str">
        <f>IF(OR(B287="",H287=""),"",IF(F287&lt;=H287,"À commander","OK"))</f>
        <v/>
      </c>
    </row>
    <row r="288">
      <c r="A288" s="4"/>
      <c r="B288" s="4"/>
      <c r="C288" s="4"/>
      <c r="D288" s="26"/>
      <c r="E288" s="26"/>
      <c r="F288" s="28" t="str">
        <f>IF(B288="","",G288+SUMIFS('Entrées de stock'!$C:$C,'Entrées de stock'!$B:$B,B288)-SUMIFS('Ventes du jour'!$C:$C,'Ventes du jour'!$B:$B,B288))</f>
        <v/>
      </c>
      <c r="G288" s="6"/>
      <c r="H288" s="6"/>
      <c r="I288" s="9" t="str">
        <f>IF(OR(B288="",E288=""),"",E288-D288)</f>
        <v/>
      </c>
      <c r="J288" s="9" t="str">
        <f>IF(B288="","",F288*D288)</f>
        <v/>
      </c>
      <c r="K288" s="8" t="str">
        <f>IF(OR(B288="",H288=""),"",IF(F288&lt;=H288,"À commander","OK"))</f>
        <v/>
      </c>
    </row>
    <row r="289">
      <c r="A289" s="4"/>
      <c r="B289" s="4"/>
      <c r="C289" s="4"/>
      <c r="D289" s="26"/>
      <c r="E289" s="26"/>
      <c r="F289" s="28" t="str">
        <f>IF(B289="","",G289+SUMIFS('Entrées de stock'!$C:$C,'Entrées de stock'!$B:$B,B289)-SUMIFS('Ventes du jour'!$C:$C,'Ventes du jour'!$B:$B,B289))</f>
        <v/>
      </c>
      <c r="G289" s="6"/>
      <c r="H289" s="6"/>
      <c r="I289" s="9" t="str">
        <f>IF(OR(B289="",E289=""),"",E289-D289)</f>
        <v/>
      </c>
      <c r="J289" s="9" t="str">
        <f>IF(B289="","",F289*D289)</f>
        <v/>
      </c>
      <c r="K289" s="8" t="str">
        <f>IF(OR(B289="",H289=""),"",IF(F289&lt;=H289,"À commander","OK"))</f>
        <v/>
      </c>
    </row>
    <row r="290">
      <c r="A290" s="4"/>
      <c r="B290" s="4"/>
      <c r="C290" s="4"/>
      <c r="D290" s="26"/>
      <c r="E290" s="26"/>
      <c r="F290" s="28" t="str">
        <f>IF(B290="","",G290+SUMIFS('Entrées de stock'!$C:$C,'Entrées de stock'!$B:$B,B290)-SUMIFS('Ventes du jour'!$C:$C,'Ventes du jour'!$B:$B,B290))</f>
        <v/>
      </c>
      <c r="G290" s="6"/>
      <c r="H290" s="6"/>
      <c r="I290" s="9" t="str">
        <f>IF(OR(B290="",E290=""),"",E290-D290)</f>
        <v/>
      </c>
      <c r="J290" s="9" t="str">
        <f>IF(B290="","",F290*D290)</f>
        <v/>
      </c>
      <c r="K290" s="8" t="str">
        <f>IF(OR(B290="",H290=""),"",IF(F290&lt;=H290,"À commander","OK"))</f>
        <v/>
      </c>
    </row>
    <row r="291">
      <c r="A291" s="4"/>
      <c r="B291" s="4"/>
      <c r="C291" s="4"/>
      <c r="D291" s="26"/>
      <c r="E291" s="26"/>
      <c r="F291" s="28" t="str">
        <f>IF(B291="","",G291+SUMIFS('Entrées de stock'!$C:$C,'Entrées de stock'!$B:$B,B291)-SUMIFS('Ventes du jour'!$C:$C,'Ventes du jour'!$B:$B,B291))</f>
        <v/>
      </c>
      <c r="G291" s="6"/>
      <c r="H291" s="6"/>
      <c r="I291" s="9" t="str">
        <f>IF(OR(B291="",E291=""),"",E291-D291)</f>
        <v/>
      </c>
      <c r="J291" s="9" t="str">
        <f>IF(B291="","",F291*D291)</f>
        <v/>
      </c>
      <c r="K291" s="8" t="str">
        <f>IF(OR(B291="",H291=""),"",IF(F291&lt;=H291,"À commander","OK"))</f>
        <v/>
      </c>
    </row>
    <row r="292">
      <c r="A292" s="4"/>
      <c r="B292" s="4"/>
      <c r="C292" s="4"/>
      <c r="D292" s="26"/>
      <c r="E292" s="26"/>
      <c r="F292" s="28" t="str">
        <f>IF(B292="","",G292+SUMIFS('Entrées de stock'!$C:$C,'Entrées de stock'!$B:$B,B292)-SUMIFS('Ventes du jour'!$C:$C,'Ventes du jour'!$B:$B,B292))</f>
        <v/>
      </c>
      <c r="G292" s="6"/>
      <c r="H292" s="6"/>
      <c r="I292" s="9" t="str">
        <f>IF(OR(B292="",E292=""),"",E292-D292)</f>
        <v/>
      </c>
      <c r="J292" s="9" t="str">
        <f>IF(B292="","",F292*D292)</f>
        <v/>
      </c>
      <c r="K292" s="8" t="str">
        <f>IF(OR(B292="",H292=""),"",IF(F292&lt;=H292,"À commander","OK"))</f>
        <v/>
      </c>
    </row>
    <row r="293">
      <c r="A293" s="4"/>
      <c r="B293" s="4"/>
      <c r="C293" s="4"/>
      <c r="D293" s="26"/>
      <c r="E293" s="26"/>
      <c r="F293" s="28" t="str">
        <f>IF(B293="","",G293+SUMIFS('Entrées de stock'!$C:$C,'Entrées de stock'!$B:$B,B293)-SUMIFS('Ventes du jour'!$C:$C,'Ventes du jour'!$B:$B,B293))</f>
        <v/>
      </c>
      <c r="G293" s="6"/>
      <c r="H293" s="6"/>
      <c r="I293" s="9" t="str">
        <f>IF(OR(B293="",E293=""),"",E293-D293)</f>
        <v/>
      </c>
      <c r="J293" s="9" t="str">
        <f>IF(B293="","",F293*D293)</f>
        <v/>
      </c>
      <c r="K293" s="8" t="str">
        <f>IF(OR(B293="",H293=""),"",IF(F293&lt;=H293,"À commander","OK"))</f>
        <v/>
      </c>
    </row>
    <row r="294">
      <c r="A294" s="4"/>
      <c r="B294" s="4"/>
      <c r="C294" s="4"/>
      <c r="D294" s="26"/>
      <c r="E294" s="26"/>
      <c r="F294" s="28" t="str">
        <f>IF(B294="","",G294+SUMIFS('Entrées de stock'!$C:$C,'Entrées de stock'!$B:$B,B294)-SUMIFS('Ventes du jour'!$C:$C,'Ventes du jour'!$B:$B,B294))</f>
        <v/>
      </c>
      <c r="G294" s="6"/>
      <c r="H294" s="6"/>
      <c r="I294" s="9" t="str">
        <f>IF(OR(B294="",E294=""),"",E294-D294)</f>
        <v/>
      </c>
      <c r="J294" s="9" t="str">
        <f>IF(B294="","",F294*D294)</f>
        <v/>
      </c>
      <c r="K294" s="8" t="str">
        <f>IF(OR(B294="",H294=""),"",IF(F294&lt;=H294,"À commander","OK"))</f>
        <v/>
      </c>
    </row>
    <row r="295">
      <c r="A295" s="4"/>
      <c r="B295" s="4"/>
      <c r="C295" s="4"/>
      <c r="D295" s="26"/>
      <c r="E295" s="26"/>
      <c r="F295" s="28" t="str">
        <f>IF(B295="","",G295+SUMIFS('Entrées de stock'!$C:$C,'Entrées de stock'!$B:$B,B295)-SUMIFS('Ventes du jour'!$C:$C,'Ventes du jour'!$B:$B,B295))</f>
        <v/>
      </c>
      <c r="G295" s="6"/>
      <c r="H295" s="6"/>
      <c r="I295" s="9" t="str">
        <f>IF(OR(B295="",E295=""),"",E295-D295)</f>
        <v/>
      </c>
      <c r="J295" s="9" t="str">
        <f>IF(B295="","",F295*D295)</f>
        <v/>
      </c>
      <c r="K295" s="8" t="str">
        <f>IF(OR(B295="",H295=""),"",IF(F295&lt;=H295,"À commander","OK"))</f>
        <v/>
      </c>
    </row>
    <row r="296">
      <c r="A296" s="4"/>
      <c r="B296" s="4"/>
      <c r="C296" s="4"/>
      <c r="D296" s="26"/>
      <c r="E296" s="26"/>
      <c r="F296" s="28" t="str">
        <f>IF(B296="","",G296+SUMIFS('Entrées de stock'!$C:$C,'Entrées de stock'!$B:$B,B296)-SUMIFS('Ventes du jour'!$C:$C,'Ventes du jour'!$B:$B,B296))</f>
        <v/>
      </c>
      <c r="G296" s="6"/>
      <c r="H296" s="6"/>
      <c r="I296" s="9" t="str">
        <f>IF(OR(B296="",E296=""),"",E296-D296)</f>
        <v/>
      </c>
      <c r="J296" s="9" t="str">
        <f>IF(B296="","",F296*D296)</f>
        <v/>
      </c>
      <c r="K296" s="8" t="str">
        <f>IF(OR(B296="",H296=""),"",IF(F296&lt;=H296,"À commander","OK"))</f>
        <v/>
      </c>
    </row>
    <row r="297">
      <c r="A297" s="4"/>
      <c r="B297" s="4"/>
      <c r="C297" s="4"/>
      <c r="D297" s="26"/>
      <c r="E297" s="26"/>
      <c r="F297" s="28" t="str">
        <f>IF(B297="","",G297+SUMIFS('Entrées de stock'!$C:$C,'Entrées de stock'!$B:$B,B297)-SUMIFS('Ventes du jour'!$C:$C,'Ventes du jour'!$B:$B,B297))</f>
        <v/>
      </c>
      <c r="G297" s="6"/>
      <c r="H297" s="6"/>
      <c r="I297" s="9" t="str">
        <f>IF(OR(B297="",E297=""),"",E297-D297)</f>
        <v/>
      </c>
      <c r="J297" s="9" t="str">
        <f>IF(B297="","",F297*D297)</f>
        <v/>
      </c>
      <c r="K297" s="8" t="str">
        <f>IF(OR(B297="",H297=""),"",IF(F297&lt;=H297,"À commander","OK"))</f>
        <v/>
      </c>
    </row>
    <row r="298">
      <c r="A298" s="4"/>
      <c r="B298" s="4"/>
      <c r="C298" s="4"/>
      <c r="D298" s="26"/>
      <c r="E298" s="26"/>
      <c r="F298" s="28" t="str">
        <f>IF(B298="","",G298+SUMIFS('Entrées de stock'!$C:$C,'Entrées de stock'!$B:$B,B298)-SUMIFS('Ventes du jour'!$C:$C,'Ventes du jour'!$B:$B,B298))</f>
        <v/>
      </c>
      <c r="G298" s="6"/>
      <c r="H298" s="6"/>
      <c r="I298" s="9" t="str">
        <f>IF(OR(B298="",E298=""),"",E298-D298)</f>
        <v/>
      </c>
      <c r="J298" s="9" t="str">
        <f>IF(B298="","",F298*D298)</f>
        <v/>
      </c>
      <c r="K298" s="8" t="str">
        <f>IF(OR(B298="",H298=""),"",IF(F298&lt;=H298,"À commander","OK"))</f>
        <v/>
      </c>
    </row>
    <row r="299">
      <c r="A299" s="4"/>
      <c r="B299" s="4"/>
      <c r="C299" s="4"/>
      <c r="D299" s="26"/>
      <c r="E299" s="26"/>
      <c r="F299" s="28" t="str">
        <f>IF(B299="","",G299+SUMIFS('Entrées de stock'!$C:$C,'Entrées de stock'!$B:$B,B299)-SUMIFS('Ventes du jour'!$C:$C,'Ventes du jour'!$B:$B,B299))</f>
        <v/>
      </c>
      <c r="G299" s="6"/>
      <c r="H299" s="6"/>
      <c r="I299" s="9" t="str">
        <f>IF(OR(B299="",E299=""),"",E299-D299)</f>
        <v/>
      </c>
      <c r="J299" s="9" t="str">
        <f>IF(B299="","",F299*D299)</f>
        <v/>
      </c>
      <c r="K299" s="8" t="str">
        <f>IF(OR(B299="",H299=""),"",IF(F299&lt;=H299,"À commander","OK"))</f>
        <v/>
      </c>
    </row>
    <row r="300">
      <c r="A300" s="4"/>
      <c r="B300" s="4"/>
      <c r="C300" s="4"/>
      <c r="D300" s="26"/>
      <c r="E300" s="26"/>
      <c r="F300" s="28" t="str">
        <f>IF(B300="","",G300+SUMIFS('Entrées de stock'!$C:$C,'Entrées de stock'!$B:$B,B300)-SUMIFS('Ventes du jour'!$C:$C,'Ventes du jour'!$B:$B,B300))</f>
        <v/>
      </c>
      <c r="G300" s="6"/>
      <c r="H300" s="6"/>
      <c r="I300" s="9" t="str">
        <f>IF(OR(B300="",E300=""),"",E300-D300)</f>
        <v/>
      </c>
      <c r="J300" s="9" t="str">
        <f>IF(B300="","",F300*D300)</f>
        <v/>
      </c>
      <c r="K300" s="8" t="str">
        <f>IF(OR(B300="",H300=""),"",IF(F300&lt;=H300,"À commander","OK"))</f>
        <v/>
      </c>
    </row>
    <row r="301">
      <c r="A301" s="4"/>
      <c r="B301" s="4"/>
      <c r="C301" s="4"/>
      <c r="D301" s="26"/>
      <c r="E301" s="26"/>
      <c r="F301" s="28" t="str">
        <f>IF(B301="","",G301+SUMIFS('Entrées de stock'!$C:$C,'Entrées de stock'!$B:$B,B301)-SUMIFS('Ventes du jour'!$C:$C,'Ventes du jour'!$B:$B,B301))</f>
        <v/>
      </c>
      <c r="G301" s="6"/>
      <c r="H301" s="6"/>
      <c r="I301" s="9" t="str">
        <f>IF(OR(B301="",E301=""),"",E301-D301)</f>
        <v/>
      </c>
      <c r="J301" s="9" t="str">
        <f>IF(B301="","",F301*D301)</f>
        <v/>
      </c>
      <c r="K301" s="8" t="str">
        <f>IF(OR(B301="",H301=""),"",IF(F301&lt;=H301,"À commander","OK"))</f>
        <v/>
      </c>
    </row>
  </sheetData>
  <conditionalFormatting sqref="D2:E301 I2:J301">
    <cfRule type="expression" dxfId="0" priority="1">
      <formula>MOD(D2,1)&lt;&gt;0</formula>
    </cfRule>
  </conditionalFormatting>
  <conditionalFormatting sqref="K2:K301">
    <cfRule type="expression" dxfId="1" priority="2">
      <formula>$K2="À commander"</formula>
    </cfRule>
    <cfRule type="expression" dxfId="2" priority="3">
      <formula>$K2="OK"</formula>
    </cfRule>
  </conditionalFormatting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09F3E"/>
    <pageSetUpPr fitToPage="1"/>
  </sheetPr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12" customWidth="1"/>
    <col min="2" max="2" width="34" customWidth="1"/>
    <col min="3" max="3" width="12" customWidth="1"/>
    <col min="4" max="4" width="15" customWidth="1"/>
    <col min="5" max="5" width="14" customWidth="1"/>
    <col min="6" max="6" width="24" customWidth="1"/>
    <col min="7" max="7" width="9" customWidth="1"/>
    <col min="8" max="8" width="30" customWidth="1"/>
  </cols>
  <sheetData>
    <row r="1" ht="24" customHeight="1">
      <c r="A1" s="1" t="inlineStr">
        <is>
          <t xml:space="preserve">Entrées de stock — tout ce qui arrive sur tes étagères</t>
        </is>
      </c>
    </row>
    <row r="2" ht="44" customHeight="1">
      <c r="A2" s="2" t="inlineStr">
        <is>
          <t xml:space="preserve">Une ligne par livraison reçue. Choisis l'article dans la liste. Le prix d'achat se remplit tout seul : change-le si le fournisseur a changé son prix. « Payé ? » : Non tant que tu dois l'argent.</t>
        </is>
      </c>
    </row>
    <row r="3" ht="32" customHeight="1">
      <c r="A3" s="3" t="inlineStr">
        <is>
          <t xml:space="preserve">Date</t>
        </is>
      </c>
      <c r="B3" s="3" t="inlineStr">
        <is>
          <t xml:space="preserve">Article</t>
        </is>
      </c>
      <c r="C3" s="3" t="inlineStr">
        <is>
          <t xml:space="preserve">Quantité reçue</t>
        </is>
      </c>
      <c r="D3" s="3" t="inlineStr">
        <is>
          <t xml:space="preserve">Prix d'achat unitaire</t>
        </is>
      </c>
      <c r="E3" s="3" t="inlineStr">
        <is>
          <t xml:space="preserve">Total</t>
        </is>
      </c>
      <c r="F3" s="3" t="inlineStr">
        <is>
          <t xml:space="preserve">Fournisseur</t>
        </is>
      </c>
      <c r="G3" s="3" t="inlineStr">
        <is>
          <t xml:space="preserve">Payé ?</t>
        </is>
      </c>
      <c r="H3" s="3" t="inlineStr">
        <is>
          <t xml:space="preserve">Note</t>
        </is>
      </c>
    </row>
    <row r="4">
      <c r="A4" s="14">
        <v>46266</v>
      </c>
      <c r="B4" s="11" t="inlineStr">
        <is>
          <t xml:space="preserve">EXEMPLE — Savon (à effacer)</t>
        </is>
      </c>
      <c r="C4" s="13">
        <v>10</v>
      </c>
      <c r="D4" s="12">
        <f>IF(B4="","",IFERROR(INDEX(Articles!$D:$D,MATCH(B4,Articles!$B:$B,0)),""))</f>
        <v>100</v>
      </c>
      <c r="E4" s="9">
        <f>IF(OR(C4="",D4=""),"",C4*D4)</f>
        <v>1000</v>
      </c>
      <c r="F4" s="11" t="inlineStr">
        <is>
          <t xml:space="preserve">EXEMPLE — fournisseur</t>
        </is>
      </c>
      <c r="G4" s="11" t="inlineStr">
        <is>
          <t xml:space="preserve">Oui</t>
        </is>
      </c>
      <c r="H4" s="11" t="inlineStr">
        <is>
          <t xml:space="preserve">EXEMPLE — à effacer</t>
        </is>
      </c>
    </row>
    <row r="5">
      <c r="A5" s="7"/>
      <c r="B5" s="4"/>
      <c r="C5" s="6"/>
      <c r="D5" s="5" t="str">
        <f>IF(B5="","",IFERROR(INDEX(Articles!$D:$D,MATCH(B5,Articles!$B:$B,0)),""))</f>
        <v/>
      </c>
      <c r="E5" s="9" t="str">
        <f>IF(OR(C5="",D5=""),"",C5*D5)</f>
        <v/>
      </c>
      <c r="F5" s="4"/>
      <c r="G5" s="4"/>
      <c r="H5" s="4"/>
    </row>
    <row r="6">
      <c r="A6" s="7"/>
      <c r="B6" s="4"/>
      <c r="C6" s="6"/>
      <c r="D6" s="5" t="str">
        <f>IF(B6="","",IFERROR(INDEX(Articles!$D:$D,MATCH(B6,Articles!$B:$B,0)),""))</f>
        <v/>
      </c>
      <c r="E6" s="9" t="str">
        <f>IF(OR(C6="",D6=""),"",C6*D6)</f>
        <v/>
      </c>
      <c r="F6" s="4"/>
      <c r="G6" s="4"/>
      <c r="H6" s="4"/>
    </row>
    <row r="7">
      <c r="A7" s="7"/>
      <c r="B7" s="4"/>
      <c r="C7" s="6"/>
      <c r="D7" s="5" t="str">
        <f>IF(B7="","",IFERROR(INDEX(Articles!$D:$D,MATCH(B7,Articles!$B:$B,0)),""))</f>
        <v/>
      </c>
      <c r="E7" s="9" t="str">
        <f>IF(OR(C7="",D7=""),"",C7*D7)</f>
        <v/>
      </c>
      <c r="F7" s="4"/>
      <c r="G7" s="4"/>
      <c r="H7" s="4"/>
    </row>
    <row r="8">
      <c r="A8" s="7"/>
      <c r="B8" s="4"/>
      <c r="C8" s="6"/>
      <c r="D8" s="5" t="str">
        <f>IF(B8="","",IFERROR(INDEX(Articles!$D:$D,MATCH(B8,Articles!$B:$B,0)),""))</f>
        <v/>
      </c>
      <c r="E8" s="9" t="str">
        <f>IF(OR(C8="",D8=""),"",C8*D8)</f>
        <v/>
      </c>
      <c r="F8" s="4"/>
      <c r="G8" s="4"/>
      <c r="H8" s="4"/>
    </row>
    <row r="9">
      <c r="A9" s="7"/>
      <c r="B9" s="4"/>
      <c r="C9" s="6"/>
      <c r="D9" s="5" t="str">
        <f>IF(B9="","",IFERROR(INDEX(Articles!$D:$D,MATCH(B9,Articles!$B:$B,0)),""))</f>
        <v/>
      </c>
      <c r="E9" s="9" t="str">
        <f>IF(OR(C9="",D9=""),"",C9*D9)</f>
        <v/>
      </c>
      <c r="F9" s="4"/>
      <c r="G9" s="4"/>
      <c r="H9" s="4"/>
    </row>
    <row r="10">
      <c r="A10" s="7"/>
      <c r="B10" s="4"/>
      <c r="C10" s="6"/>
      <c r="D10" s="5" t="str">
        <f>IF(B10="","",IFERROR(INDEX(Articles!$D:$D,MATCH(B10,Articles!$B:$B,0)),""))</f>
        <v/>
      </c>
      <c r="E10" s="9" t="str">
        <f>IF(OR(C10="",D10=""),"",C10*D10)</f>
        <v/>
      </c>
      <c r="F10" s="4"/>
      <c r="G10" s="4"/>
      <c r="H10" s="4"/>
    </row>
    <row r="11">
      <c r="A11" s="7"/>
      <c r="B11" s="4"/>
      <c r="C11" s="6"/>
      <c r="D11" s="5" t="str">
        <f>IF(B11="","",IFERROR(INDEX(Articles!$D:$D,MATCH(B11,Articles!$B:$B,0)),""))</f>
        <v/>
      </c>
      <c r="E11" s="9" t="str">
        <f>IF(OR(C11="",D11=""),"",C11*D11)</f>
        <v/>
      </c>
      <c r="F11" s="4"/>
      <c r="G11" s="4"/>
      <c r="H11" s="4"/>
    </row>
    <row r="12">
      <c r="A12" s="7"/>
      <c r="B12" s="4"/>
      <c r="C12" s="6"/>
      <c r="D12" s="5" t="str">
        <f>IF(B12="","",IFERROR(INDEX(Articles!$D:$D,MATCH(B12,Articles!$B:$B,0)),""))</f>
        <v/>
      </c>
      <c r="E12" s="9" t="str">
        <f>IF(OR(C12="",D12=""),"",C12*D12)</f>
        <v/>
      </c>
      <c r="F12" s="4"/>
      <c r="G12" s="4"/>
      <c r="H12" s="4"/>
    </row>
    <row r="13">
      <c r="A13" s="7"/>
      <c r="B13" s="4"/>
      <c r="C13" s="6"/>
      <c r="D13" s="5" t="str">
        <f>IF(B13="","",IFERROR(INDEX(Articles!$D:$D,MATCH(B13,Articles!$B:$B,0)),""))</f>
        <v/>
      </c>
      <c r="E13" s="9" t="str">
        <f>IF(OR(C13="",D13=""),"",C13*D13)</f>
        <v/>
      </c>
      <c r="F13" s="4"/>
      <c r="G13" s="4"/>
      <c r="H13" s="4"/>
    </row>
    <row r="14">
      <c r="A14" s="7"/>
      <c r="B14" s="4"/>
      <c r="C14" s="6"/>
      <c r="D14" s="5" t="str">
        <f>IF(B14="","",IFERROR(INDEX(Articles!$D:$D,MATCH(B14,Articles!$B:$B,0)),""))</f>
        <v/>
      </c>
      <c r="E14" s="9" t="str">
        <f>IF(OR(C14="",D14=""),"",C14*D14)</f>
        <v/>
      </c>
      <c r="F14" s="4"/>
      <c r="G14" s="4"/>
      <c r="H14" s="4"/>
    </row>
    <row r="15">
      <c r="A15" s="7"/>
      <c r="B15" s="4"/>
      <c r="C15" s="6"/>
      <c r="D15" s="5" t="str">
        <f>IF(B15="","",IFERROR(INDEX(Articles!$D:$D,MATCH(B15,Articles!$B:$B,0)),""))</f>
        <v/>
      </c>
      <c r="E15" s="9" t="str">
        <f>IF(OR(C15="",D15=""),"",C15*D15)</f>
        <v/>
      </c>
      <c r="F15" s="4"/>
      <c r="G15" s="4"/>
      <c r="H15" s="4"/>
    </row>
    <row r="16">
      <c r="A16" s="7"/>
      <c r="B16" s="4"/>
      <c r="C16" s="6"/>
      <c r="D16" s="5" t="str">
        <f>IF(B16="","",IFERROR(INDEX(Articles!$D:$D,MATCH(B16,Articles!$B:$B,0)),""))</f>
        <v/>
      </c>
      <c r="E16" s="9" t="str">
        <f>IF(OR(C16="",D16=""),"",C16*D16)</f>
        <v/>
      </c>
      <c r="F16" s="4"/>
      <c r="G16" s="4"/>
      <c r="H16" s="4"/>
    </row>
    <row r="17">
      <c r="A17" s="7"/>
      <c r="B17" s="4"/>
      <c r="C17" s="6"/>
      <c r="D17" s="5" t="str">
        <f>IF(B17="","",IFERROR(INDEX(Articles!$D:$D,MATCH(B17,Articles!$B:$B,0)),""))</f>
        <v/>
      </c>
      <c r="E17" s="9" t="str">
        <f>IF(OR(C17="",D17=""),"",C17*D17)</f>
        <v/>
      </c>
      <c r="F17" s="4"/>
      <c r="G17" s="4"/>
      <c r="H17" s="4"/>
    </row>
    <row r="18">
      <c r="A18" s="7"/>
      <c r="B18" s="4"/>
      <c r="C18" s="6"/>
      <c r="D18" s="5" t="str">
        <f>IF(B18="","",IFERROR(INDEX(Articles!$D:$D,MATCH(B18,Articles!$B:$B,0)),""))</f>
        <v/>
      </c>
      <c r="E18" s="9" t="str">
        <f>IF(OR(C18="",D18=""),"",C18*D18)</f>
        <v/>
      </c>
      <c r="F18" s="4"/>
      <c r="G18" s="4"/>
      <c r="H18" s="4"/>
    </row>
    <row r="19">
      <c r="A19" s="7"/>
      <c r="B19" s="4"/>
      <c r="C19" s="6"/>
      <c r="D19" s="5" t="str">
        <f>IF(B19="","",IFERROR(INDEX(Articles!$D:$D,MATCH(B19,Articles!$B:$B,0)),""))</f>
        <v/>
      </c>
      <c r="E19" s="9" t="str">
        <f>IF(OR(C19="",D19=""),"",C19*D19)</f>
        <v/>
      </c>
      <c r="F19" s="4"/>
      <c r="G19" s="4"/>
      <c r="H19" s="4"/>
    </row>
    <row r="20">
      <c r="A20" s="7"/>
      <c r="B20" s="4"/>
      <c r="C20" s="6"/>
      <c r="D20" s="5" t="str">
        <f>IF(B20="","",IFERROR(INDEX(Articles!$D:$D,MATCH(B20,Articles!$B:$B,0)),""))</f>
        <v/>
      </c>
      <c r="E20" s="9" t="str">
        <f>IF(OR(C20="",D20=""),"",C20*D20)</f>
        <v/>
      </c>
      <c r="F20" s="4"/>
      <c r="G20" s="4"/>
      <c r="H20" s="4"/>
    </row>
    <row r="21">
      <c r="A21" s="7"/>
      <c r="B21" s="4"/>
      <c r="C21" s="6"/>
      <c r="D21" s="5" t="str">
        <f>IF(B21="","",IFERROR(INDEX(Articles!$D:$D,MATCH(B21,Articles!$B:$B,0)),""))</f>
        <v/>
      </c>
      <c r="E21" s="9" t="str">
        <f>IF(OR(C21="",D21=""),"",C21*D21)</f>
        <v/>
      </c>
      <c r="F21" s="4"/>
      <c r="G21" s="4"/>
      <c r="H21" s="4"/>
    </row>
    <row r="22">
      <c r="A22" s="7"/>
      <c r="B22" s="4"/>
      <c r="C22" s="6"/>
      <c r="D22" s="5" t="str">
        <f>IF(B22="","",IFERROR(INDEX(Articles!$D:$D,MATCH(B22,Articles!$B:$B,0)),""))</f>
        <v/>
      </c>
      <c r="E22" s="9" t="str">
        <f>IF(OR(C22="",D22=""),"",C22*D22)</f>
        <v/>
      </c>
      <c r="F22" s="4"/>
      <c r="G22" s="4"/>
      <c r="H22" s="4"/>
    </row>
    <row r="23">
      <c r="A23" s="7"/>
      <c r="B23" s="4"/>
      <c r="C23" s="6"/>
      <c r="D23" s="5" t="str">
        <f>IF(B23="","",IFERROR(INDEX(Articles!$D:$D,MATCH(B23,Articles!$B:$B,0)),""))</f>
        <v/>
      </c>
      <c r="E23" s="9" t="str">
        <f>IF(OR(C23="",D23=""),"",C23*D23)</f>
        <v/>
      </c>
      <c r="F23" s="4"/>
      <c r="G23" s="4"/>
      <c r="H23" s="4"/>
    </row>
    <row r="24">
      <c r="A24" s="7"/>
      <c r="B24" s="4"/>
      <c r="C24" s="6"/>
      <c r="D24" s="5" t="str">
        <f>IF(B24="","",IFERROR(INDEX(Articles!$D:$D,MATCH(B24,Articles!$B:$B,0)),""))</f>
        <v/>
      </c>
      <c r="E24" s="9" t="str">
        <f>IF(OR(C24="",D24=""),"",C24*D24)</f>
        <v/>
      </c>
      <c r="F24" s="4"/>
      <c r="G24" s="4"/>
      <c r="H24" s="4"/>
    </row>
    <row r="25">
      <c r="A25" s="7"/>
      <c r="B25" s="4"/>
      <c r="C25" s="6"/>
      <c r="D25" s="5" t="str">
        <f>IF(B25="","",IFERROR(INDEX(Articles!$D:$D,MATCH(B25,Articles!$B:$B,0)),""))</f>
        <v/>
      </c>
      <c r="E25" s="9" t="str">
        <f>IF(OR(C25="",D25=""),"",C25*D25)</f>
        <v/>
      </c>
      <c r="F25" s="4"/>
      <c r="G25" s="4"/>
      <c r="H25" s="4"/>
    </row>
    <row r="26">
      <c r="A26" s="7"/>
      <c r="B26" s="4"/>
      <c r="C26" s="6"/>
      <c r="D26" s="5" t="str">
        <f>IF(B26="","",IFERROR(INDEX(Articles!$D:$D,MATCH(B26,Articles!$B:$B,0)),""))</f>
        <v/>
      </c>
      <c r="E26" s="9" t="str">
        <f>IF(OR(C26="",D26=""),"",C26*D26)</f>
        <v/>
      </c>
      <c r="F26" s="4"/>
      <c r="G26" s="4"/>
      <c r="H26" s="4"/>
    </row>
    <row r="27">
      <c r="A27" s="7"/>
      <c r="B27" s="4"/>
      <c r="C27" s="6"/>
      <c r="D27" s="5" t="str">
        <f>IF(B27="","",IFERROR(INDEX(Articles!$D:$D,MATCH(B27,Articles!$B:$B,0)),""))</f>
        <v/>
      </c>
      <c r="E27" s="9" t="str">
        <f>IF(OR(C27="",D27=""),"",C27*D27)</f>
        <v/>
      </c>
      <c r="F27" s="4"/>
      <c r="G27" s="4"/>
      <c r="H27" s="4"/>
    </row>
    <row r="28">
      <c r="A28" s="7"/>
      <c r="B28" s="4"/>
      <c r="C28" s="6"/>
      <c r="D28" s="5" t="str">
        <f>IF(B28="","",IFERROR(INDEX(Articles!$D:$D,MATCH(B28,Articles!$B:$B,0)),""))</f>
        <v/>
      </c>
      <c r="E28" s="9" t="str">
        <f>IF(OR(C28="",D28=""),"",C28*D28)</f>
        <v/>
      </c>
      <c r="F28" s="4"/>
      <c r="G28" s="4"/>
      <c r="H28" s="4"/>
    </row>
    <row r="29">
      <c r="A29" s="7"/>
      <c r="B29" s="4"/>
      <c r="C29" s="6"/>
      <c r="D29" s="5" t="str">
        <f>IF(B29="","",IFERROR(INDEX(Articles!$D:$D,MATCH(B29,Articles!$B:$B,0)),""))</f>
        <v/>
      </c>
      <c r="E29" s="9" t="str">
        <f>IF(OR(C29="",D29=""),"",C29*D29)</f>
        <v/>
      </c>
      <c r="F29" s="4"/>
      <c r="G29" s="4"/>
      <c r="H29" s="4"/>
    </row>
    <row r="30">
      <c r="A30" s="7"/>
      <c r="B30" s="4"/>
      <c r="C30" s="6"/>
      <c r="D30" s="5" t="str">
        <f>IF(B30="","",IFERROR(INDEX(Articles!$D:$D,MATCH(B30,Articles!$B:$B,0)),""))</f>
        <v/>
      </c>
      <c r="E30" s="9" t="str">
        <f>IF(OR(C30="",D30=""),"",C30*D30)</f>
        <v/>
      </c>
      <c r="F30" s="4"/>
      <c r="G30" s="4"/>
      <c r="H30" s="4"/>
    </row>
    <row r="31">
      <c r="A31" s="7"/>
      <c r="B31" s="4"/>
      <c r="C31" s="6"/>
      <c r="D31" s="5" t="str">
        <f>IF(B31="","",IFERROR(INDEX(Articles!$D:$D,MATCH(B31,Articles!$B:$B,0)),""))</f>
        <v/>
      </c>
      <c r="E31" s="9" t="str">
        <f>IF(OR(C31="",D31=""),"",C31*D31)</f>
        <v/>
      </c>
      <c r="F31" s="4"/>
      <c r="G31" s="4"/>
      <c r="H31" s="4"/>
    </row>
    <row r="32">
      <c r="A32" s="7"/>
      <c r="B32" s="4"/>
      <c r="C32" s="6"/>
      <c r="D32" s="5" t="str">
        <f>IF(B32="","",IFERROR(INDEX(Articles!$D:$D,MATCH(B32,Articles!$B:$B,0)),""))</f>
        <v/>
      </c>
      <c r="E32" s="9" t="str">
        <f>IF(OR(C32="",D32=""),"",C32*D32)</f>
        <v/>
      </c>
      <c r="F32" s="4"/>
      <c r="G32" s="4"/>
      <c r="H32" s="4"/>
    </row>
    <row r="33">
      <c r="A33" s="7"/>
      <c r="B33" s="4"/>
      <c r="C33" s="6"/>
      <c r="D33" s="5" t="str">
        <f>IF(B33="","",IFERROR(INDEX(Articles!$D:$D,MATCH(B33,Articles!$B:$B,0)),""))</f>
        <v/>
      </c>
      <c r="E33" s="9" t="str">
        <f>IF(OR(C33="",D33=""),"",C33*D33)</f>
        <v/>
      </c>
      <c r="F33" s="4"/>
      <c r="G33" s="4"/>
      <c r="H33" s="4"/>
    </row>
    <row r="34">
      <c r="A34" s="7"/>
      <c r="B34" s="4"/>
      <c r="C34" s="6"/>
      <c r="D34" s="5" t="str">
        <f>IF(B34="","",IFERROR(INDEX(Articles!$D:$D,MATCH(B34,Articles!$B:$B,0)),""))</f>
        <v/>
      </c>
      <c r="E34" s="9" t="str">
        <f>IF(OR(C34="",D34=""),"",C34*D34)</f>
        <v/>
      </c>
      <c r="F34" s="4"/>
      <c r="G34" s="4"/>
      <c r="H34" s="4"/>
    </row>
    <row r="35">
      <c r="A35" s="7"/>
      <c r="B35" s="4"/>
      <c r="C35" s="6"/>
      <c r="D35" s="5" t="str">
        <f>IF(B35="","",IFERROR(INDEX(Articles!$D:$D,MATCH(B35,Articles!$B:$B,0)),""))</f>
        <v/>
      </c>
      <c r="E35" s="9" t="str">
        <f>IF(OR(C35="",D35=""),"",C35*D35)</f>
        <v/>
      </c>
      <c r="F35" s="4"/>
      <c r="G35" s="4"/>
      <c r="H35" s="4"/>
    </row>
    <row r="36">
      <c r="A36" s="7"/>
      <c r="B36" s="4"/>
      <c r="C36" s="6"/>
      <c r="D36" s="5" t="str">
        <f>IF(B36="","",IFERROR(INDEX(Articles!$D:$D,MATCH(B36,Articles!$B:$B,0)),""))</f>
        <v/>
      </c>
      <c r="E36" s="9" t="str">
        <f>IF(OR(C36="",D36=""),"",C36*D36)</f>
        <v/>
      </c>
      <c r="F36" s="4"/>
      <c r="G36" s="4"/>
      <c r="H36" s="4"/>
    </row>
    <row r="37">
      <c r="A37" s="7"/>
      <c r="B37" s="4"/>
      <c r="C37" s="6"/>
      <c r="D37" s="5" t="str">
        <f>IF(B37="","",IFERROR(INDEX(Articles!$D:$D,MATCH(B37,Articles!$B:$B,0)),""))</f>
        <v/>
      </c>
      <c r="E37" s="9" t="str">
        <f>IF(OR(C37="",D37=""),"",C37*D37)</f>
        <v/>
      </c>
      <c r="F37" s="4"/>
      <c r="G37" s="4"/>
      <c r="H37" s="4"/>
    </row>
    <row r="38">
      <c r="A38" s="7"/>
      <c r="B38" s="4"/>
      <c r="C38" s="6"/>
      <c r="D38" s="5" t="str">
        <f>IF(B38="","",IFERROR(INDEX(Articles!$D:$D,MATCH(B38,Articles!$B:$B,0)),""))</f>
        <v/>
      </c>
      <c r="E38" s="9" t="str">
        <f>IF(OR(C38="",D38=""),"",C38*D38)</f>
        <v/>
      </c>
      <c r="F38" s="4"/>
      <c r="G38" s="4"/>
      <c r="H38" s="4"/>
    </row>
    <row r="39">
      <c r="A39" s="7"/>
      <c r="B39" s="4"/>
      <c r="C39" s="6"/>
      <c r="D39" s="5" t="str">
        <f>IF(B39="","",IFERROR(INDEX(Articles!$D:$D,MATCH(B39,Articles!$B:$B,0)),""))</f>
        <v/>
      </c>
      <c r="E39" s="9" t="str">
        <f>IF(OR(C39="",D39=""),"",C39*D39)</f>
        <v/>
      </c>
      <c r="F39" s="4"/>
      <c r="G39" s="4"/>
      <c r="H39" s="4"/>
    </row>
    <row r="40">
      <c r="A40" s="7"/>
      <c r="B40" s="4"/>
      <c r="C40" s="6"/>
      <c r="D40" s="5" t="str">
        <f>IF(B40="","",IFERROR(INDEX(Articles!$D:$D,MATCH(B40,Articles!$B:$B,0)),""))</f>
        <v/>
      </c>
      <c r="E40" s="9" t="str">
        <f>IF(OR(C40="",D40=""),"",C40*D40)</f>
        <v/>
      </c>
      <c r="F40" s="4"/>
      <c r="G40" s="4"/>
      <c r="H40" s="4"/>
    </row>
    <row r="41">
      <c r="A41" s="7"/>
      <c r="B41" s="4"/>
      <c r="C41" s="6"/>
      <c r="D41" s="5" t="str">
        <f>IF(B41="","",IFERROR(INDEX(Articles!$D:$D,MATCH(B41,Articles!$B:$B,0)),""))</f>
        <v/>
      </c>
      <c r="E41" s="9" t="str">
        <f>IF(OR(C41="",D41=""),"",C41*D41)</f>
        <v/>
      </c>
      <c r="F41" s="4"/>
      <c r="G41" s="4"/>
      <c r="H41" s="4"/>
    </row>
    <row r="42">
      <c r="A42" s="7"/>
      <c r="B42" s="4"/>
      <c r="C42" s="6"/>
      <c r="D42" s="5" t="str">
        <f>IF(B42="","",IFERROR(INDEX(Articles!$D:$D,MATCH(B42,Articles!$B:$B,0)),""))</f>
        <v/>
      </c>
      <c r="E42" s="9" t="str">
        <f>IF(OR(C42="",D42=""),"",C42*D42)</f>
        <v/>
      </c>
      <c r="F42" s="4"/>
      <c r="G42" s="4"/>
      <c r="H42" s="4"/>
    </row>
    <row r="43">
      <c r="A43" s="7"/>
      <c r="B43" s="4"/>
      <c r="C43" s="6"/>
      <c r="D43" s="5" t="str">
        <f>IF(B43="","",IFERROR(INDEX(Articles!$D:$D,MATCH(B43,Articles!$B:$B,0)),""))</f>
        <v/>
      </c>
      <c r="E43" s="9" t="str">
        <f>IF(OR(C43="",D43=""),"",C43*D43)</f>
        <v/>
      </c>
      <c r="F43" s="4"/>
      <c r="G43" s="4"/>
      <c r="H43" s="4"/>
    </row>
    <row r="44">
      <c r="A44" s="7"/>
      <c r="B44" s="4"/>
      <c r="C44" s="6"/>
      <c r="D44" s="5" t="str">
        <f>IF(B44="","",IFERROR(INDEX(Articles!$D:$D,MATCH(B44,Articles!$B:$B,0)),""))</f>
        <v/>
      </c>
      <c r="E44" s="9" t="str">
        <f>IF(OR(C44="",D44=""),"",C44*D44)</f>
        <v/>
      </c>
      <c r="F44" s="4"/>
      <c r="G44" s="4"/>
      <c r="H44" s="4"/>
    </row>
    <row r="45">
      <c r="A45" s="7"/>
      <c r="B45" s="4"/>
      <c r="C45" s="6"/>
      <c r="D45" s="5" t="str">
        <f>IF(B45="","",IFERROR(INDEX(Articles!$D:$D,MATCH(B45,Articles!$B:$B,0)),""))</f>
        <v/>
      </c>
      <c r="E45" s="9" t="str">
        <f>IF(OR(C45="",D45=""),"",C45*D45)</f>
        <v/>
      </c>
      <c r="F45" s="4"/>
      <c r="G45" s="4"/>
      <c r="H45" s="4"/>
    </row>
    <row r="46">
      <c r="A46" s="7"/>
      <c r="B46" s="4"/>
      <c r="C46" s="6"/>
      <c r="D46" s="5" t="str">
        <f>IF(B46="","",IFERROR(INDEX(Articles!$D:$D,MATCH(B46,Articles!$B:$B,0)),""))</f>
        <v/>
      </c>
      <c r="E46" s="9" t="str">
        <f>IF(OR(C46="",D46=""),"",C46*D46)</f>
        <v/>
      </c>
      <c r="F46" s="4"/>
      <c r="G46" s="4"/>
      <c r="H46" s="4"/>
    </row>
    <row r="47">
      <c r="A47" s="7"/>
      <c r="B47" s="4"/>
      <c r="C47" s="6"/>
      <c r="D47" s="5" t="str">
        <f>IF(B47="","",IFERROR(INDEX(Articles!$D:$D,MATCH(B47,Articles!$B:$B,0)),""))</f>
        <v/>
      </c>
      <c r="E47" s="9" t="str">
        <f>IF(OR(C47="",D47=""),"",C47*D47)</f>
        <v/>
      </c>
      <c r="F47" s="4"/>
      <c r="G47" s="4"/>
      <c r="H47" s="4"/>
    </row>
    <row r="48">
      <c r="A48" s="7"/>
      <c r="B48" s="4"/>
      <c r="C48" s="6"/>
      <c r="D48" s="5" t="str">
        <f>IF(B48="","",IFERROR(INDEX(Articles!$D:$D,MATCH(B48,Articles!$B:$B,0)),""))</f>
        <v/>
      </c>
      <c r="E48" s="9" t="str">
        <f>IF(OR(C48="",D48=""),"",C48*D48)</f>
        <v/>
      </c>
      <c r="F48" s="4"/>
      <c r="G48" s="4"/>
      <c r="H48" s="4"/>
    </row>
    <row r="49">
      <c r="A49" s="7"/>
      <c r="B49" s="4"/>
      <c r="C49" s="6"/>
      <c r="D49" s="5" t="str">
        <f>IF(B49="","",IFERROR(INDEX(Articles!$D:$D,MATCH(B49,Articles!$B:$B,0)),""))</f>
        <v/>
      </c>
      <c r="E49" s="9" t="str">
        <f>IF(OR(C49="",D49=""),"",C49*D49)</f>
        <v/>
      </c>
      <c r="F49" s="4"/>
      <c r="G49" s="4"/>
      <c r="H49" s="4"/>
    </row>
    <row r="50">
      <c r="A50" s="7"/>
      <c r="B50" s="4"/>
      <c r="C50" s="6"/>
      <c r="D50" s="5" t="str">
        <f>IF(B50="","",IFERROR(INDEX(Articles!$D:$D,MATCH(B50,Articles!$B:$B,0)),""))</f>
        <v/>
      </c>
      <c r="E50" s="9" t="str">
        <f>IF(OR(C50="",D50=""),"",C50*D50)</f>
        <v/>
      </c>
      <c r="F50" s="4"/>
      <c r="G50" s="4"/>
      <c r="H50" s="4"/>
    </row>
    <row r="51">
      <c r="A51" s="7"/>
      <c r="B51" s="4"/>
      <c r="C51" s="6"/>
      <c r="D51" s="5" t="str">
        <f>IF(B51="","",IFERROR(INDEX(Articles!$D:$D,MATCH(B51,Articles!$B:$B,0)),""))</f>
        <v/>
      </c>
      <c r="E51" s="9" t="str">
        <f>IF(OR(C51="",D51=""),"",C51*D51)</f>
        <v/>
      </c>
      <c r="F51" s="4"/>
      <c r="G51" s="4"/>
      <c r="H51" s="4"/>
    </row>
    <row r="52">
      <c r="A52" s="7"/>
      <c r="B52" s="4"/>
      <c r="C52" s="6"/>
      <c r="D52" s="5" t="str">
        <f>IF(B52="","",IFERROR(INDEX(Articles!$D:$D,MATCH(B52,Articles!$B:$B,0)),""))</f>
        <v/>
      </c>
      <c r="E52" s="9" t="str">
        <f>IF(OR(C52="",D52=""),"",C52*D52)</f>
        <v/>
      </c>
      <c r="F52" s="4"/>
      <c r="G52" s="4"/>
      <c r="H52" s="4"/>
    </row>
    <row r="53">
      <c r="A53" s="7"/>
      <c r="B53" s="4"/>
      <c r="C53" s="6"/>
      <c r="D53" s="5" t="str">
        <f>IF(B53="","",IFERROR(INDEX(Articles!$D:$D,MATCH(B53,Articles!$B:$B,0)),""))</f>
        <v/>
      </c>
      <c r="E53" s="9" t="str">
        <f>IF(OR(C53="",D53=""),"",C53*D53)</f>
        <v/>
      </c>
      <c r="F53" s="4"/>
      <c r="G53" s="4"/>
      <c r="H53" s="4"/>
    </row>
    <row r="54">
      <c r="A54" s="7"/>
      <c r="B54" s="4"/>
      <c r="C54" s="6"/>
      <c r="D54" s="5" t="str">
        <f>IF(B54="","",IFERROR(INDEX(Articles!$D:$D,MATCH(B54,Articles!$B:$B,0)),""))</f>
        <v/>
      </c>
      <c r="E54" s="9" t="str">
        <f>IF(OR(C54="",D54=""),"",C54*D54)</f>
        <v/>
      </c>
      <c r="F54" s="4"/>
      <c r="G54" s="4"/>
      <c r="H54" s="4"/>
    </row>
    <row r="55">
      <c r="A55" s="7"/>
      <c r="B55" s="4"/>
      <c r="C55" s="6"/>
      <c r="D55" s="5" t="str">
        <f>IF(B55="","",IFERROR(INDEX(Articles!$D:$D,MATCH(B55,Articles!$B:$B,0)),""))</f>
        <v/>
      </c>
      <c r="E55" s="9" t="str">
        <f>IF(OR(C55="",D55=""),"",C55*D55)</f>
        <v/>
      </c>
      <c r="F55" s="4"/>
      <c r="G55" s="4"/>
      <c r="H55" s="4"/>
    </row>
    <row r="56">
      <c r="A56" s="7"/>
      <c r="B56" s="4"/>
      <c r="C56" s="6"/>
      <c r="D56" s="5" t="str">
        <f>IF(B56="","",IFERROR(INDEX(Articles!$D:$D,MATCH(B56,Articles!$B:$B,0)),""))</f>
        <v/>
      </c>
      <c r="E56" s="9" t="str">
        <f>IF(OR(C56="",D56=""),"",C56*D56)</f>
        <v/>
      </c>
      <c r="F56" s="4"/>
      <c r="G56" s="4"/>
      <c r="H56" s="4"/>
    </row>
    <row r="57">
      <c r="A57" s="7"/>
      <c r="B57" s="4"/>
      <c r="C57" s="6"/>
      <c r="D57" s="5" t="str">
        <f>IF(B57="","",IFERROR(INDEX(Articles!$D:$D,MATCH(B57,Articles!$B:$B,0)),""))</f>
        <v/>
      </c>
      <c r="E57" s="9" t="str">
        <f>IF(OR(C57="",D57=""),"",C57*D57)</f>
        <v/>
      </c>
      <c r="F57" s="4"/>
      <c r="G57" s="4"/>
      <c r="H57" s="4"/>
    </row>
    <row r="58">
      <c r="A58" s="7"/>
      <c r="B58" s="4"/>
      <c r="C58" s="6"/>
      <c r="D58" s="5" t="str">
        <f>IF(B58="","",IFERROR(INDEX(Articles!$D:$D,MATCH(B58,Articles!$B:$B,0)),""))</f>
        <v/>
      </c>
      <c r="E58" s="9" t="str">
        <f>IF(OR(C58="",D58=""),"",C58*D58)</f>
        <v/>
      </c>
      <c r="F58" s="4"/>
      <c r="G58" s="4"/>
      <c r="H58" s="4"/>
    </row>
    <row r="59">
      <c r="A59" s="7"/>
      <c r="B59" s="4"/>
      <c r="C59" s="6"/>
      <c r="D59" s="5" t="str">
        <f>IF(B59="","",IFERROR(INDEX(Articles!$D:$D,MATCH(B59,Articles!$B:$B,0)),""))</f>
        <v/>
      </c>
      <c r="E59" s="9" t="str">
        <f>IF(OR(C59="",D59=""),"",C59*D59)</f>
        <v/>
      </c>
      <c r="F59" s="4"/>
      <c r="G59" s="4"/>
      <c r="H59" s="4"/>
    </row>
    <row r="60">
      <c r="A60" s="7"/>
      <c r="B60" s="4"/>
      <c r="C60" s="6"/>
      <c r="D60" s="5" t="str">
        <f>IF(B60="","",IFERROR(INDEX(Articles!$D:$D,MATCH(B60,Articles!$B:$B,0)),""))</f>
        <v/>
      </c>
      <c r="E60" s="9" t="str">
        <f>IF(OR(C60="",D60=""),"",C60*D60)</f>
        <v/>
      </c>
      <c r="F60" s="4"/>
      <c r="G60" s="4"/>
      <c r="H60" s="4"/>
    </row>
    <row r="61">
      <c r="A61" s="7"/>
      <c r="B61" s="4"/>
      <c r="C61" s="6"/>
      <c r="D61" s="5" t="str">
        <f>IF(B61="","",IFERROR(INDEX(Articles!$D:$D,MATCH(B61,Articles!$B:$B,0)),""))</f>
        <v/>
      </c>
      <c r="E61" s="9" t="str">
        <f>IF(OR(C61="",D61=""),"",C61*D61)</f>
        <v/>
      </c>
      <c r="F61" s="4"/>
      <c r="G61" s="4"/>
      <c r="H61" s="4"/>
    </row>
    <row r="62">
      <c r="A62" s="7"/>
      <c r="B62" s="4"/>
      <c r="C62" s="6"/>
      <c r="D62" s="5" t="str">
        <f>IF(B62="","",IFERROR(INDEX(Articles!$D:$D,MATCH(B62,Articles!$B:$B,0)),""))</f>
        <v/>
      </c>
      <c r="E62" s="9" t="str">
        <f>IF(OR(C62="",D62=""),"",C62*D62)</f>
        <v/>
      </c>
      <c r="F62" s="4"/>
      <c r="G62" s="4"/>
      <c r="H62" s="4"/>
    </row>
    <row r="63">
      <c r="A63" s="7"/>
      <c r="B63" s="4"/>
      <c r="C63" s="6"/>
      <c r="D63" s="5" t="str">
        <f>IF(B63="","",IFERROR(INDEX(Articles!$D:$D,MATCH(B63,Articles!$B:$B,0)),""))</f>
        <v/>
      </c>
      <c r="E63" s="9" t="str">
        <f>IF(OR(C63="",D63=""),"",C63*D63)</f>
        <v/>
      </c>
      <c r="F63" s="4"/>
      <c r="G63" s="4"/>
      <c r="H63" s="4"/>
    </row>
    <row r="64">
      <c r="A64" s="7"/>
      <c r="B64" s="4"/>
      <c r="C64" s="6"/>
      <c r="D64" s="5" t="str">
        <f>IF(B64="","",IFERROR(INDEX(Articles!$D:$D,MATCH(B64,Articles!$B:$B,0)),""))</f>
        <v/>
      </c>
      <c r="E64" s="9" t="str">
        <f>IF(OR(C64="",D64=""),"",C64*D64)</f>
        <v/>
      </c>
      <c r="F64" s="4"/>
      <c r="G64" s="4"/>
      <c r="H64" s="4"/>
    </row>
    <row r="65">
      <c r="A65" s="7"/>
      <c r="B65" s="4"/>
      <c r="C65" s="6"/>
      <c r="D65" s="5" t="str">
        <f>IF(B65="","",IFERROR(INDEX(Articles!$D:$D,MATCH(B65,Articles!$B:$B,0)),""))</f>
        <v/>
      </c>
      <c r="E65" s="9" t="str">
        <f>IF(OR(C65="",D65=""),"",C65*D65)</f>
        <v/>
      </c>
      <c r="F65" s="4"/>
      <c r="G65" s="4"/>
      <c r="H65" s="4"/>
    </row>
    <row r="66">
      <c r="A66" s="7"/>
      <c r="B66" s="4"/>
      <c r="C66" s="6"/>
      <c r="D66" s="5" t="str">
        <f>IF(B66="","",IFERROR(INDEX(Articles!$D:$D,MATCH(B66,Articles!$B:$B,0)),""))</f>
        <v/>
      </c>
      <c r="E66" s="9" t="str">
        <f>IF(OR(C66="",D66=""),"",C66*D66)</f>
        <v/>
      </c>
      <c r="F66" s="4"/>
      <c r="G66" s="4"/>
      <c r="H66" s="4"/>
    </row>
    <row r="67">
      <c r="A67" s="7"/>
      <c r="B67" s="4"/>
      <c r="C67" s="6"/>
      <c r="D67" s="5" t="str">
        <f>IF(B67="","",IFERROR(INDEX(Articles!$D:$D,MATCH(B67,Articles!$B:$B,0)),""))</f>
        <v/>
      </c>
      <c r="E67" s="9" t="str">
        <f>IF(OR(C67="",D67=""),"",C67*D67)</f>
        <v/>
      </c>
      <c r="F67" s="4"/>
      <c r="G67" s="4"/>
      <c r="H67" s="4"/>
    </row>
    <row r="68">
      <c r="A68" s="7"/>
      <c r="B68" s="4"/>
      <c r="C68" s="6"/>
      <c r="D68" s="5" t="str">
        <f>IF(B68="","",IFERROR(INDEX(Articles!$D:$D,MATCH(B68,Articles!$B:$B,0)),""))</f>
        <v/>
      </c>
      <c r="E68" s="9" t="str">
        <f>IF(OR(C68="",D68=""),"",C68*D68)</f>
        <v/>
      </c>
      <c r="F68" s="4"/>
      <c r="G68" s="4"/>
      <c r="H68" s="4"/>
    </row>
    <row r="69">
      <c r="A69" s="7"/>
      <c r="B69" s="4"/>
      <c r="C69" s="6"/>
      <c r="D69" s="5" t="str">
        <f>IF(B69="","",IFERROR(INDEX(Articles!$D:$D,MATCH(B69,Articles!$B:$B,0)),""))</f>
        <v/>
      </c>
      <c r="E69" s="9" t="str">
        <f>IF(OR(C69="",D69=""),"",C69*D69)</f>
        <v/>
      </c>
      <c r="F69" s="4"/>
      <c r="G69" s="4"/>
      <c r="H69" s="4"/>
    </row>
    <row r="70">
      <c r="A70" s="7"/>
      <c r="B70" s="4"/>
      <c r="C70" s="6"/>
      <c r="D70" s="5" t="str">
        <f>IF(B70="","",IFERROR(INDEX(Articles!$D:$D,MATCH(B70,Articles!$B:$B,0)),""))</f>
        <v/>
      </c>
      <c r="E70" s="9" t="str">
        <f>IF(OR(C70="",D70=""),"",C70*D70)</f>
        <v/>
      </c>
      <c r="F70" s="4"/>
      <c r="G70" s="4"/>
      <c r="H70" s="4"/>
    </row>
    <row r="71">
      <c r="A71" s="7"/>
      <c r="B71" s="4"/>
      <c r="C71" s="6"/>
      <c r="D71" s="5" t="str">
        <f>IF(B71="","",IFERROR(INDEX(Articles!$D:$D,MATCH(B71,Articles!$B:$B,0)),""))</f>
        <v/>
      </c>
      <c r="E71" s="9" t="str">
        <f>IF(OR(C71="",D71=""),"",C71*D71)</f>
        <v/>
      </c>
      <c r="F71" s="4"/>
      <c r="G71" s="4"/>
      <c r="H71" s="4"/>
    </row>
    <row r="72">
      <c r="A72" s="7"/>
      <c r="B72" s="4"/>
      <c r="C72" s="6"/>
      <c r="D72" s="5" t="str">
        <f>IF(B72="","",IFERROR(INDEX(Articles!$D:$D,MATCH(B72,Articles!$B:$B,0)),""))</f>
        <v/>
      </c>
      <c r="E72" s="9" t="str">
        <f>IF(OR(C72="",D72=""),"",C72*D72)</f>
        <v/>
      </c>
      <c r="F72" s="4"/>
      <c r="G72" s="4"/>
      <c r="H72" s="4"/>
    </row>
    <row r="73">
      <c r="A73" s="7"/>
      <c r="B73" s="4"/>
      <c r="C73" s="6"/>
      <c r="D73" s="5" t="str">
        <f>IF(B73="","",IFERROR(INDEX(Articles!$D:$D,MATCH(B73,Articles!$B:$B,0)),""))</f>
        <v/>
      </c>
      <c r="E73" s="9" t="str">
        <f>IF(OR(C73="",D73=""),"",C73*D73)</f>
        <v/>
      </c>
      <c r="F73" s="4"/>
      <c r="G73" s="4"/>
      <c r="H73" s="4"/>
    </row>
    <row r="74">
      <c r="A74" s="7"/>
      <c r="B74" s="4"/>
      <c r="C74" s="6"/>
      <c r="D74" s="5" t="str">
        <f>IF(B74="","",IFERROR(INDEX(Articles!$D:$D,MATCH(B74,Articles!$B:$B,0)),""))</f>
        <v/>
      </c>
      <c r="E74" s="9" t="str">
        <f>IF(OR(C74="",D74=""),"",C74*D74)</f>
        <v/>
      </c>
      <c r="F74" s="4"/>
      <c r="G74" s="4"/>
      <c r="H74" s="4"/>
    </row>
    <row r="75">
      <c r="A75" s="7"/>
      <c r="B75" s="4"/>
      <c r="C75" s="6"/>
      <c r="D75" s="5" t="str">
        <f>IF(B75="","",IFERROR(INDEX(Articles!$D:$D,MATCH(B75,Articles!$B:$B,0)),""))</f>
        <v/>
      </c>
      <c r="E75" s="9" t="str">
        <f>IF(OR(C75="",D75=""),"",C75*D75)</f>
        <v/>
      </c>
      <c r="F75" s="4"/>
      <c r="G75" s="4"/>
      <c r="H75" s="4"/>
    </row>
    <row r="76">
      <c r="A76" s="7"/>
      <c r="B76" s="4"/>
      <c r="C76" s="6"/>
      <c r="D76" s="5" t="str">
        <f>IF(B76="","",IFERROR(INDEX(Articles!$D:$D,MATCH(B76,Articles!$B:$B,0)),""))</f>
        <v/>
      </c>
      <c r="E76" s="9" t="str">
        <f>IF(OR(C76="",D76=""),"",C76*D76)</f>
        <v/>
      </c>
      <c r="F76" s="4"/>
      <c r="G76" s="4"/>
      <c r="H76" s="4"/>
    </row>
    <row r="77">
      <c r="A77" s="7"/>
      <c r="B77" s="4"/>
      <c r="C77" s="6"/>
      <c r="D77" s="5" t="str">
        <f>IF(B77="","",IFERROR(INDEX(Articles!$D:$D,MATCH(B77,Articles!$B:$B,0)),""))</f>
        <v/>
      </c>
      <c r="E77" s="9" t="str">
        <f>IF(OR(C77="",D77=""),"",C77*D77)</f>
        <v/>
      </c>
      <c r="F77" s="4"/>
      <c r="G77" s="4"/>
      <c r="H77" s="4"/>
    </row>
    <row r="78">
      <c r="A78" s="7"/>
      <c r="B78" s="4"/>
      <c r="C78" s="6"/>
      <c r="D78" s="5" t="str">
        <f>IF(B78="","",IFERROR(INDEX(Articles!$D:$D,MATCH(B78,Articles!$B:$B,0)),""))</f>
        <v/>
      </c>
      <c r="E78" s="9" t="str">
        <f>IF(OR(C78="",D78=""),"",C78*D78)</f>
        <v/>
      </c>
      <c r="F78" s="4"/>
      <c r="G78" s="4"/>
      <c r="H78" s="4"/>
    </row>
    <row r="79">
      <c r="A79" s="7"/>
      <c r="B79" s="4"/>
      <c r="C79" s="6"/>
      <c r="D79" s="5" t="str">
        <f>IF(B79="","",IFERROR(INDEX(Articles!$D:$D,MATCH(B79,Articles!$B:$B,0)),""))</f>
        <v/>
      </c>
      <c r="E79" s="9" t="str">
        <f>IF(OR(C79="",D79=""),"",C79*D79)</f>
        <v/>
      </c>
      <c r="F79" s="4"/>
      <c r="G79" s="4"/>
      <c r="H79" s="4"/>
    </row>
    <row r="80">
      <c r="A80" s="7"/>
      <c r="B80" s="4"/>
      <c r="C80" s="6"/>
      <c r="D80" s="5" t="str">
        <f>IF(B80="","",IFERROR(INDEX(Articles!$D:$D,MATCH(B80,Articles!$B:$B,0)),""))</f>
        <v/>
      </c>
      <c r="E80" s="9" t="str">
        <f>IF(OR(C80="",D80=""),"",C80*D80)</f>
        <v/>
      </c>
      <c r="F80" s="4"/>
      <c r="G80" s="4"/>
      <c r="H80" s="4"/>
    </row>
    <row r="81">
      <c r="A81" s="7"/>
      <c r="B81" s="4"/>
      <c r="C81" s="6"/>
      <c r="D81" s="5" t="str">
        <f>IF(B81="","",IFERROR(INDEX(Articles!$D:$D,MATCH(B81,Articles!$B:$B,0)),""))</f>
        <v/>
      </c>
      <c r="E81" s="9" t="str">
        <f>IF(OR(C81="",D81=""),"",C81*D81)</f>
        <v/>
      </c>
      <c r="F81" s="4"/>
      <c r="G81" s="4"/>
      <c r="H81" s="4"/>
    </row>
    <row r="82">
      <c r="A82" s="7"/>
      <c r="B82" s="4"/>
      <c r="C82" s="6"/>
      <c r="D82" s="5" t="str">
        <f>IF(B82="","",IFERROR(INDEX(Articles!$D:$D,MATCH(B82,Articles!$B:$B,0)),""))</f>
        <v/>
      </c>
      <c r="E82" s="9" t="str">
        <f>IF(OR(C82="",D82=""),"",C82*D82)</f>
        <v/>
      </c>
      <c r="F82" s="4"/>
      <c r="G82" s="4"/>
      <c r="H82" s="4"/>
    </row>
    <row r="83">
      <c r="A83" s="7"/>
      <c r="B83" s="4"/>
      <c r="C83" s="6"/>
      <c r="D83" s="5" t="str">
        <f>IF(B83="","",IFERROR(INDEX(Articles!$D:$D,MATCH(B83,Articles!$B:$B,0)),""))</f>
        <v/>
      </c>
      <c r="E83" s="9" t="str">
        <f>IF(OR(C83="",D83=""),"",C83*D83)</f>
        <v/>
      </c>
      <c r="F83" s="4"/>
      <c r="G83" s="4"/>
      <c r="H83" s="4"/>
    </row>
    <row r="84">
      <c r="A84" s="7"/>
      <c r="B84" s="4"/>
      <c r="C84" s="6"/>
      <c r="D84" s="5" t="str">
        <f>IF(B84="","",IFERROR(INDEX(Articles!$D:$D,MATCH(B84,Articles!$B:$B,0)),""))</f>
        <v/>
      </c>
      <c r="E84" s="9" t="str">
        <f>IF(OR(C84="",D84=""),"",C84*D84)</f>
        <v/>
      </c>
      <c r="F84" s="4"/>
      <c r="G84" s="4"/>
      <c r="H84" s="4"/>
    </row>
    <row r="85">
      <c r="A85" s="7"/>
      <c r="B85" s="4"/>
      <c r="C85" s="6"/>
      <c r="D85" s="5" t="str">
        <f>IF(B85="","",IFERROR(INDEX(Articles!$D:$D,MATCH(B85,Articles!$B:$B,0)),""))</f>
        <v/>
      </c>
      <c r="E85" s="9" t="str">
        <f>IF(OR(C85="",D85=""),"",C85*D85)</f>
        <v/>
      </c>
      <c r="F85" s="4"/>
      <c r="G85" s="4"/>
      <c r="H85" s="4"/>
    </row>
    <row r="86">
      <c r="A86" s="7"/>
      <c r="B86" s="4"/>
      <c r="C86" s="6"/>
      <c r="D86" s="5" t="str">
        <f>IF(B86="","",IFERROR(INDEX(Articles!$D:$D,MATCH(B86,Articles!$B:$B,0)),""))</f>
        <v/>
      </c>
      <c r="E86" s="9" t="str">
        <f>IF(OR(C86="",D86=""),"",C86*D86)</f>
        <v/>
      </c>
      <c r="F86" s="4"/>
      <c r="G86" s="4"/>
      <c r="H86" s="4"/>
    </row>
    <row r="87">
      <c r="A87" s="7"/>
      <c r="B87" s="4"/>
      <c r="C87" s="6"/>
      <c r="D87" s="5" t="str">
        <f>IF(B87="","",IFERROR(INDEX(Articles!$D:$D,MATCH(B87,Articles!$B:$B,0)),""))</f>
        <v/>
      </c>
      <c r="E87" s="9" t="str">
        <f>IF(OR(C87="",D87=""),"",C87*D87)</f>
        <v/>
      </c>
      <c r="F87" s="4"/>
      <c r="G87" s="4"/>
      <c r="H87" s="4"/>
    </row>
    <row r="88">
      <c r="A88" s="7"/>
      <c r="B88" s="4"/>
      <c r="C88" s="6"/>
      <c r="D88" s="5" t="str">
        <f>IF(B88="","",IFERROR(INDEX(Articles!$D:$D,MATCH(B88,Articles!$B:$B,0)),""))</f>
        <v/>
      </c>
      <c r="E88" s="9" t="str">
        <f>IF(OR(C88="",D88=""),"",C88*D88)</f>
        <v/>
      </c>
      <c r="F88" s="4"/>
      <c r="G88" s="4"/>
      <c r="H88" s="4"/>
    </row>
    <row r="89">
      <c r="A89" s="7"/>
      <c r="B89" s="4"/>
      <c r="C89" s="6"/>
      <c r="D89" s="5" t="str">
        <f>IF(B89="","",IFERROR(INDEX(Articles!$D:$D,MATCH(B89,Articles!$B:$B,0)),""))</f>
        <v/>
      </c>
      <c r="E89" s="9" t="str">
        <f>IF(OR(C89="",D89=""),"",C89*D89)</f>
        <v/>
      </c>
      <c r="F89" s="4"/>
      <c r="G89" s="4"/>
      <c r="H89" s="4"/>
    </row>
    <row r="90">
      <c r="A90" s="7"/>
      <c r="B90" s="4"/>
      <c r="C90" s="6"/>
      <c r="D90" s="5" t="str">
        <f>IF(B90="","",IFERROR(INDEX(Articles!$D:$D,MATCH(B90,Articles!$B:$B,0)),""))</f>
        <v/>
      </c>
      <c r="E90" s="9" t="str">
        <f>IF(OR(C90="",D90=""),"",C90*D90)</f>
        <v/>
      </c>
      <c r="F90" s="4"/>
      <c r="G90" s="4"/>
      <c r="H90" s="4"/>
    </row>
    <row r="91">
      <c r="A91" s="7"/>
      <c r="B91" s="4"/>
      <c r="C91" s="6"/>
      <c r="D91" s="5" t="str">
        <f>IF(B91="","",IFERROR(INDEX(Articles!$D:$D,MATCH(B91,Articles!$B:$B,0)),""))</f>
        <v/>
      </c>
      <c r="E91" s="9" t="str">
        <f>IF(OR(C91="",D91=""),"",C91*D91)</f>
        <v/>
      </c>
      <c r="F91" s="4"/>
      <c r="G91" s="4"/>
      <c r="H91" s="4"/>
    </row>
    <row r="92">
      <c r="A92" s="7"/>
      <c r="B92" s="4"/>
      <c r="C92" s="6"/>
      <c r="D92" s="5" t="str">
        <f>IF(B92="","",IFERROR(INDEX(Articles!$D:$D,MATCH(B92,Articles!$B:$B,0)),""))</f>
        <v/>
      </c>
      <c r="E92" s="9" t="str">
        <f>IF(OR(C92="",D92=""),"",C92*D92)</f>
        <v/>
      </c>
      <c r="F92" s="4"/>
      <c r="G92" s="4"/>
      <c r="H92" s="4"/>
    </row>
    <row r="93">
      <c r="A93" s="7"/>
      <c r="B93" s="4"/>
      <c r="C93" s="6"/>
      <c r="D93" s="5" t="str">
        <f>IF(B93="","",IFERROR(INDEX(Articles!$D:$D,MATCH(B93,Articles!$B:$B,0)),""))</f>
        <v/>
      </c>
      <c r="E93" s="9" t="str">
        <f>IF(OR(C93="",D93=""),"",C93*D93)</f>
        <v/>
      </c>
      <c r="F93" s="4"/>
      <c r="G93" s="4"/>
      <c r="H93" s="4"/>
    </row>
    <row r="94">
      <c r="A94" s="7"/>
      <c r="B94" s="4"/>
      <c r="C94" s="6"/>
      <c r="D94" s="5" t="str">
        <f>IF(B94="","",IFERROR(INDEX(Articles!$D:$D,MATCH(B94,Articles!$B:$B,0)),""))</f>
        <v/>
      </c>
      <c r="E94" s="9" t="str">
        <f>IF(OR(C94="",D94=""),"",C94*D94)</f>
        <v/>
      </c>
      <c r="F94" s="4"/>
      <c r="G94" s="4"/>
      <c r="H94" s="4"/>
    </row>
    <row r="95">
      <c r="A95" s="7"/>
      <c r="B95" s="4"/>
      <c r="C95" s="6"/>
      <c r="D95" s="5" t="str">
        <f>IF(B95="","",IFERROR(INDEX(Articles!$D:$D,MATCH(B95,Articles!$B:$B,0)),""))</f>
        <v/>
      </c>
      <c r="E95" s="9" t="str">
        <f>IF(OR(C95="",D95=""),"",C95*D95)</f>
        <v/>
      </c>
      <c r="F95" s="4"/>
      <c r="G95" s="4"/>
      <c r="H95" s="4"/>
    </row>
    <row r="96">
      <c r="A96" s="7"/>
      <c r="B96" s="4"/>
      <c r="C96" s="6"/>
      <c r="D96" s="5" t="str">
        <f>IF(B96="","",IFERROR(INDEX(Articles!$D:$D,MATCH(B96,Articles!$B:$B,0)),""))</f>
        <v/>
      </c>
      <c r="E96" s="9" t="str">
        <f>IF(OR(C96="",D96=""),"",C96*D96)</f>
        <v/>
      </c>
      <c r="F96" s="4"/>
      <c r="G96" s="4"/>
      <c r="H96" s="4"/>
    </row>
    <row r="97">
      <c r="A97" s="7"/>
      <c r="B97" s="4"/>
      <c r="C97" s="6"/>
      <c r="D97" s="5" t="str">
        <f>IF(B97="","",IFERROR(INDEX(Articles!$D:$D,MATCH(B97,Articles!$B:$B,0)),""))</f>
        <v/>
      </c>
      <c r="E97" s="9" t="str">
        <f>IF(OR(C97="",D97=""),"",C97*D97)</f>
        <v/>
      </c>
      <c r="F97" s="4"/>
      <c r="G97" s="4"/>
      <c r="H97" s="4"/>
    </row>
    <row r="98">
      <c r="A98" s="7"/>
      <c r="B98" s="4"/>
      <c r="C98" s="6"/>
      <c r="D98" s="5" t="str">
        <f>IF(B98="","",IFERROR(INDEX(Articles!$D:$D,MATCH(B98,Articles!$B:$B,0)),""))</f>
        <v/>
      </c>
      <c r="E98" s="9" t="str">
        <f>IF(OR(C98="",D98=""),"",C98*D98)</f>
        <v/>
      </c>
      <c r="F98" s="4"/>
      <c r="G98" s="4"/>
      <c r="H98" s="4"/>
    </row>
    <row r="99">
      <c r="A99" s="7"/>
      <c r="B99" s="4"/>
      <c r="C99" s="6"/>
      <c r="D99" s="5" t="str">
        <f>IF(B99="","",IFERROR(INDEX(Articles!$D:$D,MATCH(B99,Articles!$B:$B,0)),""))</f>
        <v/>
      </c>
      <c r="E99" s="9" t="str">
        <f>IF(OR(C99="",D99=""),"",C99*D99)</f>
        <v/>
      </c>
      <c r="F99" s="4"/>
      <c r="G99" s="4"/>
      <c r="H99" s="4"/>
    </row>
    <row r="100">
      <c r="A100" s="7"/>
      <c r="B100" s="4"/>
      <c r="C100" s="6"/>
      <c r="D100" s="5" t="str">
        <f>IF(B100="","",IFERROR(INDEX(Articles!$D:$D,MATCH(B100,Articles!$B:$B,0)),""))</f>
        <v/>
      </c>
      <c r="E100" s="9" t="str">
        <f>IF(OR(C100="",D100=""),"",C100*D100)</f>
        <v/>
      </c>
      <c r="F100" s="4"/>
      <c r="G100" s="4"/>
      <c r="H100" s="4"/>
    </row>
    <row r="101">
      <c r="A101" s="7"/>
      <c r="B101" s="4"/>
      <c r="C101" s="6"/>
      <c r="D101" s="5" t="str">
        <f>IF(B101="","",IFERROR(INDEX(Articles!$D:$D,MATCH(B101,Articles!$B:$B,0)),""))</f>
        <v/>
      </c>
      <c r="E101" s="9" t="str">
        <f>IF(OR(C101="",D101=""),"",C101*D101)</f>
        <v/>
      </c>
      <c r="F101" s="4"/>
      <c r="G101" s="4"/>
      <c r="H101" s="4"/>
    </row>
    <row r="102">
      <c r="A102" s="7"/>
      <c r="B102" s="4"/>
      <c r="C102" s="6"/>
      <c r="D102" s="5" t="str">
        <f>IF(B102="","",IFERROR(INDEX(Articles!$D:$D,MATCH(B102,Articles!$B:$B,0)),""))</f>
        <v/>
      </c>
      <c r="E102" s="9" t="str">
        <f>IF(OR(C102="",D102=""),"",C102*D102)</f>
        <v/>
      </c>
      <c r="F102" s="4"/>
      <c r="G102" s="4"/>
      <c r="H102" s="4"/>
    </row>
    <row r="103">
      <c r="A103" s="7"/>
      <c r="B103" s="4"/>
      <c r="C103" s="6"/>
      <c r="D103" s="5" t="str">
        <f>IF(B103="","",IFERROR(INDEX(Articles!$D:$D,MATCH(B103,Articles!$B:$B,0)),""))</f>
        <v/>
      </c>
      <c r="E103" s="9" t="str">
        <f>IF(OR(C103="",D103=""),"",C103*D103)</f>
        <v/>
      </c>
      <c r="F103" s="4"/>
      <c r="G103" s="4"/>
      <c r="H103" s="4"/>
    </row>
    <row r="104">
      <c r="A104" s="7"/>
      <c r="B104" s="4"/>
      <c r="C104" s="6"/>
      <c r="D104" s="5" t="str">
        <f>IF(B104="","",IFERROR(INDEX(Articles!$D:$D,MATCH(B104,Articles!$B:$B,0)),""))</f>
        <v/>
      </c>
      <c r="E104" s="9" t="str">
        <f>IF(OR(C104="",D104=""),"",C104*D104)</f>
        <v/>
      </c>
      <c r="F104" s="4"/>
      <c r="G104" s="4"/>
      <c r="H104" s="4"/>
    </row>
    <row r="105">
      <c r="A105" s="7"/>
      <c r="B105" s="4"/>
      <c r="C105" s="6"/>
      <c r="D105" s="5" t="str">
        <f>IF(B105="","",IFERROR(INDEX(Articles!$D:$D,MATCH(B105,Articles!$B:$B,0)),""))</f>
        <v/>
      </c>
      <c r="E105" s="9" t="str">
        <f>IF(OR(C105="",D105=""),"",C105*D105)</f>
        <v/>
      </c>
      <c r="F105" s="4"/>
      <c r="G105" s="4"/>
      <c r="H105" s="4"/>
    </row>
    <row r="106">
      <c r="A106" s="7"/>
      <c r="B106" s="4"/>
      <c r="C106" s="6"/>
      <c r="D106" s="5" t="str">
        <f>IF(B106="","",IFERROR(INDEX(Articles!$D:$D,MATCH(B106,Articles!$B:$B,0)),""))</f>
        <v/>
      </c>
      <c r="E106" s="9" t="str">
        <f>IF(OR(C106="",D106=""),"",C106*D106)</f>
        <v/>
      </c>
      <c r="F106" s="4"/>
      <c r="G106" s="4"/>
      <c r="H106" s="4"/>
    </row>
    <row r="107">
      <c r="A107" s="7"/>
      <c r="B107" s="4"/>
      <c r="C107" s="6"/>
      <c r="D107" s="5" t="str">
        <f>IF(B107="","",IFERROR(INDEX(Articles!$D:$D,MATCH(B107,Articles!$B:$B,0)),""))</f>
        <v/>
      </c>
      <c r="E107" s="9" t="str">
        <f>IF(OR(C107="",D107=""),"",C107*D107)</f>
        <v/>
      </c>
      <c r="F107" s="4"/>
      <c r="G107" s="4"/>
      <c r="H107" s="4"/>
    </row>
    <row r="108">
      <c r="A108" s="7"/>
      <c r="B108" s="4"/>
      <c r="C108" s="6"/>
      <c r="D108" s="5" t="str">
        <f>IF(B108="","",IFERROR(INDEX(Articles!$D:$D,MATCH(B108,Articles!$B:$B,0)),""))</f>
        <v/>
      </c>
      <c r="E108" s="9" t="str">
        <f>IF(OR(C108="",D108=""),"",C108*D108)</f>
        <v/>
      </c>
      <c r="F108" s="4"/>
      <c r="G108" s="4"/>
      <c r="H108" s="4"/>
    </row>
    <row r="109">
      <c r="A109" s="7"/>
      <c r="B109" s="4"/>
      <c r="C109" s="6"/>
      <c r="D109" s="5" t="str">
        <f>IF(B109="","",IFERROR(INDEX(Articles!$D:$D,MATCH(B109,Articles!$B:$B,0)),""))</f>
        <v/>
      </c>
      <c r="E109" s="9" t="str">
        <f>IF(OR(C109="",D109=""),"",C109*D109)</f>
        <v/>
      </c>
      <c r="F109" s="4"/>
      <c r="G109" s="4"/>
      <c r="H109" s="4"/>
    </row>
    <row r="110">
      <c r="A110" s="7"/>
      <c r="B110" s="4"/>
      <c r="C110" s="6"/>
      <c r="D110" s="5" t="str">
        <f>IF(B110="","",IFERROR(INDEX(Articles!$D:$D,MATCH(B110,Articles!$B:$B,0)),""))</f>
        <v/>
      </c>
      <c r="E110" s="9" t="str">
        <f>IF(OR(C110="",D110=""),"",C110*D110)</f>
        <v/>
      </c>
      <c r="F110" s="4"/>
      <c r="G110" s="4"/>
      <c r="H110" s="4"/>
    </row>
    <row r="111">
      <c r="A111" s="7"/>
      <c r="B111" s="4"/>
      <c r="C111" s="6"/>
      <c r="D111" s="5" t="str">
        <f>IF(B111="","",IFERROR(INDEX(Articles!$D:$D,MATCH(B111,Articles!$B:$B,0)),""))</f>
        <v/>
      </c>
      <c r="E111" s="9" t="str">
        <f>IF(OR(C111="",D111=""),"",C111*D111)</f>
        <v/>
      </c>
      <c r="F111" s="4"/>
      <c r="G111" s="4"/>
      <c r="H111" s="4"/>
    </row>
    <row r="112">
      <c r="A112" s="7"/>
      <c r="B112" s="4"/>
      <c r="C112" s="6"/>
      <c r="D112" s="5" t="str">
        <f>IF(B112="","",IFERROR(INDEX(Articles!$D:$D,MATCH(B112,Articles!$B:$B,0)),""))</f>
        <v/>
      </c>
      <c r="E112" s="9" t="str">
        <f>IF(OR(C112="",D112=""),"",C112*D112)</f>
        <v/>
      </c>
      <c r="F112" s="4"/>
      <c r="G112" s="4"/>
      <c r="H112" s="4"/>
    </row>
    <row r="113">
      <c r="A113" s="7"/>
      <c r="B113" s="4"/>
      <c r="C113" s="6"/>
      <c r="D113" s="5" t="str">
        <f>IF(B113="","",IFERROR(INDEX(Articles!$D:$D,MATCH(B113,Articles!$B:$B,0)),""))</f>
        <v/>
      </c>
      <c r="E113" s="9" t="str">
        <f>IF(OR(C113="",D113=""),"",C113*D113)</f>
        <v/>
      </c>
      <c r="F113" s="4"/>
      <c r="G113" s="4"/>
      <c r="H113" s="4"/>
    </row>
    <row r="114">
      <c r="A114" s="7"/>
      <c r="B114" s="4"/>
      <c r="C114" s="6"/>
      <c r="D114" s="5" t="str">
        <f>IF(B114="","",IFERROR(INDEX(Articles!$D:$D,MATCH(B114,Articles!$B:$B,0)),""))</f>
        <v/>
      </c>
      <c r="E114" s="9" t="str">
        <f>IF(OR(C114="",D114=""),"",C114*D114)</f>
        <v/>
      </c>
      <c r="F114" s="4"/>
      <c r="G114" s="4"/>
      <c r="H114" s="4"/>
    </row>
    <row r="115">
      <c r="A115" s="7"/>
      <c r="B115" s="4"/>
      <c r="C115" s="6"/>
      <c r="D115" s="5" t="str">
        <f>IF(B115="","",IFERROR(INDEX(Articles!$D:$D,MATCH(B115,Articles!$B:$B,0)),""))</f>
        <v/>
      </c>
      <c r="E115" s="9" t="str">
        <f>IF(OR(C115="",D115=""),"",C115*D115)</f>
        <v/>
      </c>
      <c r="F115" s="4"/>
      <c r="G115" s="4"/>
      <c r="H115" s="4"/>
    </row>
    <row r="116">
      <c r="A116" s="7"/>
      <c r="B116" s="4"/>
      <c r="C116" s="6"/>
      <c r="D116" s="5" t="str">
        <f>IF(B116="","",IFERROR(INDEX(Articles!$D:$D,MATCH(B116,Articles!$B:$B,0)),""))</f>
        <v/>
      </c>
      <c r="E116" s="9" t="str">
        <f>IF(OR(C116="",D116=""),"",C116*D116)</f>
        <v/>
      </c>
      <c r="F116" s="4"/>
      <c r="G116" s="4"/>
      <c r="H116" s="4"/>
    </row>
    <row r="117">
      <c r="A117" s="7"/>
      <c r="B117" s="4"/>
      <c r="C117" s="6"/>
      <c r="D117" s="5" t="str">
        <f>IF(B117="","",IFERROR(INDEX(Articles!$D:$D,MATCH(B117,Articles!$B:$B,0)),""))</f>
        <v/>
      </c>
      <c r="E117" s="9" t="str">
        <f>IF(OR(C117="",D117=""),"",C117*D117)</f>
        <v/>
      </c>
      <c r="F117" s="4"/>
      <c r="G117" s="4"/>
      <c r="H117" s="4"/>
    </row>
    <row r="118">
      <c r="A118" s="7"/>
      <c r="B118" s="4"/>
      <c r="C118" s="6"/>
      <c r="D118" s="5" t="str">
        <f>IF(B118="","",IFERROR(INDEX(Articles!$D:$D,MATCH(B118,Articles!$B:$B,0)),""))</f>
        <v/>
      </c>
      <c r="E118" s="9" t="str">
        <f>IF(OR(C118="",D118=""),"",C118*D118)</f>
        <v/>
      </c>
      <c r="F118" s="4"/>
      <c r="G118" s="4"/>
      <c r="H118" s="4"/>
    </row>
    <row r="119">
      <c r="A119" s="7"/>
      <c r="B119" s="4"/>
      <c r="C119" s="6"/>
      <c r="D119" s="5" t="str">
        <f>IF(B119="","",IFERROR(INDEX(Articles!$D:$D,MATCH(B119,Articles!$B:$B,0)),""))</f>
        <v/>
      </c>
      <c r="E119" s="9" t="str">
        <f>IF(OR(C119="",D119=""),"",C119*D119)</f>
        <v/>
      </c>
      <c r="F119" s="4"/>
      <c r="G119" s="4"/>
      <c r="H119" s="4"/>
    </row>
    <row r="120">
      <c r="A120" s="7"/>
      <c r="B120" s="4"/>
      <c r="C120" s="6"/>
      <c r="D120" s="5" t="str">
        <f>IF(B120="","",IFERROR(INDEX(Articles!$D:$D,MATCH(B120,Articles!$B:$B,0)),""))</f>
        <v/>
      </c>
      <c r="E120" s="9" t="str">
        <f>IF(OR(C120="",D120=""),"",C120*D120)</f>
        <v/>
      </c>
      <c r="F120" s="4"/>
      <c r="G120" s="4"/>
      <c r="H120" s="4"/>
    </row>
    <row r="121">
      <c r="A121" s="7"/>
      <c r="B121" s="4"/>
      <c r="C121" s="6"/>
      <c r="D121" s="5" t="str">
        <f>IF(B121="","",IFERROR(INDEX(Articles!$D:$D,MATCH(B121,Articles!$B:$B,0)),""))</f>
        <v/>
      </c>
      <c r="E121" s="9" t="str">
        <f>IF(OR(C121="",D121=""),"",C121*D121)</f>
        <v/>
      </c>
      <c r="F121" s="4"/>
      <c r="G121" s="4"/>
      <c r="H121" s="4"/>
    </row>
    <row r="122">
      <c r="A122" s="7"/>
      <c r="B122" s="4"/>
      <c r="C122" s="6"/>
      <c r="D122" s="5" t="str">
        <f>IF(B122="","",IFERROR(INDEX(Articles!$D:$D,MATCH(B122,Articles!$B:$B,0)),""))</f>
        <v/>
      </c>
      <c r="E122" s="9" t="str">
        <f>IF(OR(C122="",D122=""),"",C122*D122)</f>
        <v/>
      </c>
      <c r="F122" s="4"/>
      <c r="G122" s="4"/>
      <c r="H122" s="4"/>
    </row>
    <row r="123">
      <c r="A123" s="7"/>
      <c r="B123" s="4"/>
      <c r="C123" s="6"/>
      <c r="D123" s="5" t="str">
        <f>IF(B123="","",IFERROR(INDEX(Articles!$D:$D,MATCH(B123,Articles!$B:$B,0)),""))</f>
        <v/>
      </c>
      <c r="E123" s="9" t="str">
        <f>IF(OR(C123="",D123=""),"",C123*D123)</f>
        <v/>
      </c>
      <c r="F123" s="4"/>
      <c r="G123" s="4"/>
      <c r="H123" s="4"/>
    </row>
    <row r="124">
      <c r="A124" s="7"/>
      <c r="B124" s="4"/>
      <c r="C124" s="6"/>
      <c r="D124" s="5" t="str">
        <f>IF(B124="","",IFERROR(INDEX(Articles!$D:$D,MATCH(B124,Articles!$B:$B,0)),""))</f>
        <v/>
      </c>
      <c r="E124" s="9" t="str">
        <f>IF(OR(C124="",D124=""),"",C124*D124)</f>
        <v/>
      </c>
      <c r="F124" s="4"/>
      <c r="G124" s="4"/>
      <c r="H124" s="4"/>
    </row>
    <row r="125">
      <c r="A125" s="7"/>
      <c r="B125" s="4"/>
      <c r="C125" s="6"/>
      <c r="D125" s="5" t="str">
        <f>IF(B125="","",IFERROR(INDEX(Articles!$D:$D,MATCH(B125,Articles!$B:$B,0)),""))</f>
        <v/>
      </c>
      <c r="E125" s="9" t="str">
        <f>IF(OR(C125="",D125=""),"",C125*D125)</f>
        <v/>
      </c>
      <c r="F125" s="4"/>
      <c r="G125" s="4"/>
      <c r="H125" s="4"/>
    </row>
    <row r="126">
      <c r="A126" s="7"/>
      <c r="B126" s="4"/>
      <c r="C126" s="6"/>
      <c r="D126" s="5" t="str">
        <f>IF(B126="","",IFERROR(INDEX(Articles!$D:$D,MATCH(B126,Articles!$B:$B,0)),""))</f>
        <v/>
      </c>
      <c r="E126" s="9" t="str">
        <f>IF(OR(C126="",D126=""),"",C126*D126)</f>
        <v/>
      </c>
      <c r="F126" s="4"/>
      <c r="G126" s="4"/>
      <c r="H126" s="4"/>
    </row>
    <row r="127">
      <c r="A127" s="7"/>
      <c r="B127" s="4"/>
      <c r="C127" s="6"/>
      <c r="D127" s="5" t="str">
        <f>IF(B127="","",IFERROR(INDEX(Articles!$D:$D,MATCH(B127,Articles!$B:$B,0)),""))</f>
        <v/>
      </c>
      <c r="E127" s="9" t="str">
        <f>IF(OR(C127="",D127=""),"",C127*D127)</f>
        <v/>
      </c>
      <c r="F127" s="4"/>
      <c r="G127" s="4"/>
      <c r="H127" s="4"/>
    </row>
    <row r="128">
      <c r="A128" s="7"/>
      <c r="B128" s="4"/>
      <c r="C128" s="6"/>
      <c r="D128" s="5" t="str">
        <f>IF(B128="","",IFERROR(INDEX(Articles!$D:$D,MATCH(B128,Articles!$B:$B,0)),""))</f>
        <v/>
      </c>
      <c r="E128" s="9" t="str">
        <f>IF(OR(C128="",D128=""),"",C128*D128)</f>
        <v/>
      </c>
      <c r="F128" s="4"/>
      <c r="G128" s="4"/>
      <c r="H128" s="4"/>
    </row>
    <row r="129">
      <c r="A129" s="7"/>
      <c r="B129" s="4"/>
      <c r="C129" s="6"/>
      <c r="D129" s="5" t="str">
        <f>IF(B129="","",IFERROR(INDEX(Articles!$D:$D,MATCH(B129,Articles!$B:$B,0)),""))</f>
        <v/>
      </c>
      <c r="E129" s="9" t="str">
        <f>IF(OR(C129="",D129=""),"",C129*D129)</f>
        <v/>
      </c>
      <c r="F129" s="4"/>
      <c r="G129" s="4"/>
      <c r="H129" s="4"/>
    </row>
    <row r="130">
      <c r="A130" s="7"/>
      <c r="B130" s="4"/>
      <c r="C130" s="6"/>
      <c r="D130" s="5" t="str">
        <f>IF(B130="","",IFERROR(INDEX(Articles!$D:$D,MATCH(B130,Articles!$B:$B,0)),""))</f>
        <v/>
      </c>
      <c r="E130" s="9" t="str">
        <f>IF(OR(C130="",D130=""),"",C130*D130)</f>
        <v/>
      </c>
      <c r="F130" s="4"/>
      <c r="G130" s="4"/>
      <c r="H130" s="4"/>
    </row>
    <row r="131">
      <c r="A131" s="7"/>
      <c r="B131" s="4"/>
      <c r="C131" s="6"/>
      <c r="D131" s="5" t="str">
        <f>IF(B131="","",IFERROR(INDEX(Articles!$D:$D,MATCH(B131,Articles!$B:$B,0)),""))</f>
        <v/>
      </c>
      <c r="E131" s="9" t="str">
        <f>IF(OR(C131="",D131=""),"",C131*D131)</f>
        <v/>
      </c>
      <c r="F131" s="4"/>
      <c r="G131" s="4"/>
      <c r="H131" s="4"/>
    </row>
    <row r="132">
      <c r="A132" s="7"/>
      <c r="B132" s="4"/>
      <c r="C132" s="6"/>
      <c r="D132" s="5" t="str">
        <f>IF(B132="","",IFERROR(INDEX(Articles!$D:$D,MATCH(B132,Articles!$B:$B,0)),""))</f>
        <v/>
      </c>
      <c r="E132" s="9" t="str">
        <f>IF(OR(C132="",D132=""),"",C132*D132)</f>
        <v/>
      </c>
      <c r="F132" s="4"/>
      <c r="G132" s="4"/>
      <c r="H132" s="4"/>
    </row>
    <row r="133">
      <c r="A133" s="7"/>
      <c r="B133" s="4"/>
      <c r="C133" s="6"/>
      <c r="D133" s="5" t="str">
        <f>IF(B133="","",IFERROR(INDEX(Articles!$D:$D,MATCH(B133,Articles!$B:$B,0)),""))</f>
        <v/>
      </c>
      <c r="E133" s="9" t="str">
        <f>IF(OR(C133="",D133=""),"",C133*D133)</f>
        <v/>
      </c>
      <c r="F133" s="4"/>
      <c r="G133" s="4"/>
      <c r="H133" s="4"/>
    </row>
    <row r="134">
      <c r="A134" s="7"/>
      <c r="B134" s="4"/>
      <c r="C134" s="6"/>
      <c r="D134" s="5" t="str">
        <f>IF(B134="","",IFERROR(INDEX(Articles!$D:$D,MATCH(B134,Articles!$B:$B,0)),""))</f>
        <v/>
      </c>
      <c r="E134" s="9" t="str">
        <f>IF(OR(C134="",D134=""),"",C134*D134)</f>
        <v/>
      </c>
      <c r="F134" s="4"/>
      <c r="G134" s="4"/>
      <c r="H134" s="4"/>
    </row>
    <row r="135">
      <c r="A135" s="7"/>
      <c r="B135" s="4"/>
      <c r="C135" s="6"/>
      <c r="D135" s="5" t="str">
        <f>IF(B135="","",IFERROR(INDEX(Articles!$D:$D,MATCH(B135,Articles!$B:$B,0)),""))</f>
        <v/>
      </c>
      <c r="E135" s="9" t="str">
        <f>IF(OR(C135="",D135=""),"",C135*D135)</f>
        <v/>
      </c>
      <c r="F135" s="4"/>
      <c r="G135" s="4"/>
      <c r="H135" s="4"/>
    </row>
    <row r="136">
      <c r="A136" s="7"/>
      <c r="B136" s="4"/>
      <c r="C136" s="6"/>
      <c r="D136" s="5" t="str">
        <f>IF(B136="","",IFERROR(INDEX(Articles!$D:$D,MATCH(B136,Articles!$B:$B,0)),""))</f>
        <v/>
      </c>
      <c r="E136" s="9" t="str">
        <f>IF(OR(C136="",D136=""),"",C136*D136)</f>
        <v/>
      </c>
      <c r="F136" s="4"/>
      <c r="G136" s="4"/>
      <c r="H136" s="4"/>
    </row>
    <row r="137">
      <c r="A137" s="7"/>
      <c r="B137" s="4"/>
      <c r="C137" s="6"/>
      <c r="D137" s="5" t="str">
        <f>IF(B137="","",IFERROR(INDEX(Articles!$D:$D,MATCH(B137,Articles!$B:$B,0)),""))</f>
        <v/>
      </c>
      <c r="E137" s="9" t="str">
        <f>IF(OR(C137="",D137=""),"",C137*D137)</f>
        <v/>
      </c>
      <c r="F137" s="4"/>
      <c r="G137" s="4"/>
      <c r="H137" s="4"/>
    </row>
    <row r="138">
      <c r="A138" s="7"/>
      <c r="B138" s="4"/>
      <c r="C138" s="6"/>
      <c r="D138" s="5" t="str">
        <f>IF(B138="","",IFERROR(INDEX(Articles!$D:$D,MATCH(B138,Articles!$B:$B,0)),""))</f>
        <v/>
      </c>
      <c r="E138" s="9" t="str">
        <f>IF(OR(C138="",D138=""),"",C138*D138)</f>
        <v/>
      </c>
      <c r="F138" s="4"/>
      <c r="G138" s="4"/>
      <c r="H138" s="4"/>
    </row>
    <row r="139">
      <c r="A139" s="7"/>
      <c r="B139" s="4"/>
      <c r="C139" s="6"/>
      <c r="D139" s="5" t="str">
        <f>IF(B139="","",IFERROR(INDEX(Articles!$D:$D,MATCH(B139,Articles!$B:$B,0)),""))</f>
        <v/>
      </c>
      <c r="E139" s="9" t="str">
        <f>IF(OR(C139="",D139=""),"",C139*D139)</f>
        <v/>
      </c>
      <c r="F139" s="4"/>
      <c r="G139" s="4"/>
      <c r="H139" s="4"/>
    </row>
    <row r="140">
      <c r="A140" s="7"/>
      <c r="B140" s="4"/>
      <c r="C140" s="6"/>
      <c r="D140" s="5" t="str">
        <f>IF(B140="","",IFERROR(INDEX(Articles!$D:$D,MATCH(B140,Articles!$B:$B,0)),""))</f>
        <v/>
      </c>
      <c r="E140" s="9" t="str">
        <f>IF(OR(C140="",D140=""),"",C140*D140)</f>
        <v/>
      </c>
      <c r="F140" s="4"/>
      <c r="G140" s="4"/>
      <c r="H140" s="4"/>
    </row>
    <row r="141">
      <c r="A141" s="7"/>
      <c r="B141" s="4"/>
      <c r="C141" s="6"/>
      <c r="D141" s="5" t="str">
        <f>IF(B141="","",IFERROR(INDEX(Articles!$D:$D,MATCH(B141,Articles!$B:$B,0)),""))</f>
        <v/>
      </c>
      <c r="E141" s="9" t="str">
        <f>IF(OR(C141="",D141=""),"",C141*D141)</f>
        <v/>
      </c>
      <c r="F141" s="4"/>
      <c r="G141" s="4"/>
      <c r="H141" s="4"/>
    </row>
    <row r="142">
      <c r="A142" s="7"/>
      <c r="B142" s="4"/>
      <c r="C142" s="6"/>
      <c r="D142" s="5" t="str">
        <f>IF(B142="","",IFERROR(INDEX(Articles!$D:$D,MATCH(B142,Articles!$B:$B,0)),""))</f>
        <v/>
      </c>
      <c r="E142" s="9" t="str">
        <f>IF(OR(C142="",D142=""),"",C142*D142)</f>
        <v/>
      </c>
      <c r="F142" s="4"/>
      <c r="G142" s="4"/>
      <c r="H142" s="4"/>
    </row>
    <row r="143">
      <c r="A143" s="7"/>
      <c r="B143" s="4"/>
      <c r="C143" s="6"/>
      <c r="D143" s="5" t="str">
        <f>IF(B143="","",IFERROR(INDEX(Articles!$D:$D,MATCH(B143,Articles!$B:$B,0)),""))</f>
        <v/>
      </c>
      <c r="E143" s="9" t="str">
        <f>IF(OR(C143="",D143=""),"",C143*D143)</f>
        <v/>
      </c>
      <c r="F143" s="4"/>
      <c r="G143" s="4"/>
      <c r="H143" s="4"/>
    </row>
    <row r="144">
      <c r="A144" s="7"/>
      <c r="B144" s="4"/>
      <c r="C144" s="6"/>
      <c r="D144" s="5" t="str">
        <f>IF(B144="","",IFERROR(INDEX(Articles!$D:$D,MATCH(B144,Articles!$B:$B,0)),""))</f>
        <v/>
      </c>
      <c r="E144" s="9" t="str">
        <f>IF(OR(C144="",D144=""),"",C144*D144)</f>
        <v/>
      </c>
      <c r="F144" s="4"/>
      <c r="G144" s="4"/>
      <c r="H144" s="4"/>
    </row>
    <row r="145">
      <c r="A145" s="7"/>
      <c r="B145" s="4"/>
      <c r="C145" s="6"/>
      <c r="D145" s="5" t="str">
        <f>IF(B145="","",IFERROR(INDEX(Articles!$D:$D,MATCH(B145,Articles!$B:$B,0)),""))</f>
        <v/>
      </c>
      <c r="E145" s="9" t="str">
        <f>IF(OR(C145="",D145=""),"",C145*D145)</f>
        <v/>
      </c>
      <c r="F145" s="4"/>
      <c r="G145" s="4"/>
      <c r="H145" s="4"/>
    </row>
    <row r="146">
      <c r="A146" s="7"/>
      <c r="B146" s="4"/>
      <c r="C146" s="6"/>
      <c r="D146" s="5" t="str">
        <f>IF(B146="","",IFERROR(INDEX(Articles!$D:$D,MATCH(B146,Articles!$B:$B,0)),""))</f>
        <v/>
      </c>
      <c r="E146" s="9" t="str">
        <f>IF(OR(C146="",D146=""),"",C146*D146)</f>
        <v/>
      </c>
      <c r="F146" s="4"/>
      <c r="G146" s="4"/>
      <c r="H146" s="4"/>
    </row>
    <row r="147">
      <c r="A147" s="7"/>
      <c r="B147" s="4"/>
      <c r="C147" s="6"/>
      <c r="D147" s="5" t="str">
        <f>IF(B147="","",IFERROR(INDEX(Articles!$D:$D,MATCH(B147,Articles!$B:$B,0)),""))</f>
        <v/>
      </c>
      <c r="E147" s="9" t="str">
        <f>IF(OR(C147="",D147=""),"",C147*D147)</f>
        <v/>
      </c>
      <c r="F147" s="4"/>
      <c r="G147" s="4"/>
      <c r="H147" s="4"/>
    </row>
    <row r="148">
      <c r="A148" s="7"/>
      <c r="B148" s="4"/>
      <c r="C148" s="6"/>
      <c r="D148" s="5" t="str">
        <f>IF(B148="","",IFERROR(INDEX(Articles!$D:$D,MATCH(B148,Articles!$B:$B,0)),""))</f>
        <v/>
      </c>
      <c r="E148" s="9" t="str">
        <f>IF(OR(C148="",D148=""),"",C148*D148)</f>
        <v/>
      </c>
      <c r="F148" s="4"/>
      <c r="G148" s="4"/>
      <c r="H148" s="4"/>
    </row>
    <row r="149">
      <c r="A149" s="7"/>
      <c r="B149" s="4"/>
      <c r="C149" s="6"/>
      <c r="D149" s="5" t="str">
        <f>IF(B149="","",IFERROR(INDEX(Articles!$D:$D,MATCH(B149,Articles!$B:$B,0)),""))</f>
        <v/>
      </c>
      <c r="E149" s="9" t="str">
        <f>IF(OR(C149="",D149=""),"",C149*D149)</f>
        <v/>
      </c>
      <c r="F149" s="4"/>
      <c r="G149" s="4"/>
      <c r="H149" s="4"/>
    </row>
    <row r="150">
      <c r="A150" s="7"/>
      <c r="B150" s="4"/>
      <c r="C150" s="6"/>
      <c r="D150" s="5" t="str">
        <f>IF(B150="","",IFERROR(INDEX(Articles!$D:$D,MATCH(B150,Articles!$B:$B,0)),""))</f>
        <v/>
      </c>
      <c r="E150" s="9" t="str">
        <f>IF(OR(C150="",D150=""),"",C150*D150)</f>
        <v/>
      </c>
      <c r="F150" s="4"/>
      <c r="G150" s="4"/>
      <c r="H150" s="4"/>
    </row>
    <row r="151">
      <c r="A151" s="7"/>
      <c r="B151" s="4"/>
      <c r="C151" s="6"/>
      <c r="D151" s="5" t="str">
        <f>IF(B151="","",IFERROR(INDEX(Articles!$D:$D,MATCH(B151,Articles!$B:$B,0)),""))</f>
        <v/>
      </c>
      <c r="E151" s="9" t="str">
        <f>IF(OR(C151="",D151=""),"",C151*D151)</f>
        <v/>
      </c>
      <c r="F151" s="4"/>
      <c r="G151" s="4"/>
      <c r="H151" s="4"/>
    </row>
    <row r="152">
      <c r="A152" s="7"/>
      <c r="B152" s="4"/>
      <c r="C152" s="6"/>
      <c r="D152" s="5" t="str">
        <f>IF(B152="","",IFERROR(INDEX(Articles!$D:$D,MATCH(B152,Articles!$B:$B,0)),""))</f>
        <v/>
      </c>
      <c r="E152" s="9" t="str">
        <f>IF(OR(C152="",D152=""),"",C152*D152)</f>
        <v/>
      </c>
      <c r="F152" s="4"/>
      <c r="G152" s="4"/>
      <c r="H152" s="4"/>
    </row>
    <row r="153">
      <c r="A153" s="7"/>
      <c r="B153" s="4"/>
      <c r="C153" s="6"/>
      <c r="D153" s="5" t="str">
        <f>IF(B153="","",IFERROR(INDEX(Articles!$D:$D,MATCH(B153,Articles!$B:$B,0)),""))</f>
        <v/>
      </c>
      <c r="E153" s="9" t="str">
        <f>IF(OR(C153="",D153=""),"",C153*D153)</f>
        <v/>
      </c>
      <c r="F153" s="4"/>
      <c r="G153" s="4"/>
      <c r="H153" s="4"/>
    </row>
    <row r="154">
      <c r="A154" s="7"/>
      <c r="B154" s="4"/>
      <c r="C154" s="6"/>
      <c r="D154" s="5" t="str">
        <f>IF(B154="","",IFERROR(INDEX(Articles!$D:$D,MATCH(B154,Articles!$B:$B,0)),""))</f>
        <v/>
      </c>
      <c r="E154" s="9" t="str">
        <f>IF(OR(C154="",D154=""),"",C154*D154)</f>
        <v/>
      </c>
      <c r="F154" s="4"/>
      <c r="G154" s="4"/>
      <c r="H154" s="4"/>
    </row>
    <row r="155">
      <c r="A155" s="7"/>
      <c r="B155" s="4"/>
      <c r="C155" s="6"/>
      <c r="D155" s="5" t="str">
        <f>IF(B155="","",IFERROR(INDEX(Articles!$D:$D,MATCH(B155,Articles!$B:$B,0)),""))</f>
        <v/>
      </c>
      <c r="E155" s="9" t="str">
        <f>IF(OR(C155="",D155=""),"",C155*D155)</f>
        <v/>
      </c>
      <c r="F155" s="4"/>
      <c r="G155" s="4"/>
      <c r="H155" s="4"/>
    </row>
    <row r="156">
      <c r="A156" s="7"/>
      <c r="B156" s="4"/>
      <c r="C156" s="6"/>
      <c r="D156" s="5" t="str">
        <f>IF(B156="","",IFERROR(INDEX(Articles!$D:$D,MATCH(B156,Articles!$B:$B,0)),""))</f>
        <v/>
      </c>
      <c r="E156" s="9" t="str">
        <f>IF(OR(C156="",D156=""),"",C156*D156)</f>
        <v/>
      </c>
      <c r="F156" s="4"/>
      <c r="G156" s="4"/>
      <c r="H156" s="4"/>
    </row>
    <row r="157">
      <c r="A157" s="7"/>
      <c r="B157" s="4"/>
      <c r="C157" s="6"/>
      <c r="D157" s="5" t="str">
        <f>IF(B157="","",IFERROR(INDEX(Articles!$D:$D,MATCH(B157,Articles!$B:$B,0)),""))</f>
        <v/>
      </c>
      <c r="E157" s="9" t="str">
        <f>IF(OR(C157="",D157=""),"",C157*D157)</f>
        <v/>
      </c>
      <c r="F157" s="4"/>
      <c r="G157" s="4"/>
      <c r="H157" s="4"/>
    </row>
    <row r="158">
      <c r="A158" s="7"/>
      <c r="B158" s="4"/>
      <c r="C158" s="6"/>
      <c r="D158" s="5" t="str">
        <f>IF(B158="","",IFERROR(INDEX(Articles!$D:$D,MATCH(B158,Articles!$B:$B,0)),""))</f>
        <v/>
      </c>
      <c r="E158" s="9" t="str">
        <f>IF(OR(C158="",D158=""),"",C158*D158)</f>
        <v/>
      </c>
      <c r="F158" s="4"/>
      <c r="G158" s="4"/>
      <c r="H158" s="4"/>
    </row>
    <row r="159">
      <c r="A159" s="7"/>
      <c r="B159" s="4"/>
      <c r="C159" s="6"/>
      <c r="D159" s="5" t="str">
        <f>IF(B159="","",IFERROR(INDEX(Articles!$D:$D,MATCH(B159,Articles!$B:$B,0)),""))</f>
        <v/>
      </c>
      <c r="E159" s="9" t="str">
        <f>IF(OR(C159="",D159=""),"",C159*D159)</f>
        <v/>
      </c>
      <c r="F159" s="4"/>
      <c r="G159" s="4"/>
      <c r="H159" s="4"/>
    </row>
    <row r="160">
      <c r="A160" s="7"/>
      <c r="B160" s="4"/>
      <c r="C160" s="6"/>
      <c r="D160" s="5" t="str">
        <f>IF(B160="","",IFERROR(INDEX(Articles!$D:$D,MATCH(B160,Articles!$B:$B,0)),""))</f>
        <v/>
      </c>
      <c r="E160" s="9" t="str">
        <f>IF(OR(C160="",D160=""),"",C160*D160)</f>
        <v/>
      </c>
      <c r="F160" s="4"/>
      <c r="G160" s="4"/>
      <c r="H160" s="4"/>
    </row>
    <row r="161">
      <c r="A161" s="7"/>
      <c r="B161" s="4"/>
      <c r="C161" s="6"/>
      <c r="D161" s="5" t="str">
        <f>IF(B161="","",IFERROR(INDEX(Articles!$D:$D,MATCH(B161,Articles!$B:$B,0)),""))</f>
        <v/>
      </c>
      <c r="E161" s="9" t="str">
        <f>IF(OR(C161="",D161=""),"",C161*D161)</f>
        <v/>
      </c>
      <c r="F161" s="4"/>
      <c r="G161" s="4"/>
      <c r="H161" s="4"/>
    </row>
    <row r="162">
      <c r="A162" s="7"/>
      <c r="B162" s="4"/>
      <c r="C162" s="6"/>
      <c r="D162" s="5" t="str">
        <f>IF(B162="","",IFERROR(INDEX(Articles!$D:$D,MATCH(B162,Articles!$B:$B,0)),""))</f>
        <v/>
      </c>
      <c r="E162" s="9" t="str">
        <f>IF(OR(C162="",D162=""),"",C162*D162)</f>
        <v/>
      </c>
      <c r="F162" s="4"/>
      <c r="G162" s="4"/>
      <c r="H162" s="4"/>
    </row>
    <row r="163">
      <c r="A163" s="7"/>
      <c r="B163" s="4"/>
      <c r="C163" s="6"/>
      <c r="D163" s="5" t="str">
        <f>IF(B163="","",IFERROR(INDEX(Articles!$D:$D,MATCH(B163,Articles!$B:$B,0)),""))</f>
        <v/>
      </c>
      <c r="E163" s="9" t="str">
        <f>IF(OR(C163="",D163=""),"",C163*D163)</f>
        <v/>
      </c>
      <c r="F163" s="4"/>
      <c r="G163" s="4"/>
      <c r="H163" s="4"/>
    </row>
    <row r="164">
      <c r="A164" s="7"/>
      <c r="B164" s="4"/>
      <c r="C164" s="6"/>
      <c r="D164" s="5" t="str">
        <f>IF(B164="","",IFERROR(INDEX(Articles!$D:$D,MATCH(B164,Articles!$B:$B,0)),""))</f>
        <v/>
      </c>
      <c r="E164" s="9" t="str">
        <f>IF(OR(C164="",D164=""),"",C164*D164)</f>
        <v/>
      </c>
      <c r="F164" s="4"/>
      <c r="G164" s="4"/>
      <c r="H164" s="4"/>
    </row>
    <row r="165">
      <c r="A165" s="7"/>
      <c r="B165" s="4"/>
      <c r="C165" s="6"/>
      <c r="D165" s="5" t="str">
        <f>IF(B165="","",IFERROR(INDEX(Articles!$D:$D,MATCH(B165,Articles!$B:$B,0)),""))</f>
        <v/>
      </c>
      <c r="E165" s="9" t="str">
        <f>IF(OR(C165="",D165=""),"",C165*D165)</f>
        <v/>
      </c>
      <c r="F165" s="4"/>
      <c r="G165" s="4"/>
      <c r="H165" s="4"/>
    </row>
    <row r="166">
      <c r="A166" s="7"/>
      <c r="B166" s="4"/>
      <c r="C166" s="6"/>
      <c r="D166" s="5" t="str">
        <f>IF(B166="","",IFERROR(INDEX(Articles!$D:$D,MATCH(B166,Articles!$B:$B,0)),""))</f>
        <v/>
      </c>
      <c r="E166" s="9" t="str">
        <f>IF(OR(C166="",D166=""),"",C166*D166)</f>
        <v/>
      </c>
      <c r="F166" s="4"/>
      <c r="G166" s="4"/>
      <c r="H166" s="4"/>
    </row>
    <row r="167">
      <c r="A167" s="7"/>
      <c r="B167" s="4"/>
      <c r="C167" s="6"/>
      <c r="D167" s="5" t="str">
        <f>IF(B167="","",IFERROR(INDEX(Articles!$D:$D,MATCH(B167,Articles!$B:$B,0)),""))</f>
        <v/>
      </c>
      <c r="E167" s="9" t="str">
        <f>IF(OR(C167="",D167=""),"",C167*D167)</f>
        <v/>
      </c>
      <c r="F167" s="4"/>
      <c r="G167" s="4"/>
      <c r="H167" s="4"/>
    </row>
    <row r="168">
      <c r="A168" s="7"/>
      <c r="B168" s="4"/>
      <c r="C168" s="6"/>
      <c r="D168" s="5" t="str">
        <f>IF(B168="","",IFERROR(INDEX(Articles!$D:$D,MATCH(B168,Articles!$B:$B,0)),""))</f>
        <v/>
      </c>
      <c r="E168" s="9" t="str">
        <f>IF(OR(C168="",D168=""),"",C168*D168)</f>
        <v/>
      </c>
      <c r="F168" s="4"/>
      <c r="G168" s="4"/>
      <c r="H168" s="4"/>
    </row>
    <row r="169">
      <c r="A169" s="7"/>
      <c r="B169" s="4"/>
      <c r="C169" s="6"/>
      <c r="D169" s="5" t="str">
        <f>IF(B169="","",IFERROR(INDEX(Articles!$D:$D,MATCH(B169,Articles!$B:$B,0)),""))</f>
        <v/>
      </c>
      <c r="E169" s="9" t="str">
        <f>IF(OR(C169="",D169=""),"",C169*D169)</f>
        <v/>
      </c>
      <c r="F169" s="4"/>
      <c r="G169" s="4"/>
      <c r="H169" s="4"/>
    </row>
    <row r="170">
      <c r="A170" s="7"/>
      <c r="B170" s="4"/>
      <c r="C170" s="6"/>
      <c r="D170" s="5" t="str">
        <f>IF(B170="","",IFERROR(INDEX(Articles!$D:$D,MATCH(B170,Articles!$B:$B,0)),""))</f>
        <v/>
      </c>
      <c r="E170" s="9" t="str">
        <f>IF(OR(C170="",D170=""),"",C170*D170)</f>
        <v/>
      </c>
      <c r="F170" s="4"/>
      <c r="G170" s="4"/>
      <c r="H170" s="4"/>
    </row>
    <row r="171">
      <c r="A171" s="7"/>
      <c r="B171" s="4"/>
      <c r="C171" s="6"/>
      <c r="D171" s="5" t="str">
        <f>IF(B171="","",IFERROR(INDEX(Articles!$D:$D,MATCH(B171,Articles!$B:$B,0)),""))</f>
        <v/>
      </c>
      <c r="E171" s="9" t="str">
        <f>IF(OR(C171="",D171=""),"",C171*D171)</f>
        <v/>
      </c>
      <c r="F171" s="4"/>
      <c r="G171" s="4"/>
      <c r="H171" s="4"/>
    </row>
    <row r="172">
      <c r="A172" s="7"/>
      <c r="B172" s="4"/>
      <c r="C172" s="6"/>
      <c r="D172" s="5" t="str">
        <f>IF(B172="","",IFERROR(INDEX(Articles!$D:$D,MATCH(B172,Articles!$B:$B,0)),""))</f>
        <v/>
      </c>
      <c r="E172" s="9" t="str">
        <f>IF(OR(C172="",D172=""),"",C172*D172)</f>
        <v/>
      </c>
      <c r="F172" s="4"/>
      <c r="G172" s="4"/>
      <c r="H172" s="4"/>
    </row>
    <row r="173">
      <c r="A173" s="7"/>
      <c r="B173" s="4"/>
      <c r="C173" s="6"/>
      <c r="D173" s="5" t="str">
        <f>IF(B173="","",IFERROR(INDEX(Articles!$D:$D,MATCH(B173,Articles!$B:$B,0)),""))</f>
        <v/>
      </c>
      <c r="E173" s="9" t="str">
        <f>IF(OR(C173="",D173=""),"",C173*D173)</f>
        <v/>
      </c>
      <c r="F173" s="4"/>
      <c r="G173" s="4"/>
      <c r="H173" s="4"/>
    </row>
    <row r="174">
      <c r="A174" s="7"/>
      <c r="B174" s="4"/>
      <c r="C174" s="6"/>
      <c r="D174" s="5" t="str">
        <f>IF(B174="","",IFERROR(INDEX(Articles!$D:$D,MATCH(B174,Articles!$B:$B,0)),""))</f>
        <v/>
      </c>
      <c r="E174" s="9" t="str">
        <f>IF(OR(C174="",D174=""),"",C174*D174)</f>
        <v/>
      </c>
      <c r="F174" s="4"/>
      <c r="G174" s="4"/>
      <c r="H174" s="4"/>
    </row>
    <row r="175">
      <c r="A175" s="7"/>
      <c r="B175" s="4"/>
      <c r="C175" s="6"/>
      <c r="D175" s="5" t="str">
        <f>IF(B175="","",IFERROR(INDEX(Articles!$D:$D,MATCH(B175,Articles!$B:$B,0)),""))</f>
        <v/>
      </c>
      <c r="E175" s="9" t="str">
        <f>IF(OR(C175="",D175=""),"",C175*D175)</f>
        <v/>
      </c>
      <c r="F175" s="4"/>
      <c r="G175" s="4"/>
      <c r="H175" s="4"/>
    </row>
    <row r="176">
      <c r="A176" s="7"/>
      <c r="B176" s="4"/>
      <c r="C176" s="6"/>
      <c r="D176" s="5" t="str">
        <f>IF(B176="","",IFERROR(INDEX(Articles!$D:$D,MATCH(B176,Articles!$B:$B,0)),""))</f>
        <v/>
      </c>
      <c r="E176" s="9" t="str">
        <f>IF(OR(C176="",D176=""),"",C176*D176)</f>
        <v/>
      </c>
      <c r="F176" s="4"/>
      <c r="G176" s="4"/>
      <c r="H176" s="4"/>
    </row>
    <row r="177">
      <c r="A177" s="7"/>
      <c r="B177" s="4"/>
      <c r="C177" s="6"/>
      <c r="D177" s="5" t="str">
        <f>IF(B177="","",IFERROR(INDEX(Articles!$D:$D,MATCH(B177,Articles!$B:$B,0)),""))</f>
        <v/>
      </c>
      <c r="E177" s="9" t="str">
        <f>IF(OR(C177="",D177=""),"",C177*D177)</f>
        <v/>
      </c>
      <c r="F177" s="4"/>
      <c r="G177" s="4"/>
      <c r="H177" s="4"/>
    </row>
    <row r="178">
      <c r="A178" s="7"/>
      <c r="B178" s="4"/>
      <c r="C178" s="6"/>
      <c r="D178" s="5" t="str">
        <f>IF(B178="","",IFERROR(INDEX(Articles!$D:$D,MATCH(B178,Articles!$B:$B,0)),""))</f>
        <v/>
      </c>
      <c r="E178" s="9" t="str">
        <f>IF(OR(C178="",D178=""),"",C178*D178)</f>
        <v/>
      </c>
      <c r="F178" s="4"/>
      <c r="G178" s="4"/>
      <c r="H178" s="4"/>
    </row>
    <row r="179">
      <c r="A179" s="7"/>
      <c r="B179" s="4"/>
      <c r="C179" s="6"/>
      <c r="D179" s="5" t="str">
        <f>IF(B179="","",IFERROR(INDEX(Articles!$D:$D,MATCH(B179,Articles!$B:$B,0)),""))</f>
        <v/>
      </c>
      <c r="E179" s="9" t="str">
        <f>IF(OR(C179="",D179=""),"",C179*D179)</f>
        <v/>
      </c>
      <c r="F179" s="4"/>
      <c r="G179" s="4"/>
      <c r="H179" s="4"/>
    </row>
    <row r="180">
      <c r="A180" s="7"/>
      <c r="B180" s="4"/>
      <c r="C180" s="6"/>
      <c r="D180" s="5" t="str">
        <f>IF(B180="","",IFERROR(INDEX(Articles!$D:$D,MATCH(B180,Articles!$B:$B,0)),""))</f>
        <v/>
      </c>
      <c r="E180" s="9" t="str">
        <f>IF(OR(C180="",D180=""),"",C180*D180)</f>
        <v/>
      </c>
      <c r="F180" s="4"/>
      <c r="G180" s="4"/>
      <c r="H180" s="4"/>
    </row>
    <row r="181">
      <c r="A181" s="7"/>
      <c r="B181" s="4"/>
      <c r="C181" s="6"/>
      <c r="D181" s="5" t="str">
        <f>IF(B181="","",IFERROR(INDEX(Articles!$D:$D,MATCH(B181,Articles!$B:$B,0)),""))</f>
        <v/>
      </c>
      <c r="E181" s="9" t="str">
        <f>IF(OR(C181="",D181=""),"",C181*D181)</f>
        <v/>
      </c>
      <c r="F181" s="4"/>
      <c r="G181" s="4"/>
      <c r="H181" s="4"/>
    </row>
    <row r="182">
      <c r="A182" s="7"/>
      <c r="B182" s="4"/>
      <c r="C182" s="6"/>
      <c r="D182" s="5" t="str">
        <f>IF(B182="","",IFERROR(INDEX(Articles!$D:$D,MATCH(B182,Articles!$B:$B,0)),""))</f>
        <v/>
      </c>
      <c r="E182" s="9" t="str">
        <f>IF(OR(C182="",D182=""),"",C182*D182)</f>
        <v/>
      </c>
      <c r="F182" s="4"/>
      <c r="G182" s="4"/>
      <c r="H182" s="4"/>
    </row>
    <row r="183">
      <c r="A183" s="7"/>
      <c r="B183" s="4"/>
      <c r="C183" s="6"/>
      <c r="D183" s="5" t="str">
        <f>IF(B183="","",IFERROR(INDEX(Articles!$D:$D,MATCH(B183,Articles!$B:$B,0)),""))</f>
        <v/>
      </c>
      <c r="E183" s="9" t="str">
        <f>IF(OR(C183="",D183=""),"",C183*D183)</f>
        <v/>
      </c>
      <c r="F183" s="4"/>
      <c r="G183" s="4"/>
      <c r="H183" s="4"/>
    </row>
    <row r="184">
      <c r="A184" s="7"/>
      <c r="B184" s="4"/>
      <c r="C184" s="6"/>
      <c r="D184" s="5" t="str">
        <f>IF(B184="","",IFERROR(INDEX(Articles!$D:$D,MATCH(B184,Articles!$B:$B,0)),""))</f>
        <v/>
      </c>
      <c r="E184" s="9" t="str">
        <f>IF(OR(C184="",D184=""),"",C184*D184)</f>
        <v/>
      </c>
      <c r="F184" s="4"/>
      <c r="G184" s="4"/>
      <c r="H184" s="4"/>
    </row>
    <row r="185">
      <c r="A185" s="7"/>
      <c r="B185" s="4"/>
      <c r="C185" s="6"/>
      <c r="D185" s="5" t="str">
        <f>IF(B185="","",IFERROR(INDEX(Articles!$D:$D,MATCH(B185,Articles!$B:$B,0)),""))</f>
        <v/>
      </c>
      <c r="E185" s="9" t="str">
        <f>IF(OR(C185="",D185=""),"",C185*D185)</f>
        <v/>
      </c>
      <c r="F185" s="4"/>
      <c r="G185" s="4"/>
      <c r="H185" s="4"/>
    </row>
    <row r="186">
      <c r="A186" s="7"/>
      <c r="B186" s="4"/>
      <c r="C186" s="6"/>
      <c r="D186" s="5" t="str">
        <f>IF(B186="","",IFERROR(INDEX(Articles!$D:$D,MATCH(B186,Articles!$B:$B,0)),""))</f>
        <v/>
      </c>
      <c r="E186" s="9" t="str">
        <f>IF(OR(C186="",D186=""),"",C186*D186)</f>
        <v/>
      </c>
      <c r="F186" s="4"/>
      <c r="G186" s="4"/>
      <c r="H186" s="4"/>
    </row>
    <row r="187">
      <c r="A187" s="7"/>
      <c r="B187" s="4"/>
      <c r="C187" s="6"/>
      <c r="D187" s="5" t="str">
        <f>IF(B187="","",IFERROR(INDEX(Articles!$D:$D,MATCH(B187,Articles!$B:$B,0)),""))</f>
        <v/>
      </c>
      <c r="E187" s="9" t="str">
        <f>IF(OR(C187="",D187=""),"",C187*D187)</f>
        <v/>
      </c>
      <c r="F187" s="4"/>
      <c r="G187" s="4"/>
      <c r="H187" s="4"/>
    </row>
    <row r="188">
      <c r="A188" s="7"/>
      <c r="B188" s="4"/>
      <c r="C188" s="6"/>
      <c r="D188" s="5" t="str">
        <f>IF(B188="","",IFERROR(INDEX(Articles!$D:$D,MATCH(B188,Articles!$B:$B,0)),""))</f>
        <v/>
      </c>
      <c r="E188" s="9" t="str">
        <f>IF(OR(C188="",D188=""),"",C188*D188)</f>
        <v/>
      </c>
      <c r="F188" s="4"/>
      <c r="G188" s="4"/>
      <c r="H188" s="4"/>
    </row>
    <row r="189">
      <c r="A189" s="7"/>
      <c r="B189" s="4"/>
      <c r="C189" s="6"/>
      <c r="D189" s="5" t="str">
        <f>IF(B189="","",IFERROR(INDEX(Articles!$D:$D,MATCH(B189,Articles!$B:$B,0)),""))</f>
        <v/>
      </c>
      <c r="E189" s="9" t="str">
        <f>IF(OR(C189="",D189=""),"",C189*D189)</f>
        <v/>
      </c>
      <c r="F189" s="4"/>
      <c r="G189" s="4"/>
      <c r="H189" s="4"/>
    </row>
    <row r="190">
      <c r="A190" s="7"/>
      <c r="B190" s="4"/>
      <c r="C190" s="6"/>
      <c r="D190" s="5" t="str">
        <f>IF(B190="","",IFERROR(INDEX(Articles!$D:$D,MATCH(B190,Articles!$B:$B,0)),""))</f>
        <v/>
      </c>
      <c r="E190" s="9" t="str">
        <f>IF(OR(C190="",D190=""),"",C190*D190)</f>
        <v/>
      </c>
      <c r="F190" s="4"/>
      <c r="G190" s="4"/>
      <c r="H190" s="4"/>
    </row>
    <row r="191">
      <c r="A191" s="7"/>
      <c r="B191" s="4"/>
      <c r="C191" s="6"/>
      <c r="D191" s="5" t="str">
        <f>IF(B191="","",IFERROR(INDEX(Articles!$D:$D,MATCH(B191,Articles!$B:$B,0)),""))</f>
        <v/>
      </c>
      <c r="E191" s="9" t="str">
        <f>IF(OR(C191="",D191=""),"",C191*D191)</f>
        <v/>
      </c>
      <c r="F191" s="4"/>
      <c r="G191" s="4"/>
      <c r="H191" s="4"/>
    </row>
    <row r="192">
      <c r="A192" s="7"/>
      <c r="B192" s="4"/>
      <c r="C192" s="6"/>
      <c r="D192" s="5" t="str">
        <f>IF(B192="","",IFERROR(INDEX(Articles!$D:$D,MATCH(B192,Articles!$B:$B,0)),""))</f>
        <v/>
      </c>
      <c r="E192" s="9" t="str">
        <f>IF(OR(C192="",D192=""),"",C192*D192)</f>
        <v/>
      </c>
      <c r="F192" s="4"/>
      <c r="G192" s="4"/>
      <c r="H192" s="4"/>
    </row>
    <row r="193">
      <c r="A193" s="7"/>
      <c r="B193" s="4"/>
      <c r="C193" s="6"/>
      <c r="D193" s="5" t="str">
        <f>IF(B193="","",IFERROR(INDEX(Articles!$D:$D,MATCH(B193,Articles!$B:$B,0)),""))</f>
        <v/>
      </c>
      <c r="E193" s="9" t="str">
        <f>IF(OR(C193="",D193=""),"",C193*D193)</f>
        <v/>
      </c>
      <c r="F193" s="4"/>
      <c r="G193" s="4"/>
      <c r="H193" s="4"/>
    </row>
    <row r="194">
      <c r="A194" s="7"/>
      <c r="B194" s="4"/>
      <c r="C194" s="6"/>
      <c r="D194" s="5" t="str">
        <f>IF(B194="","",IFERROR(INDEX(Articles!$D:$D,MATCH(B194,Articles!$B:$B,0)),""))</f>
        <v/>
      </c>
      <c r="E194" s="9" t="str">
        <f>IF(OR(C194="",D194=""),"",C194*D194)</f>
        <v/>
      </c>
      <c r="F194" s="4"/>
      <c r="G194" s="4"/>
      <c r="H194" s="4"/>
    </row>
    <row r="195">
      <c r="A195" s="7"/>
      <c r="B195" s="4"/>
      <c r="C195" s="6"/>
      <c r="D195" s="5" t="str">
        <f>IF(B195="","",IFERROR(INDEX(Articles!$D:$D,MATCH(B195,Articles!$B:$B,0)),""))</f>
        <v/>
      </c>
      <c r="E195" s="9" t="str">
        <f>IF(OR(C195="",D195=""),"",C195*D195)</f>
        <v/>
      </c>
      <c r="F195" s="4"/>
      <c r="G195" s="4"/>
      <c r="H195" s="4"/>
    </row>
    <row r="196">
      <c r="A196" s="7"/>
      <c r="B196" s="4"/>
      <c r="C196" s="6"/>
      <c r="D196" s="5" t="str">
        <f>IF(B196="","",IFERROR(INDEX(Articles!$D:$D,MATCH(B196,Articles!$B:$B,0)),""))</f>
        <v/>
      </c>
      <c r="E196" s="9" t="str">
        <f>IF(OR(C196="",D196=""),"",C196*D196)</f>
        <v/>
      </c>
      <c r="F196" s="4"/>
      <c r="G196" s="4"/>
      <c r="H196" s="4"/>
    </row>
    <row r="197">
      <c r="A197" s="7"/>
      <c r="B197" s="4"/>
      <c r="C197" s="6"/>
      <c r="D197" s="5" t="str">
        <f>IF(B197="","",IFERROR(INDEX(Articles!$D:$D,MATCH(B197,Articles!$B:$B,0)),""))</f>
        <v/>
      </c>
      <c r="E197" s="9" t="str">
        <f>IF(OR(C197="",D197=""),"",C197*D197)</f>
        <v/>
      </c>
      <c r="F197" s="4"/>
      <c r="G197" s="4"/>
      <c r="H197" s="4"/>
    </row>
    <row r="198">
      <c r="A198" s="7"/>
      <c r="B198" s="4"/>
      <c r="C198" s="6"/>
      <c r="D198" s="5" t="str">
        <f>IF(B198="","",IFERROR(INDEX(Articles!$D:$D,MATCH(B198,Articles!$B:$B,0)),""))</f>
        <v/>
      </c>
      <c r="E198" s="9" t="str">
        <f>IF(OR(C198="",D198=""),"",C198*D198)</f>
        <v/>
      </c>
      <c r="F198" s="4"/>
      <c r="G198" s="4"/>
      <c r="H198" s="4"/>
    </row>
    <row r="199">
      <c r="A199" s="7"/>
      <c r="B199" s="4"/>
      <c r="C199" s="6"/>
      <c r="D199" s="5" t="str">
        <f>IF(B199="","",IFERROR(INDEX(Articles!$D:$D,MATCH(B199,Articles!$B:$B,0)),""))</f>
        <v/>
      </c>
      <c r="E199" s="9" t="str">
        <f>IF(OR(C199="",D199=""),"",C199*D199)</f>
        <v/>
      </c>
      <c r="F199" s="4"/>
      <c r="G199" s="4"/>
      <c r="H199" s="4"/>
    </row>
    <row r="200">
      <c r="A200" s="7"/>
      <c r="B200" s="4"/>
      <c r="C200" s="6"/>
      <c r="D200" s="5" t="str">
        <f>IF(B200="","",IFERROR(INDEX(Articles!$D:$D,MATCH(B200,Articles!$B:$B,0)),""))</f>
        <v/>
      </c>
      <c r="E200" s="9" t="str">
        <f>IF(OR(C200="",D200=""),"",C200*D200)</f>
        <v/>
      </c>
      <c r="F200" s="4"/>
      <c r="G200" s="4"/>
      <c r="H200" s="4"/>
    </row>
    <row r="201">
      <c r="A201" s="7"/>
      <c r="B201" s="4"/>
      <c r="C201" s="6"/>
      <c r="D201" s="5" t="str">
        <f>IF(B201="","",IFERROR(INDEX(Articles!$D:$D,MATCH(B201,Articles!$B:$B,0)),""))</f>
        <v/>
      </c>
      <c r="E201" s="9" t="str">
        <f>IF(OR(C201="",D201=""),"",C201*D201)</f>
        <v/>
      </c>
      <c r="F201" s="4"/>
      <c r="G201" s="4"/>
      <c r="H201" s="4"/>
    </row>
    <row r="202">
      <c r="A202" s="7"/>
      <c r="B202" s="4"/>
      <c r="C202" s="6"/>
      <c r="D202" s="5" t="str">
        <f>IF(B202="","",IFERROR(INDEX(Articles!$D:$D,MATCH(B202,Articles!$B:$B,0)),""))</f>
        <v/>
      </c>
      <c r="E202" s="9" t="str">
        <f>IF(OR(C202="",D202=""),"",C202*D202)</f>
        <v/>
      </c>
      <c r="F202" s="4"/>
      <c r="G202" s="4"/>
      <c r="H202" s="4"/>
    </row>
    <row r="203">
      <c r="A203" s="7"/>
      <c r="B203" s="4"/>
      <c r="C203" s="6"/>
      <c r="D203" s="5" t="str">
        <f>IF(B203="","",IFERROR(INDEX(Articles!$D:$D,MATCH(B203,Articles!$B:$B,0)),""))</f>
        <v/>
      </c>
      <c r="E203" s="9" t="str">
        <f>IF(OR(C203="",D203=""),"",C203*D203)</f>
        <v/>
      </c>
      <c r="F203" s="4"/>
      <c r="G203" s="4"/>
      <c r="H203" s="4"/>
    </row>
    <row r="204">
      <c r="A204" s="7"/>
      <c r="B204" s="4"/>
      <c r="C204" s="6"/>
      <c r="D204" s="5" t="str">
        <f>IF(B204="","",IFERROR(INDEX(Articles!$D:$D,MATCH(B204,Articles!$B:$B,0)),""))</f>
        <v/>
      </c>
      <c r="E204" s="9" t="str">
        <f>IF(OR(C204="",D204=""),"",C204*D204)</f>
        <v/>
      </c>
      <c r="F204" s="4"/>
      <c r="G204" s="4"/>
      <c r="H204" s="4"/>
    </row>
    <row r="205">
      <c r="A205" s="7"/>
      <c r="B205" s="4"/>
      <c r="C205" s="6"/>
      <c r="D205" s="5" t="str">
        <f>IF(B205="","",IFERROR(INDEX(Articles!$D:$D,MATCH(B205,Articles!$B:$B,0)),""))</f>
        <v/>
      </c>
      <c r="E205" s="9" t="str">
        <f>IF(OR(C205="",D205=""),"",C205*D205)</f>
        <v/>
      </c>
      <c r="F205" s="4"/>
      <c r="G205" s="4"/>
      <c r="H205" s="4"/>
    </row>
    <row r="206">
      <c r="A206" s="7"/>
      <c r="B206" s="4"/>
      <c r="C206" s="6"/>
      <c r="D206" s="5" t="str">
        <f>IF(B206="","",IFERROR(INDEX(Articles!$D:$D,MATCH(B206,Articles!$B:$B,0)),""))</f>
        <v/>
      </c>
      <c r="E206" s="9" t="str">
        <f>IF(OR(C206="",D206=""),"",C206*D206)</f>
        <v/>
      </c>
      <c r="F206" s="4"/>
      <c r="G206" s="4"/>
      <c r="H206" s="4"/>
    </row>
    <row r="207">
      <c r="A207" s="7"/>
      <c r="B207" s="4"/>
      <c r="C207" s="6"/>
      <c r="D207" s="5" t="str">
        <f>IF(B207="","",IFERROR(INDEX(Articles!$D:$D,MATCH(B207,Articles!$B:$B,0)),""))</f>
        <v/>
      </c>
      <c r="E207" s="9" t="str">
        <f>IF(OR(C207="",D207=""),"",C207*D207)</f>
        <v/>
      </c>
      <c r="F207" s="4"/>
      <c r="G207" s="4"/>
      <c r="H207" s="4"/>
    </row>
    <row r="208">
      <c r="A208" s="7"/>
      <c r="B208" s="4"/>
      <c r="C208" s="6"/>
      <c r="D208" s="5" t="str">
        <f>IF(B208="","",IFERROR(INDEX(Articles!$D:$D,MATCH(B208,Articles!$B:$B,0)),""))</f>
        <v/>
      </c>
      <c r="E208" s="9" t="str">
        <f>IF(OR(C208="",D208=""),"",C208*D208)</f>
        <v/>
      </c>
      <c r="F208" s="4"/>
      <c r="G208" s="4"/>
      <c r="H208" s="4"/>
    </row>
    <row r="209">
      <c r="A209" s="7"/>
      <c r="B209" s="4"/>
      <c r="C209" s="6"/>
      <c r="D209" s="5" t="str">
        <f>IF(B209="","",IFERROR(INDEX(Articles!$D:$D,MATCH(B209,Articles!$B:$B,0)),""))</f>
        <v/>
      </c>
      <c r="E209" s="9" t="str">
        <f>IF(OR(C209="",D209=""),"",C209*D209)</f>
        <v/>
      </c>
      <c r="F209" s="4"/>
      <c r="G209" s="4"/>
      <c r="H209" s="4"/>
    </row>
    <row r="210">
      <c r="A210" s="7"/>
      <c r="B210" s="4"/>
      <c r="C210" s="6"/>
      <c r="D210" s="5" t="str">
        <f>IF(B210="","",IFERROR(INDEX(Articles!$D:$D,MATCH(B210,Articles!$B:$B,0)),""))</f>
        <v/>
      </c>
      <c r="E210" s="9" t="str">
        <f>IF(OR(C210="",D210=""),"",C210*D210)</f>
        <v/>
      </c>
      <c r="F210" s="4"/>
      <c r="G210" s="4"/>
      <c r="H210" s="4"/>
    </row>
    <row r="211">
      <c r="A211" s="7"/>
      <c r="B211" s="4"/>
      <c r="C211" s="6"/>
      <c r="D211" s="5" t="str">
        <f>IF(B211="","",IFERROR(INDEX(Articles!$D:$D,MATCH(B211,Articles!$B:$B,0)),""))</f>
        <v/>
      </c>
      <c r="E211" s="9" t="str">
        <f>IF(OR(C211="",D211=""),"",C211*D211)</f>
        <v/>
      </c>
      <c r="F211" s="4"/>
      <c r="G211" s="4"/>
      <c r="H211" s="4"/>
    </row>
    <row r="212">
      <c r="A212" s="7"/>
      <c r="B212" s="4"/>
      <c r="C212" s="6"/>
      <c r="D212" s="5" t="str">
        <f>IF(B212="","",IFERROR(INDEX(Articles!$D:$D,MATCH(B212,Articles!$B:$B,0)),""))</f>
        <v/>
      </c>
      <c r="E212" s="9" t="str">
        <f>IF(OR(C212="",D212=""),"",C212*D212)</f>
        <v/>
      </c>
      <c r="F212" s="4"/>
      <c r="G212" s="4"/>
      <c r="H212" s="4"/>
    </row>
    <row r="213">
      <c r="A213" s="7"/>
      <c r="B213" s="4"/>
      <c r="C213" s="6"/>
      <c r="D213" s="5" t="str">
        <f>IF(B213="","",IFERROR(INDEX(Articles!$D:$D,MATCH(B213,Articles!$B:$B,0)),""))</f>
        <v/>
      </c>
      <c r="E213" s="9" t="str">
        <f>IF(OR(C213="",D213=""),"",C213*D213)</f>
        <v/>
      </c>
      <c r="F213" s="4"/>
      <c r="G213" s="4"/>
      <c r="H213" s="4"/>
    </row>
    <row r="214">
      <c r="A214" s="7"/>
      <c r="B214" s="4"/>
      <c r="C214" s="6"/>
      <c r="D214" s="5" t="str">
        <f>IF(B214="","",IFERROR(INDEX(Articles!$D:$D,MATCH(B214,Articles!$B:$B,0)),""))</f>
        <v/>
      </c>
      <c r="E214" s="9" t="str">
        <f>IF(OR(C214="",D214=""),"",C214*D214)</f>
        <v/>
      </c>
      <c r="F214" s="4"/>
      <c r="G214" s="4"/>
      <c r="H214" s="4"/>
    </row>
    <row r="215">
      <c r="A215" s="7"/>
      <c r="B215" s="4"/>
      <c r="C215" s="6"/>
      <c r="D215" s="5" t="str">
        <f>IF(B215="","",IFERROR(INDEX(Articles!$D:$D,MATCH(B215,Articles!$B:$B,0)),""))</f>
        <v/>
      </c>
      <c r="E215" s="9" t="str">
        <f>IF(OR(C215="",D215=""),"",C215*D215)</f>
        <v/>
      </c>
      <c r="F215" s="4"/>
      <c r="G215" s="4"/>
      <c r="H215" s="4"/>
    </row>
    <row r="216">
      <c r="A216" s="7"/>
      <c r="B216" s="4"/>
      <c r="C216" s="6"/>
      <c r="D216" s="5" t="str">
        <f>IF(B216="","",IFERROR(INDEX(Articles!$D:$D,MATCH(B216,Articles!$B:$B,0)),""))</f>
        <v/>
      </c>
      <c r="E216" s="9" t="str">
        <f>IF(OR(C216="",D216=""),"",C216*D216)</f>
        <v/>
      </c>
      <c r="F216" s="4"/>
      <c r="G216" s="4"/>
      <c r="H216" s="4"/>
    </row>
    <row r="217">
      <c r="A217" s="7"/>
      <c r="B217" s="4"/>
      <c r="C217" s="6"/>
      <c r="D217" s="5" t="str">
        <f>IF(B217="","",IFERROR(INDEX(Articles!$D:$D,MATCH(B217,Articles!$B:$B,0)),""))</f>
        <v/>
      </c>
      <c r="E217" s="9" t="str">
        <f>IF(OR(C217="",D217=""),"",C217*D217)</f>
        <v/>
      </c>
      <c r="F217" s="4"/>
      <c r="G217" s="4"/>
      <c r="H217" s="4"/>
    </row>
    <row r="218">
      <c r="A218" s="7"/>
      <c r="B218" s="4"/>
      <c r="C218" s="6"/>
      <c r="D218" s="5" t="str">
        <f>IF(B218="","",IFERROR(INDEX(Articles!$D:$D,MATCH(B218,Articles!$B:$B,0)),""))</f>
        <v/>
      </c>
      <c r="E218" s="9" t="str">
        <f>IF(OR(C218="",D218=""),"",C218*D218)</f>
        <v/>
      </c>
      <c r="F218" s="4"/>
      <c r="G218" s="4"/>
      <c r="H218" s="4"/>
    </row>
    <row r="219">
      <c r="A219" s="7"/>
      <c r="B219" s="4"/>
      <c r="C219" s="6"/>
      <c r="D219" s="5" t="str">
        <f>IF(B219="","",IFERROR(INDEX(Articles!$D:$D,MATCH(B219,Articles!$B:$B,0)),""))</f>
        <v/>
      </c>
      <c r="E219" s="9" t="str">
        <f>IF(OR(C219="",D219=""),"",C219*D219)</f>
        <v/>
      </c>
      <c r="F219" s="4"/>
      <c r="G219" s="4"/>
      <c r="H219" s="4"/>
    </row>
    <row r="220">
      <c r="A220" s="7"/>
      <c r="B220" s="4"/>
      <c r="C220" s="6"/>
      <c r="D220" s="5" t="str">
        <f>IF(B220="","",IFERROR(INDEX(Articles!$D:$D,MATCH(B220,Articles!$B:$B,0)),""))</f>
        <v/>
      </c>
      <c r="E220" s="9" t="str">
        <f>IF(OR(C220="",D220=""),"",C220*D220)</f>
        <v/>
      </c>
      <c r="F220" s="4"/>
      <c r="G220" s="4"/>
      <c r="H220" s="4"/>
    </row>
    <row r="221">
      <c r="A221" s="7"/>
      <c r="B221" s="4"/>
      <c r="C221" s="6"/>
      <c r="D221" s="5" t="str">
        <f>IF(B221="","",IFERROR(INDEX(Articles!$D:$D,MATCH(B221,Articles!$B:$B,0)),""))</f>
        <v/>
      </c>
      <c r="E221" s="9" t="str">
        <f>IF(OR(C221="",D221=""),"",C221*D221)</f>
        <v/>
      </c>
      <c r="F221" s="4"/>
      <c r="G221" s="4"/>
      <c r="H221" s="4"/>
    </row>
    <row r="222">
      <c r="A222" s="7"/>
      <c r="B222" s="4"/>
      <c r="C222" s="6"/>
      <c r="D222" s="5" t="str">
        <f>IF(B222="","",IFERROR(INDEX(Articles!$D:$D,MATCH(B222,Articles!$B:$B,0)),""))</f>
        <v/>
      </c>
      <c r="E222" s="9" t="str">
        <f>IF(OR(C222="",D222=""),"",C222*D222)</f>
        <v/>
      </c>
      <c r="F222" s="4"/>
      <c r="G222" s="4"/>
      <c r="H222" s="4"/>
    </row>
    <row r="223">
      <c r="A223" s="7"/>
      <c r="B223" s="4"/>
      <c r="C223" s="6"/>
      <c r="D223" s="5" t="str">
        <f>IF(B223="","",IFERROR(INDEX(Articles!$D:$D,MATCH(B223,Articles!$B:$B,0)),""))</f>
        <v/>
      </c>
      <c r="E223" s="9" t="str">
        <f>IF(OR(C223="",D223=""),"",C223*D223)</f>
        <v/>
      </c>
      <c r="F223" s="4"/>
      <c r="G223" s="4"/>
      <c r="H223" s="4"/>
    </row>
    <row r="224">
      <c r="A224" s="7"/>
      <c r="B224" s="4"/>
      <c r="C224" s="6"/>
      <c r="D224" s="5" t="str">
        <f>IF(B224="","",IFERROR(INDEX(Articles!$D:$D,MATCH(B224,Articles!$B:$B,0)),""))</f>
        <v/>
      </c>
      <c r="E224" s="9" t="str">
        <f>IF(OR(C224="",D224=""),"",C224*D224)</f>
        <v/>
      </c>
      <c r="F224" s="4"/>
      <c r="G224" s="4"/>
      <c r="H224" s="4"/>
    </row>
    <row r="225">
      <c r="A225" s="7"/>
      <c r="B225" s="4"/>
      <c r="C225" s="6"/>
      <c r="D225" s="5" t="str">
        <f>IF(B225="","",IFERROR(INDEX(Articles!$D:$D,MATCH(B225,Articles!$B:$B,0)),""))</f>
        <v/>
      </c>
      <c r="E225" s="9" t="str">
        <f>IF(OR(C225="",D225=""),"",C225*D225)</f>
        <v/>
      </c>
      <c r="F225" s="4"/>
      <c r="G225" s="4"/>
      <c r="H225" s="4"/>
    </row>
    <row r="226">
      <c r="A226" s="7"/>
      <c r="B226" s="4"/>
      <c r="C226" s="6"/>
      <c r="D226" s="5" t="str">
        <f>IF(B226="","",IFERROR(INDEX(Articles!$D:$D,MATCH(B226,Articles!$B:$B,0)),""))</f>
        <v/>
      </c>
      <c r="E226" s="9" t="str">
        <f>IF(OR(C226="",D226=""),"",C226*D226)</f>
        <v/>
      </c>
      <c r="F226" s="4"/>
      <c r="G226" s="4"/>
      <c r="H226" s="4"/>
    </row>
    <row r="227">
      <c r="A227" s="7"/>
      <c r="B227" s="4"/>
      <c r="C227" s="6"/>
      <c r="D227" s="5" t="str">
        <f>IF(B227="","",IFERROR(INDEX(Articles!$D:$D,MATCH(B227,Articles!$B:$B,0)),""))</f>
        <v/>
      </c>
      <c r="E227" s="9" t="str">
        <f>IF(OR(C227="",D227=""),"",C227*D227)</f>
        <v/>
      </c>
      <c r="F227" s="4"/>
      <c r="G227" s="4"/>
      <c r="H227" s="4"/>
    </row>
    <row r="228">
      <c r="A228" s="7"/>
      <c r="B228" s="4"/>
      <c r="C228" s="6"/>
      <c r="D228" s="5" t="str">
        <f>IF(B228="","",IFERROR(INDEX(Articles!$D:$D,MATCH(B228,Articles!$B:$B,0)),""))</f>
        <v/>
      </c>
      <c r="E228" s="9" t="str">
        <f>IF(OR(C228="",D228=""),"",C228*D228)</f>
        <v/>
      </c>
      <c r="F228" s="4"/>
      <c r="G228" s="4"/>
      <c r="H228" s="4"/>
    </row>
    <row r="229">
      <c r="A229" s="7"/>
      <c r="B229" s="4"/>
      <c r="C229" s="6"/>
      <c r="D229" s="5" t="str">
        <f>IF(B229="","",IFERROR(INDEX(Articles!$D:$D,MATCH(B229,Articles!$B:$B,0)),""))</f>
        <v/>
      </c>
      <c r="E229" s="9" t="str">
        <f>IF(OR(C229="",D229=""),"",C229*D229)</f>
        <v/>
      </c>
      <c r="F229" s="4"/>
      <c r="G229" s="4"/>
      <c r="H229" s="4"/>
    </row>
    <row r="230">
      <c r="A230" s="7"/>
      <c r="B230" s="4"/>
      <c r="C230" s="6"/>
      <c r="D230" s="5" t="str">
        <f>IF(B230="","",IFERROR(INDEX(Articles!$D:$D,MATCH(B230,Articles!$B:$B,0)),""))</f>
        <v/>
      </c>
      <c r="E230" s="9" t="str">
        <f>IF(OR(C230="",D230=""),"",C230*D230)</f>
        <v/>
      </c>
      <c r="F230" s="4"/>
      <c r="G230" s="4"/>
      <c r="H230" s="4"/>
    </row>
    <row r="231">
      <c r="A231" s="7"/>
      <c r="B231" s="4"/>
      <c r="C231" s="6"/>
      <c r="D231" s="5" t="str">
        <f>IF(B231="","",IFERROR(INDEX(Articles!$D:$D,MATCH(B231,Articles!$B:$B,0)),""))</f>
        <v/>
      </c>
      <c r="E231" s="9" t="str">
        <f>IF(OR(C231="",D231=""),"",C231*D231)</f>
        <v/>
      </c>
      <c r="F231" s="4"/>
      <c r="G231" s="4"/>
      <c r="H231" s="4"/>
    </row>
    <row r="232">
      <c r="A232" s="7"/>
      <c r="B232" s="4"/>
      <c r="C232" s="6"/>
      <c r="D232" s="5" t="str">
        <f>IF(B232="","",IFERROR(INDEX(Articles!$D:$D,MATCH(B232,Articles!$B:$B,0)),""))</f>
        <v/>
      </c>
      <c r="E232" s="9" t="str">
        <f>IF(OR(C232="",D232=""),"",C232*D232)</f>
        <v/>
      </c>
      <c r="F232" s="4"/>
      <c r="G232" s="4"/>
      <c r="H232" s="4"/>
    </row>
    <row r="233">
      <c r="A233" s="7"/>
      <c r="B233" s="4"/>
      <c r="C233" s="6"/>
      <c r="D233" s="5" t="str">
        <f>IF(B233="","",IFERROR(INDEX(Articles!$D:$D,MATCH(B233,Articles!$B:$B,0)),""))</f>
        <v/>
      </c>
      <c r="E233" s="9" t="str">
        <f>IF(OR(C233="",D233=""),"",C233*D233)</f>
        <v/>
      </c>
      <c r="F233" s="4"/>
      <c r="G233" s="4"/>
      <c r="H233" s="4"/>
    </row>
    <row r="234">
      <c r="A234" s="7"/>
      <c r="B234" s="4"/>
      <c r="C234" s="6"/>
      <c r="D234" s="5" t="str">
        <f>IF(B234="","",IFERROR(INDEX(Articles!$D:$D,MATCH(B234,Articles!$B:$B,0)),""))</f>
        <v/>
      </c>
      <c r="E234" s="9" t="str">
        <f>IF(OR(C234="",D234=""),"",C234*D234)</f>
        <v/>
      </c>
      <c r="F234" s="4"/>
      <c r="G234" s="4"/>
      <c r="H234" s="4"/>
    </row>
    <row r="235">
      <c r="A235" s="7"/>
      <c r="B235" s="4"/>
      <c r="C235" s="6"/>
      <c r="D235" s="5" t="str">
        <f>IF(B235="","",IFERROR(INDEX(Articles!$D:$D,MATCH(B235,Articles!$B:$B,0)),""))</f>
        <v/>
      </c>
      <c r="E235" s="9" t="str">
        <f>IF(OR(C235="",D235=""),"",C235*D235)</f>
        <v/>
      </c>
      <c r="F235" s="4"/>
      <c r="G235" s="4"/>
      <c r="H235" s="4"/>
    </row>
    <row r="236">
      <c r="A236" s="7"/>
      <c r="B236" s="4"/>
      <c r="C236" s="6"/>
      <c r="D236" s="5" t="str">
        <f>IF(B236="","",IFERROR(INDEX(Articles!$D:$D,MATCH(B236,Articles!$B:$B,0)),""))</f>
        <v/>
      </c>
      <c r="E236" s="9" t="str">
        <f>IF(OR(C236="",D236=""),"",C236*D236)</f>
        <v/>
      </c>
      <c r="F236" s="4"/>
      <c r="G236" s="4"/>
      <c r="H236" s="4"/>
    </row>
    <row r="237">
      <c r="A237" s="7"/>
      <c r="B237" s="4"/>
      <c r="C237" s="6"/>
      <c r="D237" s="5" t="str">
        <f>IF(B237="","",IFERROR(INDEX(Articles!$D:$D,MATCH(B237,Articles!$B:$B,0)),""))</f>
        <v/>
      </c>
      <c r="E237" s="9" t="str">
        <f>IF(OR(C237="",D237=""),"",C237*D237)</f>
        <v/>
      </c>
      <c r="F237" s="4"/>
      <c r="G237" s="4"/>
      <c r="H237" s="4"/>
    </row>
    <row r="238">
      <c r="A238" s="7"/>
      <c r="B238" s="4"/>
      <c r="C238" s="6"/>
      <c r="D238" s="5" t="str">
        <f>IF(B238="","",IFERROR(INDEX(Articles!$D:$D,MATCH(B238,Articles!$B:$B,0)),""))</f>
        <v/>
      </c>
      <c r="E238" s="9" t="str">
        <f>IF(OR(C238="",D238=""),"",C238*D238)</f>
        <v/>
      </c>
      <c r="F238" s="4"/>
      <c r="G238" s="4"/>
      <c r="H238" s="4"/>
    </row>
    <row r="239">
      <c r="A239" s="7"/>
      <c r="B239" s="4"/>
      <c r="C239" s="6"/>
      <c r="D239" s="5" t="str">
        <f>IF(B239="","",IFERROR(INDEX(Articles!$D:$D,MATCH(B239,Articles!$B:$B,0)),""))</f>
        <v/>
      </c>
      <c r="E239" s="9" t="str">
        <f>IF(OR(C239="",D239=""),"",C239*D239)</f>
        <v/>
      </c>
      <c r="F239" s="4"/>
      <c r="G239" s="4"/>
      <c r="H239" s="4"/>
    </row>
    <row r="240">
      <c r="A240" s="7"/>
      <c r="B240" s="4"/>
      <c r="C240" s="6"/>
      <c r="D240" s="5" t="str">
        <f>IF(B240="","",IFERROR(INDEX(Articles!$D:$D,MATCH(B240,Articles!$B:$B,0)),""))</f>
        <v/>
      </c>
      <c r="E240" s="9" t="str">
        <f>IF(OR(C240="",D240=""),"",C240*D240)</f>
        <v/>
      </c>
      <c r="F240" s="4"/>
      <c r="G240" s="4"/>
      <c r="H240" s="4"/>
    </row>
    <row r="241">
      <c r="A241" s="7"/>
      <c r="B241" s="4"/>
      <c r="C241" s="6"/>
      <c r="D241" s="5" t="str">
        <f>IF(B241="","",IFERROR(INDEX(Articles!$D:$D,MATCH(B241,Articles!$B:$B,0)),""))</f>
        <v/>
      </c>
      <c r="E241" s="9" t="str">
        <f>IF(OR(C241="",D241=""),"",C241*D241)</f>
        <v/>
      </c>
      <c r="F241" s="4"/>
      <c r="G241" s="4"/>
      <c r="H241" s="4"/>
    </row>
    <row r="242">
      <c r="A242" s="7"/>
      <c r="B242" s="4"/>
      <c r="C242" s="6"/>
      <c r="D242" s="5" t="str">
        <f>IF(B242="","",IFERROR(INDEX(Articles!$D:$D,MATCH(B242,Articles!$B:$B,0)),""))</f>
        <v/>
      </c>
      <c r="E242" s="9" t="str">
        <f>IF(OR(C242="",D242=""),"",C242*D242)</f>
        <v/>
      </c>
      <c r="F242" s="4"/>
      <c r="G242" s="4"/>
      <c r="H242" s="4"/>
    </row>
    <row r="243">
      <c r="A243" s="7"/>
      <c r="B243" s="4"/>
      <c r="C243" s="6"/>
      <c r="D243" s="5" t="str">
        <f>IF(B243="","",IFERROR(INDEX(Articles!$D:$D,MATCH(B243,Articles!$B:$B,0)),""))</f>
        <v/>
      </c>
      <c r="E243" s="9" t="str">
        <f>IF(OR(C243="",D243=""),"",C243*D243)</f>
        <v/>
      </c>
      <c r="F243" s="4"/>
      <c r="G243" s="4"/>
      <c r="H243" s="4"/>
    </row>
    <row r="244">
      <c r="A244" s="7"/>
      <c r="B244" s="4"/>
      <c r="C244" s="6"/>
      <c r="D244" s="5" t="str">
        <f>IF(B244="","",IFERROR(INDEX(Articles!$D:$D,MATCH(B244,Articles!$B:$B,0)),""))</f>
        <v/>
      </c>
      <c r="E244" s="9" t="str">
        <f>IF(OR(C244="",D244=""),"",C244*D244)</f>
        <v/>
      </c>
      <c r="F244" s="4"/>
      <c r="G244" s="4"/>
      <c r="H244" s="4"/>
    </row>
    <row r="245">
      <c r="A245" s="7"/>
      <c r="B245" s="4"/>
      <c r="C245" s="6"/>
      <c r="D245" s="5" t="str">
        <f>IF(B245="","",IFERROR(INDEX(Articles!$D:$D,MATCH(B245,Articles!$B:$B,0)),""))</f>
        <v/>
      </c>
      <c r="E245" s="9" t="str">
        <f>IF(OR(C245="",D245=""),"",C245*D245)</f>
        <v/>
      </c>
      <c r="F245" s="4"/>
      <c r="G245" s="4"/>
      <c r="H245" s="4"/>
    </row>
    <row r="246">
      <c r="A246" s="7"/>
      <c r="B246" s="4"/>
      <c r="C246" s="6"/>
      <c r="D246" s="5" t="str">
        <f>IF(B246="","",IFERROR(INDEX(Articles!$D:$D,MATCH(B246,Articles!$B:$B,0)),""))</f>
        <v/>
      </c>
      <c r="E246" s="9" t="str">
        <f>IF(OR(C246="",D246=""),"",C246*D246)</f>
        <v/>
      </c>
      <c r="F246" s="4"/>
      <c r="G246" s="4"/>
      <c r="H246" s="4"/>
    </row>
    <row r="247">
      <c r="A247" s="7"/>
      <c r="B247" s="4"/>
      <c r="C247" s="6"/>
      <c r="D247" s="5" t="str">
        <f>IF(B247="","",IFERROR(INDEX(Articles!$D:$D,MATCH(B247,Articles!$B:$B,0)),""))</f>
        <v/>
      </c>
      <c r="E247" s="9" t="str">
        <f>IF(OR(C247="",D247=""),"",C247*D247)</f>
        <v/>
      </c>
      <c r="F247" s="4"/>
      <c r="G247" s="4"/>
      <c r="H247" s="4"/>
    </row>
    <row r="248">
      <c r="A248" s="7"/>
      <c r="B248" s="4"/>
      <c r="C248" s="6"/>
      <c r="D248" s="5" t="str">
        <f>IF(B248="","",IFERROR(INDEX(Articles!$D:$D,MATCH(B248,Articles!$B:$B,0)),""))</f>
        <v/>
      </c>
      <c r="E248" s="9" t="str">
        <f>IF(OR(C248="",D248=""),"",C248*D248)</f>
        <v/>
      </c>
      <c r="F248" s="4"/>
      <c r="G248" s="4"/>
      <c r="H248" s="4"/>
    </row>
    <row r="249">
      <c r="A249" s="7"/>
      <c r="B249" s="4"/>
      <c r="C249" s="6"/>
      <c r="D249" s="5" t="str">
        <f>IF(B249="","",IFERROR(INDEX(Articles!$D:$D,MATCH(B249,Articles!$B:$B,0)),""))</f>
        <v/>
      </c>
      <c r="E249" s="9" t="str">
        <f>IF(OR(C249="",D249=""),"",C249*D249)</f>
        <v/>
      </c>
      <c r="F249" s="4"/>
      <c r="G249" s="4"/>
      <c r="H249" s="4"/>
    </row>
    <row r="250">
      <c r="A250" s="7"/>
      <c r="B250" s="4"/>
      <c r="C250" s="6"/>
      <c r="D250" s="5" t="str">
        <f>IF(B250="","",IFERROR(INDEX(Articles!$D:$D,MATCH(B250,Articles!$B:$B,0)),""))</f>
        <v/>
      </c>
      <c r="E250" s="9" t="str">
        <f>IF(OR(C250="",D250=""),"",C250*D250)</f>
        <v/>
      </c>
      <c r="F250" s="4"/>
      <c r="G250" s="4"/>
      <c r="H250" s="4"/>
    </row>
    <row r="251">
      <c r="A251" s="7"/>
      <c r="B251" s="4"/>
      <c r="C251" s="6"/>
      <c r="D251" s="5" t="str">
        <f>IF(B251="","",IFERROR(INDEX(Articles!$D:$D,MATCH(B251,Articles!$B:$B,0)),""))</f>
        <v/>
      </c>
      <c r="E251" s="9" t="str">
        <f>IF(OR(C251="",D251=""),"",C251*D251)</f>
        <v/>
      </c>
      <c r="F251" s="4"/>
      <c r="G251" s="4"/>
      <c r="H251" s="4"/>
    </row>
    <row r="252">
      <c r="A252" s="7"/>
      <c r="B252" s="4"/>
      <c r="C252" s="6"/>
      <c r="D252" s="5" t="str">
        <f>IF(B252="","",IFERROR(INDEX(Articles!$D:$D,MATCH(B252,Articles!$B:$B,0)),""))</f>
        <v/>
      </c>
      <c r="E252" s="9" t="str">
        <f>IF(OR(C252="",D252=""),"",C252*D252)</f>
        <v/>
      </c>
      <c r="F252" s="4"/>
      <c r="G252" s="4"/>
      <c r="H252" s="4"/>
    </row>
    <row r="253">
      <c r="A253" s="7"/>
      <c r="B253" s="4"/>
      <c r="C253" s="6"/>
      <c r="D253" s="5" t="str">
        <f>IF(B253="","",IFERROR(INDEX(Articles!$D:$D,MATCH(B253,Articles!$B:$B,0)),""))</f>
        <v/>
      </c>
      <c r="E253" s="9" t="str">
        <f>IF(OR(C253="",D253=""),"",C253*D253)</f>
        <v/>
      </c>
      <c r="F253" s="4"/>
      <c r="G253" s="4"/>
      <c r="H253" s="4"/>
    </row>
    <row r="254">
      <c r="A254" s="7"/>
      <c r="B254" s="4"/>
      <c r="C254" s="6"/>
      <c r="D254" s="5" t="str">
        <f>IF(B254="","",IFERROR(INDEX(Articles!$D:$D,MATCH(B254,Articles!$B:$B,0)),""))</f>
        <v/>
      </c>
      <c r="E254" s="9" t="str">
        <f>IF(OR(C254="",D254=""),"",C254*D254)</f>
        <v/>
      </c>
      <c r="F254" s="4"/>
      <c r="G254" s="4"/>
      <c r="H254" s="4"/>
    </row>
    <row r="255">
      <c r="A255" s="7"/>
      <c r="B255" s="4"/>
      <c r="C255" s="6"/>
      <c r="D255" s="5" t="str">
        <f>IF(B255="","",IFERROR(INDEX(Articles!$D:$D,MATCH(B255,Articles!$B:$B,0)),""))</f>
        <v/>
      </c>
      <c r="E255" s="9" t="str">
        <f>IF(OR(C255="",D255=""),"",C255*D255)</f>
        <v/>
      </c>
      <c r="F255" s="4"/>
      <c r="G255" s="4"/>
      <c r="H255" s="4"/>
    </row>
    <row r="256">
      <c r="A256" s="7"/>
      <c r="B256" s="4"/>
      <c r="C256" s="6"/>
      <c r="D256" s="5" t="str">
        <f>IF(B256="","",IFERROR(INDEX(Articles!$D:$D,MATCH(B256,Articles!$B:$B,0)),""))</f>
        <v/>
      </c>
      <c r="E256" s="9" t="str">
        <f>IF(OR(C256="",D256=""),"",C256*D256)</f>
        <v/>
      </c>
      <c r="F256" s="4"/>
      <c r="G256" s="4"/>
      <c r="H256" s="4"/>
    </row>
    <row r="257">
      <c r="A257" s="7"/>
      <c r="B257" s="4"/>
      <c r="C257" s="6"/>
      <c r="D257" s="5" t="str">
        <f>IF(B257="","",IFERROR(INDEX(Articles!$D:$D,MATCH(B257,Articles!$B:$B,0)),""))</f>
        <v/>
      </c>
      <c r="E257" s="9" t="str">
        <f>IF(OR(C257="",D257=""),"",C257*D257)</f>
        <v/>
      </c>
      <c r="F257" s="4"/>
      <c r="G257" s="4"/>
      <c r="H257" s="4"/>
    </row>
    <row r="258">
      <c r="A258" s="7"/>
      <c r="B258" s="4"/>
      <c r="C258" s="6"/>
      <c r="D258" s="5" t="str">
        <f>IF(B258="","",IFERROR(INDEX(Articles!$D:$D,MATCH(B258,Articles!$B:$B,0)),""))</f>
        <v/>
      </c>
      <c r="E258" s="9" t="str">
        <f>IF(OR(C258="",D258=""),"",C258*D258)</f>
        <v/>
      </c>
      <c r="F258" s="4"/>
      <c r="G258" s="4"/>
      <c r="H258" s="4"/>
    </row>
    <row r="259">
      <c r="A259" s="7"/>
      <c r="B259" s="4"/>
      <c r="C259" s="6"/>
      <c r="D259" s="5" t="str">
        <f>IF(B259="","",IFERROR(INDEX(Articles!$D:$D,MATCH(B259,Articles!$B:$B,0)),""))</f>
        <v/>
      </c>
      <c r="E259" s="9" t="str">
        <f>IF(OR(C259="",D259=""),"",C259*D259)</f>
        <v/>
      </c>
      <c r="F259" s="4"/>
      <c r="G259" s="4"/>
      <c r="H259" s="4"/>
    </row>
    <row r="260">
      <c r="A260" s="7"/>
      <c r="B260" s="4"/>
      <c r="C260" s="6"/>
      <c r="D260" s="5" t="str">
        <f>IF(B260="","",IFERROR(INDEX(Articles!$D:$D,MATCH(B260,Articles!$B:$B,0)),""))</f>
        <v/>
      </c>
      <c r="E260" s="9" t="str">
        <f>IF(OR(C260="",D260=""),"",C260*D260)</f>
        <v/>
      </c>
      <c r="F260" s="4"/>
      <c r="G260" s="4"/>
      <c r="H260" s="4"/>
    </row>
    <row r="261">
      <c r="A261" s="7"/>
      <c r="B261" s="4"/>
      <c r="C261" s="6"/>
      <c r="D261" s="5" t="str">
        <f>IF(B261="","",IFERROR(INDEX(Articles!$D:$D,MATCH(B261,Articles!$B:$B,0)),""))</f>
        <v/>
      </c>
      <c r="E261" s="9" t="str">
        <f>IF(OR(C261="",D261=""),"",C261*D261)</f>
        <v/>
      </c>
      <c r="F261" s="4"/>
      <c r="G261" s="4"/>
      <c r="H261" s="4"/>
    </row>
    <row r="262">
      <c r="A262" s="7"/>
      <c r="B262" s="4"/>
      <c r="C262" s="6"/>
      <c r="D262" s="5" t="str">
        <f>IF(B262="","",IFERROR(INDEX(Articles!$D:$D,MATCH(B262,Articles!$B:$B,0)),""))</f>
        <v/>
      </c>
      <c r="E262" s="9" t="str">
        <f>IF(OR(C262="",D262=""),"",C262*D262)</f>
        <v/>
      </c>
      <c r="F262" s="4"/>
      <c r="G262" s="4"/>
      <c r="H262" s="4"/>
    </row>
    <row r="263">
      <c r="A263" s="7"/>
      <c r="B263" s="4"/>
      <c r="C263" s="6"/>
      <c r="D263" s="5" t="str">
        <f>IF(B263="","",IFERROR(INDEX(Articles!$D:$D,MATCH(B263,Articles!$B:$B,0)),""))</f>
        <v/>
      </c>
      <c r="E263" s="9" t="str">
        <f>IF(OR(C263="",D263=""),"",C263*D263)</f>
        <v/>
      </c>
      <c r="F263" s="4"/>
      <c r="G263" s="4"/>
      <c r="H263" s="4"/>
    </row>
    <row r="264">
      <c r="A264" s="7"/>
      <c r="B264" s="4"/>
      <c r="C264" s="6"/>
      <c r="D264" s="5" t="str">
        <f>IF(B264="","",IFERROR(INDEX(Articles!$D:$D,MATCH(B264,Articles!$B:$B,0)),""))</f>
        <v/>
      </c>
      <c r="E264" s="9" t="str">
        <f>IF(OR(C264="",D264=""),"",C264*D264)</f>
        <v/>
      </c>
      <c r="F264" s="4"/>
      <c r="G264" s="4"/>
      <c r="H264" s="4"/>
    </row>
    <row r="265">
      <c r="A265" s="7"/>
      <c r="B265" s="4"/>
      <c r="C265" s="6"/>
      <c r="D265" s="5" t="str">
        <f>IF(B265="","",IFERROR(INDEX(Articles!$D:$D,MATCH(B265,Articles!$B:$B,0)),""))</f>
        <v/>
      </c>
      <c r="E265" s="9" t="str">
        <f>IF(OR(C265="",D265=""),"",C265*D265)</f>
        <v/>
      </c>
      <c r="F265" s="4"/>
      <c r="G265" s="4"/>
      <c r="H265" s="4"/>
    </row>
    <row r="266">
      <c r="A266" s="7"/>
      <c r="B266" s="4"/>
      <c r="C266" s="6"/>
      <c r="D266" s="5" t="str">
        <f>IF(B266="","",IFERROR(INDEX(Articles!$D:$D,MATCH(B266,Articles!$B:$B,0)),""))</f>
        <v/>
      </c>
      <c r="E266" s="9" t="str">
        <f>IF(OR(C266="",D266=""),"",C266*D266)</f>
        <v/>
      </c>
      <c r="F266" s="4"/>
      <c r="G266" s="4"/>
      <c r="H266" s="4"/>
    </row>
    <row r="267">
      <c r="A267" s="7"/>
      <c r="B267" s="4"/>
      <c r="C267" s="6"/>
      <c r="D267" s="5" t="str">
        <f>IF(B267="","",IFERROR(INDEX(Articles!$D:$D,MATCH(B267,Articles!$B:$B,0)),""))</f>
        <v/>
      </c>
      <c r="E267" s="9" t="str">
        <f>IF(OR(C267="",D267=""),"",C267*D267)</f>
        <v/>
      </c>
      <c r="F267" s="4"/>
      <c r="G267" s="4"/>
      <c r="H267" s="4"/>
    </row>
    <row r="268">
      <c r="A268" s="7"/>
      <c r="B268" s="4"/>
      <c r="C268" s="6"/>
      <c r="D268" s="5" t="str">
        <f>IF(B268="","",IFERROR(INDEX(Articles!$D:$D,MATCH(B268,Articles!$B:$B,0)),""))</f>
        <v/>
      </c>
      <c r="E268" s="9" t="str">
        <f>IF(OR(C268="",D268=""),"",C268*D268)</f>
        <v/>
      </c>
      <c r="F268" s="4"/>
      <c r="G268" s="4"/>
      <c r="H268" s="4"/>
    </row>
    <row r="269">
      <c r="A269" s="7"/>
      <c r="B269" s="4"/>
      <c r="C269" s="6"/>
      <c r="D269" s="5" t="str">
        <f>IF(B269="","",IFERROR(INDEX(Articles!$D:$D,MATCH(B269,Articles!$B:$B,0)),""))</f>
        <v/>
      </c>
      <c r="E269" s="9" t="str">
        <f>IF(OR(C269="",D269=""),"",C269*D269)</f>
        <v/>
      </c>
      <c r="F269" s="4"/>
      <c r="G269" s="4"/>
      <c r="H269" s="4"/>
    </row>
    <row r="270">
      <c r="A270" s="7"/>
      <c r="B270" s="4"/>
      <c r="C270" s="6"/>
      <c r="D270" s="5" t="str">
        <f>IF(B270="","",IFERROR(INDEX(Articles!$D:$D,MATCH(B270,Articles!$B:$B,0)),""))</f>
        <v/>
      </c>
      <c r="E270" s="9" t="str">
        <f>IF(OR(C270="",D270=""),"",C270*D270)</f>
        <v/>
      </c>
      <c r="F270" s="4"/>
      <c r="G270" s="4"/>
      <c r="H270" s="4"/>
    </row>
    <row r="271">
      <c r="A271" s="7"/>
      <c r="B271" s="4"/>
      <c r="C271" s="6"/>
      <c r="D271" s="5" t="str">
        <f>IF(B271="","",IFERROR(INDEX(Articles!$D:$D,MATCH(B271,Articles!$B:$B,0)),""))</f>
        <v/>
      </c>
      <c r="E271" s="9" t="str">
        <f>IF(OR(C271="",D271=""),"",C271*D271)</f>
        <v/>
      </c>
      <c r="F271" s="4"/>
      <c r="G271" s="4"/>
      <c r="H271" s="4"/>
    </row>
    <row r="272">
      <c r="A272" s="7"/>
      <c r="B272" s="4"/>
      <c r="C272" s="6"/>
      <c r="D272" s="5" t="str">
        <f>IF(B272="","",IFERROR(INDEX(Articles!$D:$D,MATCH(B272,Articles!$B:$B,0)),""))</f>
        <v/>
      </c>
      <c r="E272" s="9" t="str">
        <f>IF(OR(C272="",D272=""),"",C272*D272)</f>
        <v/>
      </c>
      <c r="F272" s="4"/>
      <c r="G272" s="4"/>
      <c r="H272" s="4"/>
    </row>
    <row r="273">
      <c r="A273" s="7"/>
      <c r="B273" s="4"/>
      <c r="C273" s="6"/>
      <c r="D273" s="5" t="str">
        <f>IF(B273="","",IFERROR(INDEX(Articles!$D:$D,MATCH(B273,Articles!$B:$B,0)),""))</f>
        <v/>
      </c>
      <c r="E273" s="9" t="str">
        <f>IF(OR(C273="",D273=""),"",C273*D273)</f>
        <v/>
      </c>
      <c r="F273" s="4"/>
      <c r="G273" s="4"/>
      <c r="H273" s="4"/>
    </row>
    <row r="274">
      <c r="A274" s="7"/>
      <c r="B274" s="4"/>
      <c r="C274" s="6"/>
      <c r="D274" s="5" t="str">
        <f>IF(B274="","",IFERROR(INDEX(Articles!$D:$D,MATCH(B274,Articles!$B:$B,0)),""))</f>
        <v/>
      </c>
      <c r="E274" s="9" t="str">
        <f>IF(OR(C274="",D274=""),"",C274*D274)</f>
        <v/>
      </c>
      <c r="F274" s="4"/>
      <c r="G274" s="4"/>
      <c r="H274" s="4"/>
    </row>
    <row r="275">
      <c r="A275" s="7"/>
      <c r="B275" s="4"/>
      <c r="C275" s="6"/>
      <c r="D275" s="5" t="str">
        <f>IF(B275="","",IFERROR(INDEX(Articles!$D:$D,MATCH(B275,Articles!$B:$B,0)),""))</f>
        <v/>
      </c>
      <c r="E275" s="9" t="str">
        <f>IF(OR(C275="",D275=""),"",C275*D275)</f>
        <v/>
      </c>
      <c r="F275" s="4"/>
      <c r="G275" s="4"/>
      <c r="H275" s="4"/>
    </row>
    <row r="276">
      <c r="A276" s="7"/>
      <c r="B276" s="4"/>
      <c r="C276" s="6"/>
      <c r="D276" s="5" t="str">
        <f>IF(B276="","",IFERROR(INDEX(Articles!$D:$D,MATCH(B276,Articles!$B:$B,0)),""))</f>
        <v/>
      </c>
      <c r="E276" s="9" t="str">
        <f>IF(OR(C276="",D276=""),"",C276*D276)</f>
        <v/>
      </c>
      <c r="F276" s="4"/>
      <c r="G276" s="4"/>
      <c r="H276" s="4"/>
    </row>
    <row r="277">
      <c r="A277" s="7"/>
      <c r="B277" s="4"/>
      <c r="C277" s="6"/>
      <c r="D277" s="5" t="str">
        <f>IF(B277="","",IFERROR(INDEX(Articles!$D:$D,MATCH(B277,Articles!$B:$B,0)),""))</f>
        <v/>
      </c>
      <c r="E277" s="9" t="str">
        <f>IF(OR(C277="",D277=""),"",C277*D277)</f>
        <v/>
      </c>
      <c r="F277" s="4"/>
      <c r="G277" s="4"/>
      <c r="H277" s="4"/>
    </row>
    <row r="278">
      <c r="A278" s="7"/>
      <c r="B278" s="4"/>
      <c r="C278" s="6"/>
      <c r="D278" s="5" t="str">
        <f>IF(B278="","",IFERROR(INDEX(Articles!$D:$D,MATCH(B278,Articles!$B:$B,0)),""))</f>
        <v/>
      </c>
      <c r="E278" s="9" t="str">
        <f>IF(OR(C278="",D278=""),"",C278*D278)</f>
        <v/>
      </c>
      <c r="F278" s="4"/>
      <c r="G278" s="4"/>
      <c r="H278" s="4"/>
    </row>
    <row r="279">
      <c r="A279" s="7"/>
      <c r="B279" s="4"/>
      <c r="C279" s="6"/>
      <c r="D279" s="5" t="str">
        <f>IF(B279="","",IFERROR(INDEX(Articles!$D:$D,MATCH(B279,Articles!$B:$B,0)),""))</f>
        <v/>
      </c>
      <c r="E279" s="9" t="str">
        <f>IF(OR(C279="",D279=""),"",C279*D279)</f>
        <v/>
      </c>
      <c r="F279" s="4"/>
      <c r="G279" s="4"/>
      <c r="H279" s="4"/>
    </row>
    <row r="280">
      <c r="A280" s="7"/>
      <c r="B280" s="4"/>
      <c r="C280" s="6"/>
      <c r="D280" s="5" t="str">
        <f>IF(B280="","",IFERROR(INDEX(Articles!$D:$D,MATCH(B280,Articles!$B:$B,0)),""))</f>
        <v/>
      </c>
      <c r="E280" s="9" t="str">
        <f>IF(OR(C280="",D280=""),"",C280*D280)</f>
        <v/>
      </c>
      <c r="F280" s="4"/>
      <c r="G280" s="4"/>
      <c r="H280" s="4"/>
    </row>
    <row r="281">
      <c r="A281" s="7"/>
      <c r="B281" s="4"/>
      <c r="C281" s="6"/>
      <c r="D281" s="5" t="str">
        <f>IF(B281="","",IFERROR(INDEX(Articles!$D:$D,MATCH(B281,Articles!$B:$B,0)),""))</f>
        <v/>
      </c>
      <c r="E281" s="9" t="str">
        <f>IF(OR(C281="",D281=""),"",C281*D281)</f>
        <v/>
      </c>
      <c r="F281" s="4"/>
      <c r="G281" s="4"/>
      <c r="H281" s="4"/>
    </row>
    <row r="282">
      <c r="A282" s="7"/>
      <c r="B282" s="4"/>
      <c r="C282" s="6"/>
      <c r="D282" s="5" t="str">
        <f>IF(B282="","",IFERROR(INDEX(Articles!$D:$D,MATCH(B282,Articles!$B:$B,0)),""))</f>
        <v/>
      </c>
      <c r="E282" s="9" t="str">
        <f>IF(OR(C282="",D282=""),"",C282*D282)</f>
        <v/>
      </c>
      <c r="F282" s="4"/>
      <c r="G282" s="4"/>
      <c r="H282" s="4"/>
    </row>
    <row r="283">
      <c r="A283" s="7"/>
      <c r="B283" s="4"/>
      <c r="C283" s="6"/>
      <c r="D283" s="5" t="str">
        <f>IF(B283="","",IFERROR(INDEX(Articles!$D:$D,MATCH(B283,Articles!$B:$B,0)),""))</f>
        <v/>
      </c>
      <c r="E283" s="9" t="str">
        <f>IF(OR(C283="",D283=""),"",C283*D283)</f>
        <v/>
      </c>
      <c r="F283" s="4"/>
      <c r="G283" s="4"/>
      <c r="H283" s="4"/>
    </row>
    <row r="284">
      <c r="A284" s="7"/>
      <c r="B284" s="4"/>
      <c r="C284" s="6"/>
      <c r="D284" s="5" t="str">
        <f>IF(B284="","",IFERROR(INDEX(Articles!$D:$D,MATCH(B284,Articles!$B:$B,0)),""))</f>
        <v/>
      </c>
      <c r="E284" s="9" t="str">
        <f>IF(OR(C284="",D284=""),"",C284*D284)</f>
        <v/>
      </c>
      <c r="F284" s="4"/>
      <c r="G284" s="4"/>
      <c r="H284" s="4"/>
    </row>
    <row r="285">
      <c r="A285" s="7"/>
      <c r="B285" s="4"/>
      <c r="C285" s="6"/>
      <c r="D285" s="5" t="str">
        <f>IF(B285="","",IFERROR(INDEX(Articles!$D:$D,MATCH(B285,Articles!$B:$B,0)),""))</f>
        <v/>
      </c>
      <c r="E285" s="9" t="str">
        <f>IF(OR(C285="",D285=""),"",C285*D285)</f>
        <v/>
      </c>
      <c r="F285" s="4"/>
      <c r="G285" s="4"/>
      <c r="H285" s="4"/>
    </row>
    <row r="286">
      <c r="A286" s="7"/>
      <c r="B286" s="4"/>
      <c r="C286" s="6"/>
      <c r="D286" s="5" t="str">
        <f>IF(B286="","",IFERROR(INDEX(Articles!$D:$D,MATCH(B286,Articles!$B:$B,0)),""))</f>
        <v/>
      </c>
      <c r="E286" s="9" t="str">
        <f>IF(OR(C286="",D286=""),"",C286*D286)</f>
        <v/>
      </c>
      <c r="F286" s="4"/>
      <c r="G286" s="4"/>
      <c r="H286" s="4"/>
    </row>
    <row r="287">
      <c r="A287" s="7"/>
      <c r="B287" s="4"/>
      <c r="C287" s="6"/>
      <c r="D287" s="5" t="str">
        <f>IF(B287="","",IFERROR(INDEX(Articles!$D:$D,MATCH(B287,Articles!$B:$B,0)),""))</f>
        <v/>
      </c>
      <c r="E287" s="9" t="str">
        <f>IF(OR(C287="",D287=""),"",C287*D287)</f>
        <v/>
      </c>
      <c r="F287" s="4"/>
      <c r="G287" s="4"/>
      <c r="H287" s="4"/>
    </row>
    <row r="288">
      <c r="A288" s="7"/>
      <c r="B288" s="4"/>
      <c r="C288" s="6"/>
      <c r="D288" s="5" t="str">
        <f>IF(B288="","",IFERROR(INDEX(Articles!$D:$D,MATCH(B288,Articles!$B:$B,0)),""))</f>
        <v/>
      </c>
      <c r="E288" s="9" t="str">
        <f>IF(OR(C288="",D288=""),"",C288*D288)</f>
        <v/>
      </c>
      <c r="F288" s="4"/>
      <c r="G288" s="4"/>
      <c r="H288" s="4"/>
    </row>
    <row r="289">
      <c r="A289" s="7"/>
      <c r="B289" s="4"/>
      <c r="C289" s="6"/>
      <c r="D289" s="5" t="str">
        <f>IF(B289="","",IFERROR(INDEX(Articles!$D:$D,MATCH(B289,Articles!$B:$B,0)),""))</f>
        <v/>
      </c>
      <c r="E289" s="9" t="str">
        <f>IF(OR(C289="",D289=""),"",C289*D289)</f>
        <v/>
      </c>
      <c r="F289" s="4"/>
      <c r="G289" s="4"/>
      <c r="H289" s="4"/>
    </row>
    <row r="290">
      <c r="A290" s="7"/>
      <c r="B290" s="4"/>
      <c r="C290" s="6"/>
      <c r="D290" s="5" t="str">
        <f>IF(B290="","",IFERROR(INDEX(Articles!$D:$D,MATCH(B290,Articles!$B:$B,0)),""))</f>
        <v/>
      </c>
      <c r="E290" s="9" t="str">
        <f>IF(OR(C290="",D290=""),"",C290*D290)</f>
        <v/>
      </c>
      <c r="F290" s="4"/>
      <c r="G290" s="4"/>
      <c r="H290" s="4"/>
    </row>
    <row r="291">
      <c r="A291" s="7"/>
      <c r="B291" s="4"/>
      <c r="C291" s="6"/>
      <c r="D291" s="5" t="str">
        <f>IF(B291="","",IFERROR(INDEX(Articles!$D:$D,MATCH(B291,Articles!$B:$B,0)),""))</f>
        <v/>
      </c>
      <c r="E291" s="9" t="str">
        <f>IF(OR(C291="",D291=""),"",C291*D291)</f>
        <v/>
      </c>
      <c r="F291" s="4"/>
      <c r="G291" s="4"/>
      <c r="H291" s="4"/>
    </row>
    <row r="292">
      <c r="A292" s="7"/>
      <c r="B292" s="4"/>
      <c r="C292" s="6"/>
      <c r="D292" s="5" t="str">
        <f>IF(B292="","",IFERROR(INDEX(Articles!$D:$D,MATCH(B292,Articles!$B:$B,0)),""))</f>
        <v/>
      </c>
      <c r="E292" s="9" t="str">
        <f>IF(OR(C292="",D292=""),"",C292*D292)</f>
        <v/>
      </c>
      <c r="F292" s="4"/>
      <c r="G292" s="4"/>
      <c r="H292" s="4"/>
    </row>
    <row r="293">
      <c r="A293" s="7"/>
      <c r="B293" s="4"/>
      <c r="C293" s="6"/>
      <c r="D293" s="5" t="str">
        <f>IF(B293="","",IFERROR(INDEX(Articles!$D:$D,MATCH(B293,Articles!$B:$B,0)),""))</f>
        <v/>
      </c>
      <c r="E293" s="9" t="str">
        <f>IF(OR(C293="",D293=""),"",C293*D293)</f>
        <v/>
      </c>
      <c r="F293" s="4"/>
      <c r="G293" s="4"/>
      <c r="H293" s="4"/>
    </row>
    <row r="294">
      <c r="A294" s="7"/>
      <c r="B294" s="4"/>
      <c r="C294" s="6"/>
      <c r="D294" s="5" t="str">
        <f>IF(B294="","",IFERROR(INDEX(Articles!$D:$D,MATCH(B294,Articles!$B:$B,0)),""))</f>
        <v/>
      </c>
      <c r="E294" s="9" t="str">
        <f>IF(OR(C294="",D294=""),"",C294*D294)</f>
        <v/>
      </c>
      <c r="F294" s="4"/>
      <c r="G294" s="4"/>
      <c r="H294" s="4"/>
    </row>
    <row r="295">
      <c r="A295" s="7"/>
      <c r="B295" s="4"/>
      <c r="C295" s="6"/>
      <c r="D295" s="5" t="str">
        <f>IF(B295="","",IFERROR(INDEX(Articles!$D:$D,MATCH(B295,Articles!$B:$B,0)),""))</f>
        <v/>
      </c>
      <c r="E295" s="9" t="str">
        <f>IF(OR(C295="",D295=""),"",C295*D295)</f>
        <v/>
      </c>
      <c r="F295" s="4"/>
      <c r="G295" s="4"/>
      <c r="H295" s="4"/>
    </row>
    <row r="296">
      <c r="A296" s="7"/>
      <c r="B296" s="4"/>
      <c r="C296" s="6"/>
      <c r="D296" s="5" t="str">
        <f>IF(B296="","",IFERROR(INDEX(Articles!$D:$D,MATCH(B296,Articles!$B:$B,0)),""))</f>
        <v/>
      </c>
      <c r="E296" s="9" t="str">
        <f>IF(OR(C296="",D296=""),"",C296*D296)</f>
        <v/>
      </c>
      <c r="F296" s="4"/>
      <c r="G296" s="4"/>
      <c r="H296" s="4"/>
    </row>
    <row r="297">
      <c r="A297" s="7"/>
      <c r="B297" s="4"/>
      <c r="C297" s="6"/>
      <c r="D297" s="5" t="str">
        <f>IF(B297="","",IFERROR(INDEX(Articles!$D:$D,MATCH(B297,Articles!$B:$B,0)),""))</f>
        <v/>
      </c>
      <c r="E297" s="9" t="str">
        <f>IF(OR(C297="",D297=""),"",C297*D297)</f>
        <v/>
      </c>
      <c r="F297" s="4"/>
      <c r="G297" s="4"/>
      <c r="H297" s="4"/>
    </row>
    <row r="298">
      <c r="A298" s="7"/>
      <c r="B298" s="4"/>
      <c r="C298" s="6"/>
      <c r="D298" s="5" t="str">
        <f>IF(B298="","",IFERROR(INDEX(Articles!$D:$D,MATCH(B298,Articles!$B:$B,0)),""))</f>
        <v/>
      </c>
      <c r="E298" s="9" t="str">
        <f>IF(OR(C298="",D298=""),"",C298*D298)</f>
        <v/>
      </c>
      <c r="F298" s="4"/>
      <c r="G298" s="4"/>
      <c r="H298" s="4"/>
    </row>
    <row r="299">
      <c r="A299" s="7"/>
      <c r="B299" s="4"/>
      <c r="C299" s="6"/>
      <c r="D299" s="5" t="str">
        <f>IF(B299="","",IFERROR(INDEX(Articles!$D:$D,MATCH(B299,Articles!$B:$B,0)),""))</f>
        <v/>
      </c>
      <c r="E299" s="9" t="str">
        <f>IF(OR(C299="",D299=""),"",C299*D299)</f>
        <v/>
      </c>
      <c r="F299" s="4"/>
      <c r="G299" s="4"/>
      <c r="H299" s="4"/>
    </row>
    <row r="300">
      <c r="A300" s="7"/>
      <c r="B300" s="4"/>
      <c r="C300" s="6"/>
      <c r="D300" s="5" t="str">
        <f>IF(B300="","",IFERROR(INDEX(Articles!$D:$D,MATCH(B300,Articles!$B:$B,0)),""))</f>
        <v/>
      </c>
      <c r="E300" s="9" t="str">
        <f>IF(OR(C300="",D300=""),"",C300*D300)</f>
        <v/>
      </c>
      <c r="F300" s="4"/>
      <c r="G300" s="4"/>
      <c r="H300" s="4"/>
    </row>
    <row r="301">
      <c r="A301" s="7"/>
      <c r="B301" s="4"/>
      <c r="C301" s="6"/>
      <c r="D301" s="5" t="str">
        <f>IF(B301="","",IFERROR(INDEX(Articles!$D:$D,MATCH(B301,Articles!$B:$B,0)),""))</f>
        <v/>
      </c>
      <c r="E301" s="9" t="str">
        <f>IF(OR(C301="",D301=""),"",C301*D301)</f>
        <v/>
      </c>
      <c r="F301" s="4"/>
      <c r="G301" s="4"/>
      <c r="H301" s="4"/>
    </row>
    <row r="302">
      <c r="A302" s="7"/>
      <c r="B302" s="4"/>
      <c r="C302" s="6"/>
      <c r="D302" s="5" t="str">
        <f>IF(B302="","",IFERROR(INDEX(Articles!$D:$D,MATCH(B302,Articles!$B:$B,0)),""))</f>
        <v/>
      </c>
      <c r="E302" s="9" t="str">
        <f>IF(OR(C302="",D302=""),"",C302*D302)</f>
        <v/>
      </c>
      <c r="F302" s="4"/>
      <c r="G302" s="4"/>
      <c r="H302" s="4"/>
    </row>
    <row r="303">
      <c r="A303" s="7"/>
      <c r="B303" s="4"/>
      <c r="C303" s="6"/>
      <c r="D303" s="5" t="str">
        <f>IF(B303="","",IFERROR(INDEX(Articles!$D:$D,MATCH(B303,Articles!$B:$B,0)),""))</f>
        <v/>
      </c>
      <c r="E303" s="9" t="str">
        <f>IF(OR(C303="",D303=""),"",C303*D303)</f>
        <v/>
      </c>
      <c r="F303" s="4"/>
      <c r="G303" s="4"/>
      <c r="H303" s="4"/>
    </row>
    <row r="304">
      <c r="A304" s="7"/>
      <c r="B304" s="4"/>
      <c r="C304" s="6"/>
      <c r="D304" s="5" t="str">
        <f>IF(B304="","",IFERROR(INDEX(Articles!$D:$D,MATCH(B304,Articles!$B:$B,0)),""))</f>
        <v/>
      </c>
      <c r="E304" s="9" t="str">
        <f>IF(OR(C304="",D304=""),"",C304*D304)</f>
        <v/>
      </c>
      <c r="F304" s="4"/>
      <c r="G304" s="4"/>
      <c r="H304" s="4"/>
    </row>
    <row r="305">
      <c r="A305" s="7"/>
      <c r="B305" s="4"/>
      <c r="C305" s="6"/>
      <c r="D305" s="5" t="str">
        <f>IF(B305="","",IFERROR(INDEX(Articles!$D:$D,MATCH(B305,Articles!$B:$B,0)),""))</f>
        <v/>
      </c>
      <c r="E305" s="9" t="str">
        <f>IF(OR(C305="",D305=""),"",C305*D305)</f>
        <v/>
      </c>
      <c r="F305" s="4"/>
      <c r="G305" s="4"/>
      <c r="H305" s="4"/>
    </row>
    <row r="306">
      <c r="A306" s="7"/>
      <c r="B306" s="4"/>
      <c r="C306" s="6"/>
      <c r="D306" s="5" t="str">
        <f>IF(B306="","",IFERROR(INDEX(Articles!$D:$D,MATCH(B306,Articles!$B:$B,0)),""))</f>
        <v/>
      </c>
      <c r="E306" s="9" t="str">
        <f>IF(OR(C306="",D306=""),"",C306*D306)</f>
        <v/>
      </c>
      <c r="F306" s="4"/>
      <c r="G306" s="4"/>
      <c r="H306" s="4"/>
    </row>
    <row r="307">
      <c r="A307" s="7"/>
      <c r="B307" s="4"/>
      <c r="C307" s="6"/>
      <c r="D307" s="5" t="str">
        <f>IF(B307="","",IFERROR(INDEX(Articles!$D:$D,MATCH(B307,Articles!$B:$B,0)),""))</f>
        <v/>
      </c>
      <c r="E307" s="9" t="str">
        <f>IF(OR(C307="",D307=""),"",C307*D307)</f>
        <v/>
      </c>
      <c r="F307" s="4"/>
      <c r="G307" s="4"/>
      <c r="H307" s="4"/>
    </row>
    <row r="308">
      <c r="A308" s="7"/>
      <c r="B308" s="4"/>
      <c r="C308" s="6"/>
      <c r="D308" s="5" t="str">
        <f>IF(B308="","",IFERROR(INDEX(Articles!$D:$D,MATCH(B308,Articles!$B:$B,0)),""))</f>
        <v/>
      </c>
      <c r="E308" s="9" t="str">
        <f>IF(OR(C308="",D308=""),"",C308*D308)</f>
        <v/>
      </c>
      <c r="F308" s="4"/>
      <c r="G308" s="4"/>
      <c r="H308" s="4"/>
    </row>
    <row r="309">
      <c r="A309" s="7"/>
      <c r="B309" s="4"/>
      <c r="C309" s="6"/>
      <c r="D309" s="5" t="str">
        <f>IF(B309="","",IFERROR(INDEX(Articles!$D:$D,MATCH(B309,Articles!$B:$B,0)),""))</f>
        <v/>
      </c>
      <c r="E309" s="9" t="str">
        <f>IF(OR(C309="",D309=""),"",C309*D309)</f>
        <v/>
      </c>
      <c r="F309" s="4"/>
      <c r="G309" s="4"/>
      <c r="H309" s="4"/>
    </row>
    <row r="310">
      <c r="A310" s="7"/>
      <c r="B310" s="4"/>
      <c r="C310" s="6"/>
      <c r="D310" s="5" t="str">
        <f>IF(B310="","",IFERROR(INDEX(Articles!$D:$D,MATCH(B310,Articles!$B:$B,0)),""))</f>
        <v/>
      </c>
      <c r="E310" s="9" t="str">
        <f>IF(OR(C310="",D310=""),"",C310*D310)</f>
        <v/>
      </c>
      <c r="F310" s="4"/>
      <c r="G310" s="4"/>
      <c r="H310" s="4"/>
    </row>
    <row r="311">
      <c r="A311" s="7"/>
      <c r="B311" s="4"/>
      <c r="C311" s="6"/>
      <c r="D311" s="5" t="str">
        <f>IF(B311="","",IFERROR(INDEX(Articles!$D:$D,MATCH(B311,Articles!$B:$B,0)),""))</f>
        <v/>
      </c>
      <c r="E311" s="9" t="str">
        <f>IF(OR(C311="",D311=""),"",C311*D311)</f>
        <v/>
      </c>
      <c r="F311" s="4"/>
      <c r="G311" s="4"/>
      <c r="H311" s="4"/>
    </row>
    <row r="312">
      <c r="A312" s="7"/>
      <c r="B312" s="4"/>
      <c r="C312" s="6"/>
      <c r="D312" s="5" t="str">
        <f>IF(B312="","",IFERROR(INDEX(Articles!$D:$D,MATCH(B312,Articles!$B:$B,0)),""))</f>
        <v/>
      </c>
      <c r="E312" s="9" t="str">
        <f>IF(OR(C312="",D312=""),"",C312*D312)</f>
        <v/>
      </c>
      <c r="F312" s="4"/>
      <c r="G312" s="4"/>
      <c r="H312" s="4"/>
    </row>
    <row r="313">
      <c r="A313" s="7"/>
      <c r="B313" s="4"/>
      <c r="C313" s="6"/>
      <c r="D313" s="5" t="str">
        <f>IF(B313="","",IFERROR(INDEX(Articles!$D:$D,MATCH(B313,Articles!$B:$B,0)),""))</f>
        <v/>
      </c>
      <c r="E313" s="9" t="str">
        <f>IF(OR(C313="",D313=""),"",C313*D313)</f>
        <v/>
      </c>
      <c r="F313" s="4"/>
      <c r="G313" s="4"/>
      <c r="H313" s="4"/>
    </row>
    <row r="314">
      <c r="A314" s="7"/>
      <c r="B314" s="4"/>
      <c r="C314" s="6"/>
      <c r="D314" s="5" t="str">
        <f>IF(B314="","",IFERROR(INDEX(Articles!$D:$D,MATCH(B314,Articles!$B:$B,0)),""))</f>
        <v/>
      </c>
      <c r="E314" s="9" t="str">
        <f>IF(OR(C314="",D314=""),"",C314*D314)</f>
        <v/>
      </c>
      <c r="F314" s="4"/>
      <c r="G314" s="4"/>
      <c r="H314" s="4"/>
    </row>
    <row r="315">
      <c r="A315" s="7"/>
      <c r="B315" s="4"/>
      <c r="C315" s="6"/>
      <c r="D315" s="5" t="str">
        <f>IF(B315="","",IFERROR(INDEX(Articles!$D:$D,MATCH(B315,Articles!$B:$B,0)),""))</f>
        <v/>
      </c>
      <c r="E315" s="9" t="str">
        <f>IF(OR(C315="",D315=""),"",C315*D315)</f>
        <v/>
      </c>
      <c r="F315" s="4"/>
      <c r="G315" s="4"/>
      <c r="H315" s="4"/>
    </row>
    <row r="316">
      <c r="A316" s="7"/>
      <c r="B316" s="4"/>
      <c r="C316" s="6"/>
      <c r="D316" s="5" t="str">
        <f>IF(B316="","",IFERROR(INDEX(Articles!$D:$D,MATCH(B316,Articles!$B:$B,0)),""))</f>
        <v/>
      </c>
      <c r="E316" s="9" t="str">
        <f>IF(OR(C316="",D316=""),"",C316*D316)</f>
        <v/>
      </c>
      <c r="F316" s="4"/>
      <c r="G316" s="4"/>
      <c r="H316" s="4"/>
    </row>
    <row r="317">
      <c r="A317" s="7"/>
      <c r="B317" s="4"/>
      <c r="C317" s="6"/>
      <c r="D317" s="5" t="str">
        <f>IF(B317="","",IFERROR(INDEX(Articles!$D:$D,MATCH(B317,Articles!$B:$B,0)),""))</f>
        <v/>
      </c>
      <c r="E317" s="9" t="str">
        <f>IF(OR(C317="",D317=""),"",C317*D317)</f>
        <v/>
      </c>
      <c r="F317" s="4"/>
      <c r="G317" s="4"/>
      <c r="H317" s="4"/>
    </row>
    <row r="318">
      <c r="A318" s="7"/>
      <c r="B318" s="4"/>
      <c r="C318" s="6"/>
      <c r="D318" s="5" t="str">
        <f>IF(B318="","",IFERROR(INDEX(Articles!$D:$D,MATCH(B318,Articles!$B:$B,0)),""))</f>
        <v/>
      </c>
      <c r="E318" s="9" t="str">
        <f>IF(OR(C318="",D318=""),"",C318*D318)</f>
        <v/>
      </c>
      <c r="F318" s="4"/>
      <c r="G318" s="4"/>
      <c r="H318" s="4"/>
    </row>
    <row r="319">
      <c r="A319" s="7"/>
      <c r="B319" s="4"/>
      <c r="C319" s="6"/>
      <c r="D319" s="5" t="str">
        <f>IF(B319="","",IFERROR(INDEX(Articles!$D:$D,MATCH(B319,Articles!$B:$B,0)),""))</f>
        <v/>
      </c>
      <c r="E319" s="9" t="str">
        <f>IF(OR(C319="",D319=""),"",C319*D319)</f>
        <v/>
      </c>
      <c r="F319" s="4"/>
      <c r="G319" s="4"/>
      <c r="H319" s="4"/>
    </row>
    <row r="320">
      <c r="A320" s="7"/>
      <c r="B320" s="4"/>
      <c r="C320" s="6"/>
      <c r="D320" s="5" t="str">
        <f>IF(B320="","",IFERROR(INDEX(Articles!$D:$D,MATCH(B320,Articles!$B:$B,0)),""))</f>
        <v/>
      </c>
      <c r="E320" s="9" t="str">
        <f>IF(OR(C320="",D320=""),"",C320*D320)</f>
        <v/>
      </c>
      <c r="F320" s="4"/>
      <c r="G320" s="4"/>
      <c r="H320" s="4"/>
    </row>
    <row r="321">
      <c r="A321" s="7"/>
      <c r="B321" s="4"/>
      <c r="C321" s="6"/>
      <c r="D321" s="5" t="str">
        <f>IF(B321="","",IFERROR(INDEX(Articles!$D:$D,MATCH(B321,Articles!$B:$B,0)),""))</f>
        <v/>
      </c>
      <c r="E321" s="9" t="str">
        <f>IF(OR(C321="",D321=""),"",C321*D321)</f>
        <v/>
      </c>
      <c r="F321" s="4"/>
      <c r="G321" s="4"/>
      <c r="H321" s="4"/>
    </row>
    <row r="322">
      <c r="A322" s="7"/>
      <c r="B322" s="4"/>
      <c r="C322" s="6"/>
      <c r="D322" s="5" t="str">
        <f>IF(B322="","",IFERROR(INDEX(Articles!$D:$D,MATCH(B322,Articles!$B:$B,0)),""))</f>
        <v/>
      </c>
      <c r="E322" s="9" t="str">
        <f>IF(OR(C322="",D322=""),"",C322*D322)</f>
        <v/>
      </c>
      <c r="F322" s="4"/>
      <c r="G322" s="4"/>
      <c r="H322" s="4"/>
    </row>
    <row r="323">
      <c r="A323" s="7"/>
      <c r="B323" s="4"/>
      <c r="C323" s="6"/>
      <c r="D323" s="5" t="str">
        <f>IF(B323="","",IFERROR(INDEX(Articles!$D:$D,MATCH(B323,Articles!$B:$B,0)),""))</f>
        <v/>
      </c>
      <c r="E323" s="9" t="str">
        <f>IF(OR(C323="",D323=""),"",C323*D323)</f>
        <v/>
      </c>
      <c r="F323" s="4"/>
      <c r="G323" s="4"/>
      <c r="H323" s="4"/>
    </row>
    <row r="324">
      <c r="A324" s="7"/>
      <c r="B324" s="4"/>
      <c r="C324" s="6"/>
      <c r="D324" s="5" t="str">
        <f>IF(B324="","",IFERROR(INDEX(Articles!$D:$D,MATCH(B324,Articles!$B:$B,0)),""))</f>
        <v/>
      </c>
      <c r="E324" s="9" t="str">
        <f>IF(OR(C324="",D324=""),"",C324*D324)</f>
        <v/>
      </c>
      <c r="F324" s="4"/>
      <c r="G324" s="4"/>
      <c r="H324" s="4"/>
    </row>
    <row r="325">
      <c r="A325" s="7"/>
      <c r="B325" s="4"/>
      <c r="C325" s="6"/>
      <c r="D325" s="5" t="str">
        <f>IF(B325="","",IFERROR(INDEX(Articles!$D:$D,MATCH(B325,Articles!$B:$B,0)),""))</f>
        <v/>
      </c>
      <c r="E325" s="9" t="str">
        <f>IF(OR(C325="",D325=""),"",C325*D325)</f>
        <v/>
      </c>
      <c r="F325" s="4"/>
      <c r="G325" s="4"/>
      <c r="H325" s="4"/>
    </row>
    <row r="326">
      <c r="A326" s="7"/>
      <c r="B326" s="4"/>
      <c r="C326" s="6"/>
      <c r="D326" s="5" t="str">
        <f>IF(B326="","",IFERROR(INDEX(Articles!$D:$D,MATCH(B326,Articles!$B:$B,0)),""))</f>
        <v/>
      </c>
      <c r="E326" s="9" t="str">
        <f>IF(OR(C326="",D326=""),"",C326*D326)</f>
        <v/>
      </c>
      <c r="F326" s="4"/>
      <c r="G326" s="4"/>
      <c r="H326" s="4"/>
    </row>
    <row r="327">
      <c r="A327" s="7"/>
      <c r="B327" s="4"/>
      <c r="C327" s="6"/>
      <c r="D327" s="5" t="str">
        <f>IF(B327="","",IFERROR(INDEX(Articles!$D:$D,MATCH(B327,Articles!$B:$B,0)),""))</f>
        <v/>
      </c>
      <c r="E327" s="9" t="str">
        <f>IF(OR(C327="",D327=""),"",C327*D327)</f>
        <v/>
      </c>
      <c r="F327" s="4"/>
      <c r="G327" s="4"/>
      <c r="H327" s="4"/>
    </row>
    <row r="328">
      <c r="A328" s="7"/>
      <c r="B328" s="4"/>
      <c r="C328" s="6"/>
      <c r="D328" s="5" t="str">
        <f>IF(B328="","",IFERROR(INDEX(Articles!$D:$D,MATCH(B328,Articles!$B:$B,0)),""))</f>
        <v/>
      </c>
      <c r="E328" s="9" t="str">
        <f>IF(OR(C328="",D328=""),"",C328*D328)</f>
        <v/>
      </c>
      <c r="F328" s="4"/>
      <c r="G328" s="4"/>
      <c r="H328" s="4"/>
    </row>
    <row r="329">
      <c r="A329" s="7"/>
      <c r="B329" s="4"/>
      <c r="C329" s="6"/>
      <c r="D329" s="5" t="str">
        <f>IF(B329="","",IFERROR(INDEX(Articles!$D:$D,MATCH(B329,Articles!$B:$B,0)),""))</f>
        <v/>
      </c>
      <c r="E329" s="9" t="str">
        <f>IF(OR(C329="",D329=""),"",C329*D329)</f>
        <v/>
      </c>
      <c r="F329" s="4"/>
      <c r="G329" s="4"/>
      <c r="H329" s="4"/>
    </row>
    <row r="330">
      <c r="A330" s="7"/>
      <c r="B330" s="4"/>
      <c r="C330" s="6"/>
      <c r="D330" s="5" t="str">
        <f>IF(B330="","",IFERROR(INDEX(Articles!$D:$D,MATCH(B330,Articles!$B:$B,0)),""))</f>
        <v/>
      </c>
      <c r="E330" s="9" t="str">
        <f>IF(OR(C330="",D330=""),"",C330*D330)</f>
        <v/>
      </c>
      <c r="F330" s="4"/>
      <c r="G330" s="4"/>
      <c r="H330" s="4"/>
    </row>
    <row r="331">
      <c r="A331" s="7"/>
      <c r="B331" s="4"/>
      <c r="C331" s="6"/>
      <c r="D331" s="5" t="str">
        <f>IF(B331="","",IFERROR(INDEX(Articles!$D:$D,MATCH(B331,Articles!$B:$B,0)),""))</f>
        <v/>
      </c>
      <c r="E331" s="9" t="str">
        <f>IF(OR(C331="",D331=""),"",C331*D331)</f>
        <v/>
      </c>
      <c r="F331" s="4"/>
      <c r="G331" s="4"/>
      <c r="H331" s="4"/>
    </row>
    <row r="332">
      <c r="A332" s="7"/>
      <c r="B332" s="4"/>
      <c r="C332" s="6"/>
      <c r="D332" s="5" t="str">
        <f>IF(B332="","",IFERROR(INDEX(Articles!$D:$D,MATCH(B332,Articles!$B:$B,0)),""))</f>
        <v/>
      </c>
      <c r="E332" s="9" t="str">
        <f>IF(OR(C332="",D332=""),"",C332*D332)</f>
        <v/>
      </c>
      <c r="F332" s="4"/>
      <c r="G332" s="4"/>
      <c r="H332" s="4"/>
    </row>
    <row r="333">
      <c r="A333" s="7"/>
      <c r="B333" s="4"/>
      <c r="C333" s="6"/>
      <c r="D333" s="5" t="str">
        <f>IF(B333="","",IFERROR(INDEX(Articles!$D:$D,MATCH(B333,Articles!$B:$B,0)),""))</f>
        <v/>
      </c>
      <c r="E333" s="9" t="str">
        <f>IF(OR(C333="",D333=""),"",C333*D333)</f>
        <v/>
      </c>
      <c r="F333" s="4"/>
      <c r="G333" s="4"/>
      <c r="H333" s="4"/>
    </row>
    <row r="334">
      <c r="A334" s="7"/>
      <c r="B334" s="4"/>
      <c r="C334" s="6"/>
      <c r="D334" s="5" t="str">
        <f>IF(B334="","",IFERROR(INDEX(Articles!$D:$D,MATCH(B334,Articles!$B:$B,0)),""))</f>
        <v/>
      </c>
      <c r="E334" s="9" t="str">
        <f>IF(OR(C334="",D334=""),"",C334*D334)</f>
        <v/>
      </c>
      <c r="F334" s="4"/>
      <c r="G334" s="4"/>
      <c r="H334" s="4"/>
    </row>
    <row r="335">
      <c r="A335" s="7"/>
      <c r="B335" s="4"/>
      <c r="C335" s="6"/>
      <c r="D335" s="5" t="str">
        <f>IF(B335="","",IFERROR(INDEX(Articles!$D:$D,MATCH(B335,Articles!$B:$B,0)),""))</f>
        <v/>
      </c>
      <c r="E335" s="9" t="str">
        <f>IF(OR(C335="",D335=""),"",C335*D335)</f>
        <v/>
      </c>
      <c r="F335" s="4"/>
      <c r="G335" s="4"/>
      <c r="H335" s="4"/>
    </row>
    <row r="336">
      <c r="A336" s="7"/>
      <c r="B336" s="4"/>
      <c r="C336" s="6"/>
      <c r="D336" s="5" t="str">
        <f>IF(B336="","",IFERROR(INDEX(Articles!$D:$D,MATCH(B336,Articles!$B:$B,0)),""))</f>
        <v/>
      </c>
      <c r="E336" s="9" t="str">
        <f>IF(OR(C336="",D336=""),"",C336*D336)</f>
        <v/>
      </c>
      <c r="F336" s="4"/>
      <c r="G336" s="4"/>
      <c r="H336" s="4"/>
    </row>
    <row r="337">
      <c r="A337" s="7"/>
      <c r="B337" s="4"/>
      <c r="C337" s="6"/>
      <c r="D337" s="5" t="str">
        <f>IF(B337="","",IFERROR(INDEX(Articles!$D:$D,MATCH(B337,Articles!$B:$B,0)),""))</f>
        <v/>
      </c>
      <c r="E337" s="9" t="str">
        <f>IF(OR(C337="",D337=""),"",C337*D337)</f>
        <v/>
      </c>
      <c r="F337" s="4"/>
      <c r="G337" s="4"/>
      <c r="H337" s="4"/>
    </row>
    <row r="338">
      <c r="A338" s="7"/>
      <c r="B338" s="4"/>
      <c r="C338" s="6"/>
      <c r="D338" s="5" t="str">
        <f>IF(B338="","",IFERROR(INDEX(Articles!$D:$D,MATCH(B338,Articles!$B:$B,0)),""))</f>
        <v/>
      </c>
      <c r="E338" s="9" t="str">
        <f>IF(OR(C338="",D338=""),"",C338*D338)</f>
        <v/>
      </c>
      <c r="F338" s="4"/>
      <c r="G338" s="4"/>
      <c r="H338" s="4"/>
    </row>
    <row r="339">
      <c r="A339" s="7"/>
      <c r="B339" s="4"/>
      <c r="C339" s="6"/>
      <c r="D339" s="5" t="str">
        <f>IF(B339="","",IFERROR(INDEX(Articles!$D:$D,MATCH(B339,Articles!$B:$B,0)),""))</f>
        <v/>
      </c>
      <c r="E339" s="9" t="str">
        <f>IF(OR(C339="",D339=""),"",C339*D339)</f>
        <v/>
      </c>
      <c r="F339" s="4"/>
      <c r="G339" s="4"/>
      <c r="H339" s="4"/>
    </row>
    <row r="340">
      <c r="A340" s="7"/>
      <c r="B340" s="4"/>
      <c r="C340" s="6"/>
      <c r="D340" s="5" t="str">
        <f>IF(B340="","",IFERROR(INDEX(Articles!$D:$D,MATCH(B340,Articles!$B:$B,0)),""))</f>
        <v/>
      </c>
      <c r="E340" s="9" t="str">
        <f>IF(OR(C340="",D340=""),"",C340*D340)</f>
        <v/>
      </c>
      <c r="F340" s="4"/>
      <c r="G340" s="4"/>
      <c r="H340" s="4"/>
    </row>
    <row r="341">
      <c r="A341" s="7"/>
      <c r="B341" s="4"/>
      <c r="C341" s="6"/>
      <c r="D341" s="5" t="str">
        <f>IF(B341="","",IFERROR(INDEX(Articles!$D:$D,MATCH(B341,Articles!$B:$B,0)),""))</f>
        <v/>
      </c>
      <c r="E341" s="9" t="str">
        <f>IF(OR(C341="",D341=""),"",C341*D341)</f>
        <v/>
      </c>
      <c r="F341" s="4"/>
      <c r="G341" s="4"/>
      <c r="H341" s="4"/>
    </row>
    <row r="342">
      <c r="A342" s="7"/>
      <c r="B342" s="4"/>
      <c r="C342" s="6"/>
      <c r="D342" s="5" t="str">
        <f>IF(B342="","",IFERROR(INDEX(Articles!$D:$D,MATCH(B342,Articles!$B:$B,0)),""))</f>
        <v/>
      </c>
      <c r="E342" s="9" t="str">
        <f>IF(OR(C342="",D342=""),"",C342*D342)</f>
        <v/>
      </c>
      <c r="F342" s="4"/>
      <c r="G342" s="4"/>
      <c r="H342" s="4"/>
    </row>
    <row r="343">
      <c r="A343" s="7"/>
      <c r="B343" s="4"/>
      <c r="C343" s="6"/>
      <c r="D343" s="5" t="str">
        <f>IF(B343="","",IFERROR(INDEX(Articles!$D:$D,MATCH(B343,Articles!$B:$B,0)),""))</f>
        <v/>
      </c>
      <c r="E343" s="9" t="str">
        <f>IF(OR(C343="",D343=""),"",C343*D343)</f>
        <v/>
      </c>
      <c r="F343" s="4"/>
      <c r="G343" s="4"/>
      <c r="H343" s="4"/>
    </row>
    <row r="344">
      <c r="A344" s="7"/>
      <c r="B344" s="4"/>
      <c r="C344" s="6"/>
      <c r="D344" s="5" t="str">
        <f>IF(B344="","",IFERROR(INDEX(Articles!$D:$D,MATCH(B344,Articles!$B:$B,0)),""))</f>
        <v/>
      </c>
      <c r="E344" s="9" t="str">
        <f>IF(OR(C344="",D344=""),"",C344*D344)</f>
        <v/>
      </c>
      <c r="F344" s="4"/>
      <c r="G344" s="4"/>
      <c r="H344" s="4"/>
    </row>
    <row r="345">
      <c r="A345" s="7"/>
      <c r="B345" s="4"/>
      <c r="C345" s="6"/>
      <c r="D345" s="5" t="str">
        <f>IF(B345="","",IFERROR(INDEX(Articles!$D:$D,MATCH(B345,Articles!$B:$B,0)),""))</f>
        <v/>
      </c>
      <c r="E345" s="9" t="str">
        <f>IF(OR(C345="",D345=""),"",C345*D345)</f>
        <v/>
      </c>
      <c r="F345" s="4"/>
      <c r="G345" s="4"/>
      <c r="H345" s="4"/>
    </row>
    <row r="346">
      <c r="A346" s="7"/>
      <c r="B346" s="4"/>
      <c r="C346" s="6"/>
      <c r="D346" s="5" t="str">
        <f>IF(B346="","",IFERROR(INDEX(Articles!$D:$D,MATCH(B346,Articles!$B:$B,0)),""))</f>
        <v/>
      </c>
      <c r="E346" s="9" t="str">
        <f>IF(OR(C346="",D346=""),"",C346*D346)</f>
        <v/>
      </c>
      <c r="F346" s="4"/>
      <c r="G346" s="4"/>
      <c r="H346" s="4"/>
    </row>
    <row r="347">
      <c r="A347" s="7"/>
      <c r="B347" s="4"/>
      <c r="C347" s="6"/>
      <c r="D347" s="5" t="str">
        <f>IF(B347="","",IFERROR(INDEX(Articles!$D:$D,MATCH(B347,Articles!$B:$B,0)),""))</f>
        <v/>
      </c>
      <c r="E347" s="9" t="str">
        <f>IF(OR(C347="",D347=""),"",C347*D347)</f>
        <v/>
      </c>
      <c r="F347" s="4"/>
      <c r="G347" s="4"/>
      <c r="H347" s="4"/>
    </row>
    <row r="348">
      <c r="A348" s="7"/>
      <c r="B348" s="4"/>
      <c r="C348" s="6"/>
      <c r="D348" s="5" t="str">
        <f>IF(B348="","",IFERROR(INDEX(Articles!$D:$D,MATCH(B348,Articles!$B:$B,0)),""))</f>
        <v/>
      </c>
      <c r="E348" s="9" t="str">
        <f>IF(OR(C348="",D348=""),"",C348*D348)</f>
        <v/>
      </c>
      <c r="F348" s="4"/>
      <c r="G348" s="4"/>
      <c r="H348" s="4"/>
    </row>
    <row r="349">
      <c r="A349" s="7"/>
      <c r="B349" s="4"/>
      <c r="C349" s="6"/>
      <c r="D349" s="5" t="str">
        <f>IF(B349="","",IFERROR(INDEX(Articles!$D:$D,MATCH(B349,Articles!$B:$B,0)),""))</f>
        <v/>
      </c>
      <c r="E349" s="9" t="str">
        <f>IF(OR(C349="",D349=""),"",C349*D349)</f>
        <v/>
      </c>
      <c r="F349" s="4"/>
      <c r="G349" s="4"/>
      <c r="H349" s="4"/>
    </row>
    <row r="350">
      <c r="A350" s="7"/>
      <c r="B350" s="4"/>
      <c r="C350" s="6"/>
      <c r="D350" s="5" t="str">
        <f>IF(B350="","",IFERROR(INDEX(Articles!$D:$D,MATCH(B350,Articles!$B:$B,0)),""))</f>
        <v/>
      </c>
      <c r="E350" s="9" t="str">
        <f>IF(OR(C350="",D350=""),"",C350*D350)</f>
        <v/>
      </c>
      <c r="F350" s="4"/>
      <c r="G350" s="4"/>
      <c r="H350" s="4"/>
    </row>
    <row r="351">
      <c r="A351" s="7"/>
      <c r="B351" s="4"/>
      <c r="C351" s="6"/>
      <c r="D351" s="5" t="str">
        <f>IF(B351="","",IFERROR(INDEX(Articles!$D:$D,MATCH(B351,Articles!$B:$B,0)),""))</f>
        <v/>
      </c>
      <c r="E351" s="9" t="str">
        <f>IF(OR(C351="",D351=""),"",C351*D351)</f>
        <v/>
      </c>
      <c r="F351" s="4"/>
      <c r="G351" s="4"/>
      <c r="H351" s="4"/>
    </row>
    <row r="352">
      <c r="A352" s="7"/>
      <c r="B352" s="4"/>
      <c r="C352" s="6"/>
      <c r="D352" s="5" t="str">
        <f>IF(B352="","",IFERROR(INDEX(Articles!$D:$D,MATCH(B352,Articles!$B:$B,0)),""))</f>
        <v/>
      </c>
      <c r="E352" s="9" t="str">
        <f>IF(OR(C352="",D352=""),"",C352*D352)</f>
        <v/>
      </c>
      <c r="F352" s="4"/>
      <c r="G352" s="4"/>
      <c r="H352" s="4"/>
    </row>
    <row r="353">
      <c r="A353" s="7"/>
      <c r="B353" s="4"/>
      <c r="C353" s="6"/>
      <c r="D353" s="5" t="str">
        <f>IF(B353="","",IFERROR(INDEX(Articles!$D:$D,MATCH(B353,Articles!$B:$B,0)),""))</f>
        <v/>
      </c>
      <c r="E353" s="9" t="str">
        <f>IF(OR(C353="",D353=""),"",C353*D353)</f>
        <v/>
      </c>
      <c r="F353" s="4"/>
      <c r="G353" s="4"/>
      <c r="H353" s="4"/>
    </row>
    <row r="354">
      <c r="A354" s="7"/>
      <c r="B354" s="4"/>
      <c r="C354" s="6"/>
      <c r="D354" s="5" t="str">
        <f>IF(B354="","",IFERROR(INDEX(Articles!$D:$D,MATCH(B354,Articles!$B:$B,0)),""))</f>
        <v/>
      </c>
      <c r="E354" s="9" t="str">
        <f>IF(OR(C354="",D354=""),"",C354*D354)</f>
        <v/>
      </c>
      <c r="F354" s="4"/>
      <c r="G354" s="4"/>
      <c r="H354" s="4"/>
    </row>
    <row r="355">
      <c r="A355" s="7"/>
      <c r="B355" s="4"/>
      <c r="C355" s="6"/>
      <c r="D355" s="5" t="str">
        <f>IF(B355="","",IFERROR(INDEX(Articles!$D:$D,MATCH(B355,Articles!$B:$B,0)),""))</f>
        <v/>
      </c>
      <c r="E355" s="9" t="str">
        <f>IF(OR(C355="",D355=""),"",C355*D355)</f>
        <v/>
      </c>
      <c r="F355" s="4"/>
      <c r="G355" s="4"/>
      <c r="H355" s="4"/>
    </row>
    <row r="356">
      <c r="A356" s="7"/>
      <c r="B356" s="4"/>
      <c r="C356" s="6"/>
      <c r="D356" s="5" t="str">
        <f>IF(B356="","",IFERROR(INDEX(Articles!$D:$D,MATCH(B356,Articles!$B:$B,0)),""))</f>
        <v/>
      </c>
      <c r="E356" s="9" t="str">
        <f>IF(OR(C356="",D356=""),"",C356*D356)</f>
        <v/>
      </c>
      <c r="F356" s="4"/>
      <c r="G356" s="4"/>
      <c r="H356" s="4"/>
    </row>
    <row r="357">
      <c r="A357" s="7"/>
      <c r="B357" s="4"/>
      <c r="C357" s="6"/>
      <c r="D357" s="5" t="str">
        <f>IF(B357="","",IFERROR(INDEX(Articles!$D:$D,MATCH(B357,Articles!$B:$B,0)),""))</f>
        <v/>
      </c>
      <c r="E357" s="9" t="str">
        <f>IF(OR(C357="",D357=""),"",C357*D357)</f>
        <v/>
      </c>
      <c r="F357" s="4"/>
      <c r="G357" s="4"/>
      <c r="H357" s="4"/>
    </row>
    <row r="358">
      <c r="A358" s="7"/>
      <c r="B358" s="4"/>
      <c r="C358" s="6"/>
      <c r="D358" s="5" t="str">
        <f>IF(B358="","",IFERROR(INDEX(Articles!$D:$D,MATCH(B358,Articles!$B:$B,0)),""))</f>
        <v/>
      </c>
      <c r="E358" s="9" t="str">
        <f>IF(OR(C358="",D358=""),"",C358*D358)</f>
        <v/>
      </c>
      <c r="F358" s="4"/>
      <c r="G358" s="4"/>
      <c r="H358" s="4"/>
    </row>
    <row r="359">
      <c r="A359" s="7"/>
      <c r="B359" s="4"/>
      <c r="C359" s="6"/>
      <c r="D359" s="5" t="str">
        <f>IF(B359="","",IFERROR(INDEX(Articles!$D:$D,MATCH(B359,Articles!$B:$B,0)),""))</f>
        <v/>
      </c>
      <c r="E359" s="9" t="str">
        <f>IF(OR(C359="",D359=""),"",C359*D359)</f>
        <v/>
      </c>
      <c r="F359" s="4"/>
      <c r="G359" s="4"/>
      <c r="H359" s="4"/>
    </row>
    <row r="360">
      <c r="A360" s="7"/>
      <c r="B360" s="4"/>
      <c r="C360" s="6"/>
      <c r="D360" s="5" t="str">
        <f>IF(B360="","",IFERROR(INDEX(Articles!$D:$D,MATCH(B360,Articles!$B:$B,0)),""))</f>
        <v/>
      </c>
      <c r="E360" s="9" t="str">
        <f>IF(OR(C360="",D360=""),"",C360*D360)</f>
        <v/>
      </c>
      <c r="F360" s="4"/>
      <c r="G360" s="4"/>
      <c r="H360" s="4"/>
    </row>
    <row r="361">
      <c r="A361" s="7"/>
      <c r="B361" s="4"/>
      <c r="C361" s="6"/>
      <c r="D361" s="5" t="str">
        <f>IF(B361="","",IFERROR(INDEX(Articles!$D:$D,MATCH(B361,Articles!$B:$B,0)),""))</f>
        <v/>
      </c>
      <c r="E361" s="9" t="str">
        <f>IF(OR(C361="",D361=""),"",C361*D361)</f>
        <v/>
      </c>
      <c r="F361" s="4"/>
      <c r="G361" s="4"/>
      <c r="H361" s="4"/>
    </row>
    <row r="362">
      <c r="A362" s="7"/>
      <c r="B362" s="4"/>
      <c r="C362" s="6"/>
      <c r="D362" s="5" t="str">
        <f>IF(B362="","",IFERROR(INDEX(Articles!$D:$D,MATCH(B362,Articles!$B:$B,0)),""))</f>
        <v/>
      </c>
      <c r="E362" s="9" t="str">
        <f>IF(OR(C362="",D362=""),"",C362*D362)</f>
        <v/>
      </c>
      <c r="F362" s="4"/>
      <c r="G362" s="4"/>
      <c r="H362" s="4"/>
    </row>
    <row r="363">
      <c r="A363" s="7"/>
      <c r="B363" s="4"/>
      <c r="C363" s="6"/>
      <c r="D363" s="5" t="str">
        <f>IF(B363="","",IFERROR(INDEX(Articles!$D:$D,MATCH(B363,Articles!$B:$B,0)),""))</f>
        <v/>
      </c>
      <c r="E363" s="9" t="str">
        <f>IF(OR(C363="",D363=""),"",C363*D363)</f>
        <v/>
      </c>
      <c r="F363" s="4"/>
      <c r="G363" s="4"/>
      <c r="H363" s="4"/>
    </row>
    <row r="364">
      <c r="A364" s="7"/>
      <c r="B364" s="4"/>
      <c r="C364" s="6"/>
      <c r="D364" s="5" t="str">
        <f>IF(B364="","",IFERROR(INDEX(Articles!$D:$D,MATCH(B364,Articles!$B:$B,0)),""))</f>
        <v/>
      </c>
      <c r="E364" s="9" t="str">
        <f>IF(OR(C364="",D364=""),"",C364*D364)</f>
        <v/>
      </c>
      <c r="F364" s="4"/>
      <c r="G364" s="4"/>
      <c r="H364" s="4"/>
    </row>
    <row r="365">
      <c r="A365" s="7"/>
      <c r="B365" s="4"/>
      <c r="C365" s="6"/>
      <c r="D365" s="5" t="str">
        <f>IF(B365="","",IFERROR(INDEX(Articles!$D:$D,MATCH(B365,Articles!$B:$B,0)),""))</f>
        <v/>
      </c>
      <c r="E365" s="9" t="str">
        <f>IF(OR(C365="",D365=""),"",C365*D365)</f>
        <v/>
      </c>
      <c r="F365" s="4"/>
      <c r="G365" s="4"/>
      <c r="H365" s="4"/>
    </row>
    <row r="366">
      <c r="A366" s="7"/>
      <c r="B366" s="4"/>
      <c r="C366" s="6"/>
      <c r="D366" s="5" t="str">
        <f>IF(B366="","",IFERROR(INDEX(Articles!$D:$D,MATCH(B366,Articles!$B:$B,0)),""))</f>
        <v/>
      </c>
      <c r="E366" s="9" t="str">
        <f>IF(OR(C366="",D366=""),"",C366*D366)</f>
        <v/>
      </c>
      <c r="F366" s="4"/>
      <c r="G366" s="4"/>
      <c r="H366" s="4"/>
    </row>
    <row r="367">
      <c r="A367" s="7"/>
      <c r="B367" s="4"/>
      <c r="C367" s="6"/>
      <c r="D367" s="5" t="str">
        <f>IF(B367="","",IFERROR(INDEX(Articles!$D:$D,MATCH(B367,Articles!$B:$B,0)),""))</f>
        <v/>
      </c>
      <c r="E367" s="9" t="str">
        <f>IF(OR(C367="",D367=""),"",C367*D367)</f>
        <v/>
      </c>
      <c r="F367" s="4"/>
      <c r="G367" s="4"/>
      <c r="H367" s="4"/>
    </row>
    <row r="368">
      <c r="A368" s="7"/>
      <c r="B368" s="4"/>
      <c r="C368" s="6"/>
      <c r="D368" s="5" t="str">
        <f>IF(B368="","",IFERROR(INDEX(Articles!$D:$D,MATCH(B368,Articles!$B:$B,0)),""))</f>
        <v/>
      </c>
      <c r="E368" s="9" t="str">
        <f>IF(OR(C368="",D368=""),"",C368*D368)</f>
        <v/>
      </c>
      <c r="F368" s="4"/>
      <c r="G368" s="4"/>
      <c r="H368" s="4"/>
    </row>
    <row r="369">
      <c r="A369" s="7"/>
      <c r="B369" s="4"/>
      <c r="C369" s="6"/>
      <c r="D369" s="5" t="str">
        <f>IF(B369="","",IFERROR(INDEX(Articles!$D:$D,MATCH(B369,Articles!$B:$B,0)),""))</f>
        <v/>
      </c>
      <c r="E369" s="9" t="str">
        <f>IF(OR(C369="",D369=""),"",C369*D369)</f>
        <v/>
      </c>
      <c r="F369" s="4"/>
      <c r="G369" s="4"/>
      <c r="H369" s="4"/>
    </row>
    <row r="370">
      <c r="A370" s="7"/>
      <c r="B370" s="4"/>
      <c r="C370" s="6"/>
      <c r="D370" s="5" t="str">
        <f>IF(B370="","",IFERROR(INDEX(Articles!$D:$D,MATCH(B370,Articles!$B:$B,0)),""))</f>
        <v/>
      </c>
      <c r="E370" s="9" t="str">
        <f>IF(OR(C370="",D370=""),"",C370*D370)</f>
        <v/>
      </c>
      <c r="F370" s="4"/>
      <c r="G370" s="4"/>
      <c r="H370" s="4"/>
    </row>
    <row r="371">
      <c r="A371" s="7"/>
      <c r="B371" s="4"/>
      <c r="C371" s="6"/>
      <c r="D371" s="5" t="str">
        <f>IF(B371="","",IFERROR(INDEX(Articles!$D:$D,MATCH(B371,Articles!$B:$B,0)),""))</f>
        <v/>
      </c>
      <c r="E371" s="9" t="str">
        <f>IF(OR(C371="",D371=""),"",C371*D371)</f>
        <v/>
      </c>
      <c r="F371" s="4"/>
      <c r="G371" s="4"/>
      <c r="H371" s="4"/>
    </row>
    <row r="372">
      <c r="A372" s="7"/>
      <c r="B372" s="4"/>
      <c r="C372" s="6"/>
      <c r="D372" s="5" t="str">
        <f>IF(B372="","",IFERROR(INDEX(Articles!$D:$D,MATCH(B372,Articles!$B:$B,0)),""))</f>
        <v/>
      </c>
      <c r="E372" s="9" t="str">
        <f>IF(OR(C372="",D372=""),"",C372*D372)</f>
        <v/>
      </c>
      <c r="F372" s="4"/>
      <c r="G372" s="4"/>
      <c r="H372" s="4"/>
    </row>
    <row r="373">
      <c r="A373" s="7"/>
      <c r="B373" s="4"/>
      <c r="C373" s="6"/>
      <c r="D373" s="5" t="str">
        <f>IF(B373="","",IFERROR(INDEX(Articles!$D:$D,MATCH(B373,Articles!$B:$B,0)),""))</f>
        <v/>
      </c>
      <c r="E373" s="9" t="str">
        <f>IF(OR(C373="",D373=""),"",C373*D373)</f>
        <v/>
      </c>
      <c r="F373" s="4"/>
      <c r="G373" s="4"/>
      <c r="H373" s="4"/>
    </row>
    <row r="374">
      <c r="A374" s="7"/>
      <c r="B374" s="4"/>
      <c r="C374" s="6"/>
      <c r="D374" s="5" t="str">
        <f>IF(B374="","",IFERROR(INDEX(Articles!$D:$D,MATCH(B374,Articles!$B:$B,0)),""))</f>
        <v/>
      </c>
      <c r="E374" s="9" t="str">
        <f>IF(OR(C374="",D374=""),"",C374*D374)</f>
        <v/>
      </c>
      <c r="F374" s="4"/>
      <c r="G374" s="4"/>
      <c r="H374" s="4"/>
    </row>
    <row r="375">
      <c r="A375" s="7"/>
      <c r="B375" s="4"/>
      <c r="C375" s="6"/>
      <c r="D375" s="5" t="str">
        <f>IF(B375="","",IFERROR(INDEX(Articles!$D:$D,MATCH(B375,Articles!$B:$B,0)),""))</f>
        <v/>
      </c>
      <c r="E375" s="9" t="str">
        <f>IF(OR(C375="",D375=""),"",C375*D375)</f>
        <v/>
      </c>
      <c r="F375" s="4"/>
      <c r="G375" s="4"/>
      <c r="H375" s="4"/>
    </row>
    <row r="376">
      <c r="A376" s="7"/>
      <c r="B376" s="4"/>
      <c r="C376" s="6"/>
      <c r="D376" s="5" t="str">
        <f>IF(B376="","",IFERROR(INDEX(Articles!$D:$D,MATCH(B376,Articles!$B:$B,0)),""))</f>
        <v/>
      </c>
      <c r="E376" s="9" t="str">
        <f>IF(OR(C376="",D376=""),"",C376*D376)</f>
        <v/>
      </c>
      <c r="F376" s="4"/>
      <c r="G376" s="4"/>
      <c r="H376" s="4"/>
    </row>
    <row r="377">
      <c r="A377" s="7"/>
      <c r="B377" s="4"/>
      <c r="C377" s="6"/>
      <c r="D377" s="5" t="str">
        <f>IF(B377="","",IFERROR(INDEX(Articles!$D:$D,MATCH(B377,Articles!$B:$B,0)),""))</f>
        <v/>
      </c>
      <c r="E377" s="9" t="str">
        <f>IF(OR(C377="",D377=""),"",C377*D377)</f>
        <v/>
      </c>
      <c r="F377" s="4"/>
      <c r="G377" s="4"/>
      <c r="H377" s="4"/>
    </row>
    <row r="378">
      <c r="A378" s="7"/>
      <c r="B378" s="4"/>
      <c r="C378" s="6"/>
      <c r="D378" s="5" t="str">
        <f>IF(B378="","",IFERROR(INDEX(Articles!$D:$D,MATCH(B378,Articles!$B:$B,0)),""))</f>
        <v/>
      </c>
      <c r="E378" s="9" t="str">
        <f>IF(OR(C378="",D378=""),"",C378*D378)</f>
        <v/>
      </c>
      <c r="F378" s="4"/>
      <c r="G378" s="4"/>
      <c r="H378" s="4"/>
    </row>
    <row r="379">
      <c r="A379" s="7"/>
      <c r="B379" s="4"/>
      <c r="C379" s="6"/>
      <c r="D379" s="5" t="str">
        <f>IF(B379="","",IFERROR(INDEX(Articles!$D:$D,MATCH(B379,Articles!$B:$B,0)),""))</f>
        <v/>
      </c>
      <c r="E379" s="9" t="str">
        <f>IF(OR(C379="",D379=""),"",C379*D379)</f>
        <v/>
      </c>
      <c r="F379" s="4"/>
      <c r="G379" s="4"/>
      <c r="H379" s="4"/>
    </row>
    <row r="380">
      <c r="A380" s="7"/>
      <c r="B380" s="4"/>
      <c r="C380" s="6"/>
      <c r="D380" s="5" t="str">
        <f>IF(B380="","",IFERROR(INDEX(Articles!$D:$D,MATCH(B380,Articles!$B:$B,0)),""))</f>
        <v/>
      </c>
      <c r="E380" s="9" t="str">
        <f>IF(OR(C380="",D380=""),"",C380*D380)</f>
        <v/>
      </c>
      <c r="F380" s="4"/>
      <c r="G380" s="4"/>
      <c r="H380" s="4"/>
    </row>
    <row r="381">
      <c r="A381" s="7"/>
      <c r="B381" s="4"/>
      <c r="C381" s="6"/>
      <c r="D381" s="5" t="str">
        <f>IF(B381="","",IFERROR(INDEX(Articles!$D:$D,MATCH(B381,Articles!$B:$B,0)),""))</f>
        <v/>
      </c>
      <c r="E381" s="9" t="str">
        <f>IF(OR(C381="",D381=""),"",C381*D381)</f>
        <v/>
      </c>
      <c r="F381" s="4"/>
      <c r="G381" s="4"/>
      <c r="H381" s="4"/>
    </row>
    <row r="382">
      <c r="A382" s="7"/>
      <c r="B382" s="4"/>
      <c r="C382" s="6"/>
      <c r="D382" s="5" t="str">
        <f>IF(B382="","",IFERROR(INDEX(Articles!$D:$D,MATCH(B382,Articles!$B:$B,0)),""))</f>
        <v/>
      </c>
      <c r="E382" s="9" t="str">
        <f>IF(OR(C382="",D382=""),"",C382*D382)</f>
        <v/>
      </c>
      <c r="F382" s="4"/>
      <c r="G382" s="4"/>
      <c r="H382" s="4"/>
    </row>
    <row r="383">
      <c r="A383" s="7"/>
      <c r="B383" s="4"/>
      <c r="C383" s="6"/>
      <c r="D383" s="5" t="str">
        <f>IF(B383="","",IFERROR(INDEX(Articles!$D:$D,MATCH(B383,Articles!$B:$B,0)),""))</f>
        <v/>
      </c>
      <c r="E383" s="9" t="str">
        <f>IF(OR(C383="",D383=""),"",C383*D383)</f>
        <v/>
      </c>
      <c r="F383" s="4"/>
      <c r="G383" s="4"/>
      <c r="H383" s="4"/>
    </row>
    <row r="384">
      <c r="A384" s="7"/>
      <c r="B384" s="4"/>
      <c r="C384" s="6"/>
      <c r="D384" s="5" t="str">
        <f>IF(B384="","",IFERROR(INDEX(Articles!$D:$D,MATCH(B384,Articles!$B:$B,0)),""))</f>
        <v/>
      </c>
      <c r="E384" s="9" t="str">
        <f>IF(OR(C384="",D384=""),"",C384*D384)</f>
        <v/>
      </c>
      <c r="F384" s="4"/>
      <c r="G384" s="4"/>
      <c r="H384" s="4"/>
    </row>
    <row r="385">
      <c r="A385" s="7"/>
      <c r="B385" s="4"/>
      <c r="C385" s="6"/>
      <c r="D385" s="5" t="str">
        <f>IF(B385="","",IFERROR(INDEX(Articles!$D:$D,MATCH(B385,Articles!$B:$B,0)),""))</f>
        <v/>
      </c>
      <c r="E385" s="9" t="str">
        <f>IF(OR(C385="",D385=""),"",C385*D385)</f>
        <v/>
      </c>
      <c r="F385" s="4"/>
      <c r="G385" s="4"/>
      <c r="H385" s="4"/>
    </row>
    <row r="386">
      <c r="A386" s="7"/>
      <c r="B386" s="4"/>
      <c r="C386" s="6"/>
      <c r="D386" s="5" t="str">
        <f>IF(B386="","",IFERROR(INDEX(Articles!$D:$D,MATCH(B386,Articles!$B:$B,0)),""))</f>
        <v/>
      </c>
      <c r="E386" s="9" t="str">
        <f>IF(OR(C386="",D386=""),"",C386*D386)</f>
        <v/>
      </c>
      <c r="F386" s="4"/>
      <c r="G386" s="4"/>
      <c r="H386" s="4"/>
    </row>
    <row r="387">
      <c r="A387" s="7"/>
      <c r="B387" s="4"/>
      <c r="C387" s="6"/>
      <c r="D387" s="5" t="str">
        <f>IF(B387="","",IFERROR(INDEX(Articles!$D:$D,MATCH(B387,Articles!$B:$B,0)),""))</f>
        <v/>
      </c>
      <c r="E387" s="9" t="str">
        <f>IF(OR(C387="",D387=""),"",C387*D387)</f>
        <v/>
      </c>
      <c r="F387" s="4"/>
      <c r="G387" s="4"/>
      <c r="H387" s="4"/>
    </row>
    <row r="388">
      <c r="A388" s="7"/>
      <c r="B388" s="4"/>
      <c r="C388" s="6"/>
      <c r="D388" s="5" t="str">
        <f>IF(B388="","",IFERROR(INDEX(Articles!$D:$D,MATCH(B388,Articles!$B:$B,0)),""))</f>
        <v/>
      </c>
      <c r="E388" s="9" t="str">
        <f>IF(OR(C388="",D388=""),"",C388*D388)</f>
        <v/>
      </c>
      <c r="F388" s="4"/>
      <c r="G388" s="4"/>
      <c r="H388" s="4"/>
    </row>
    <row r="389">
      <c r="A389" s="7"/>
      <c r="B389" s="4"/>
      <c r="C389" s="6"/>
      <c r="D389" s="5" t="str">
        <f>IF(B389="","",IFERROR(INDEX(Articles!$D:$D,MATCH(B389,Articles!$B:$B,0)),""))</f>
        <v/>
      </c>
      <c r="E389" s="9" t="str">
        <f>IF(OR(C389="",D389=""),"",C389*D389)</f>
        <v/>
      </c>
      <c r="F389" s="4"/>
      <c r="G389" s="4"/>
      <c r="H389" s="4"/>
    </row>
    <row r="390">
      <c r="A390" s="7"/>
      <c r="B390" s="4"/>
      <c r="C390" s="6"/>
      <c r="D390" s="5" t="str">
        <f>IF(B390="","",IFERROR(INDEX(Articles!$D:$D,MATCH(B390,Articles!$B:$B,0)),""))</f>
        <v/>
      </c>
      <c r="E390" s="9" t="str">
        <f>IF(OR(C390="",D390=""),"",C390*D390)</f>
        <v/>
      </c>
      <c r="F390" s="4"/>
      <c r="G390" s="4"/>
      <c r="H390" s="4"/>
    </row>
    <row r="391">
      <c r="A391" s="7"/>
      <c r="B391" s="4"/>
      <c r="C391" s="6"/>
      <c r="D391" s="5" t="str">
        <f>IF(B391="","",IFERROR(INDEX(Articles!$D:$D,MATCH(B391,Articles!$B:$B,0)),""))</f>
        <v/>
      </c>
      <c r="E391" s="9" t="str">
        <f>IF(OR(C391="",D391=""),"",C391*D391)</f>
        <v/>
      </c>
      <c r="F391" s="4"/>
      <c r="G391" s="4"/>
      <c r="H391" s="4"/>
    </row>
    <row r="392">
      <c r="A392" s="7"/>
      <c r="B392" s="4"/>
      <c r="C392" s="6"/>
      <c r="D392" s="5" t="str">
        <f>IF(B392="","",IFERROR(INDEX(Articles!$D:$D,MATCH(B392,Articles!$B:$B,0)),""))</f>
        <v/>
      </c>
      <c r="E392" s="9" t="str">
        <f>IF(OR(C392="",D392=""),"",C392*D392)</f>
        <v/>
      </c>
      <c r="F392" s="4"/>
      <c r="G392" s="4"/>
      <c r="H392" s="4"/>
    </row>
    <row r="393">
      <c r="A393" s="7"/>
      <c r="B393" s="4"/>
      <c r="C393" s="6"/>
      <c r="D393" s="5" t="str">
        <f>IF(B393="","",IFERROR(INDEX(Articles!$D:$D,MATCH(B393,Articles!$B:$B,0)),""))</f>
        <v/>
      </c>
      <c r="E393" s="9" t="str">
        <f>IF(OR(C393="",D393=""),"",C393*D393)</f>
        <v/>
      </c>
      <c r="F393" s="4"/>
      <c r="G393" s="4"/>
      <c r="H393" s="4"/>
    </row>
    <row r="394">
      <c r="A394" s="7"/>
      <c r="B394" s="4"/>
      <c r="C394" s="6"/>
      <c r="D394" s="5" t="str">
        <f>IF(B394="","",IFERROR(INDEX(Articles!$D:$D,MATCH(B394,Articles!$B:$B,0)),""))</f>
        <v/>
      </c>
      <c r="E394" s="9" t="str">
        <f>IF(OR(C394="",D394=""),"",C394*D394)</f>
        <v/>
      </c>
      <c r="F394" s="4"/>
      <c r="G394" s="4"/>
      <c r="H394" s="4"/>
    </row>
    <row r="395">
      <c r="A395" s="7"/>
      <c r="B395" s="4"/>
      <c r="C395" s="6"/>
      <c r="D395" s="5" t="str">
        <f>IF(B395="","",IFERROR(INDEX(Articles!$D:$D,MATCH(B395,Articles!$B:$B,0)),""))</f>
        <v/>
      </c>
      <c r="E395" s="9" t="str">
        <f>IF(OR(C395="",D395=""),"",C395*D395)</f>
        <v/>
      </c>
      <c r="F395" s="4"/>
      <c r="G395" s="4"/>
      <c r="H395" s="4"/>
    </row>
    <row r="396">
      <c r="A396" s="7"/>
      <c r="B396" s="4"/>
      <c r="C396" s="6"/>
      <c r="D396" s="5" t="str">
        <f>IF(B396="","",IFERROR(INDEX(Articles!$D:$D,MATCH(B396,Articles!$B:$B,0)),""))</f>
        <v/>
      </c>
      <c r="E396" s="9" t="str">
        <f>IF(OR(C396="",D396=""),"",C396*D396)</f>
        <v/>
      </c>
      <c r="F396" s="4"/>
      <c r="G396" s="4"/>
      <c r="H396" s="4"/>
    </row>
    <row r="397">
      <c r="A397" s="7"/>
      <c r="B397" s="4"/>
      <c r="C397" s="6"/>
      <c r="D397" s="5" t="str">
        <f>IF(B397="","",IFERROR(INDEX(Articles!$D:$D,MATCH(B397,Articles!$B:$B,0)),""))</f>
        <v/>
      </c>
      <c r="E397" s="9" t="str">
        <f>IF(OR(C397="",D397=""),"",C397*D397)</f>
        <v/>
      </c>
      <c r="F397" s="4"/>
      <c r="G397" s="4"/>
      <c r="H397" s="4"/>
    </row>
    <row r="398">
      <c r="A398" s="7"/>
      <c r="B398" s="4"/>
      <c r="C398" s="6"/>
      <c r="D398" s="5" t="str">
        <f>IF(B398="","",IFERROR(INDEX(Articles!$D:$D,MATCH(B398,Articles!$B:$B,0)),""))</f>
        <v/>
      </c>
      <c r="E398" s="9" t="str">
        <f>IF(OR(C398="",D398=""),"",C398*D398)</f>
        <v/>
      </c>
      <c r="F398" s="4"/>
      <c r="G398" s="4"/>
      <c r="H398" s="4"/>
    </row>
    <row r="399">
      <c r="A399" s="7"/>
      <c r="B399" s="4"/>
      <c r="C399" s="6"/>
      <c r="D399" s="5" t="str">
        <f>IF(B399="","",IFERROR(INDEX(Articles!$D:$D,MATCH(B399,Articles!$B:$B,0)),""))</f>
        <v/>
      </c>
      <c r="E399" s="9" t="str">
        <f>IF(OR(C399="",D399=""),"",C399*D399)</f>
        <v/>
      </c>
      <c r="F399" s="4"/>
      <c r="G399" s="4"/>
      <c r="H399" s="4"/>
    </row>
    <row r="400">
      <c r="A400" s="7"/>
      <c r="B400" s="4"/>
      <c r="C400" s="6"/>
      <c r="D400" s="5" t="str">
        <f>IF(B400="","",IFERROR(INDEX(Articles!$D:$D,MATCH(B400,Articles!$B:$B,0)),""))</f>
        <v/>
      </c>
      <c r="E400" s="9" t="str">
        <f>IF(OR(C400="",D400=""),"",C400*D400)</f>
        <v/>
      </c>
      <c r="F400" s="4"/>
      <c r="G400" s="4"/>
      <c r="H400" s="4"/>
    </row>
    <row r="401">
      <c r="A401" s="7"/>
      <c r="B401" s="4"/>
      <c r="C401" s="6"/>
      <c r="D401" s="5" t="str">
        <f>IF(B401="","",IFERROR(INDEX(Articles!$D:$D,MATCH(B401,Articles!$B:$B,0)),""))</f>
        <v/>
      </c>
      <c r="E401" s="9" t="str">
        <f>IF(OR(C401="",D401=""),"",C401*D401)</f>
        <v/>
      </c>
      <c r="F401" s="4"/>
      <c r="G401" s="4"/>
      <c r="H401" s="4"/>
    </row>
    <row r="402">
      <c r="A402" s="7"/>
      <c r="B402" s="4"/>
      <c r="C402" s="6"/>
      <c r="D402" s="5" t="str">
        <f>IF(B402="","",IFERROR(INDEX(Articles!$D:$D,MATCH(B402,Articles!$B:$B,0)),""))</f>
        <v/>
      </c>
      <c r="E402" s="9" t="str">
        <f>IF(OR(C402="",D402=""),"",C402*D402)</f>
        <v/>
      </c>
      <c r="F402" s="4"/>
      <c r="G402" s="4"/>
      <c r="H402" s="4"/>
    </row>
    <row r="403">
      <c r="A403" s="7"/>
      <c r="B403" s="4"/>
      <c r="C403" s="6"/>
      <c r="D403" s="5" t="str">
        <f>IF(B403="","",IFERROR(INDEX(Articles!$D:$D,MATCH(B403,Articles!$B:$B,0)),""))</f>
        <v/>
      </c>
      <c r="E403" s="9" t="str">
        <f>IF(OR(C403="",D403=""),"",C403*D403)</f>
        <v/>
      </c>
      <c r="F403" s="4"/>
      <c r="G403" s="4"/>
      <c r="H403" s="4"/>
    </row>
    <row r="404">
      <c r="A404" s="7"/>
      <c r="B404" s="4"/>
      <c r="C404" s="6"/>
      <c r="D404" s="5" t="str">
        <f>IF(B404="","",IFERROR(INDEX(Articles!$D:$D,MATCH(B404,Articles!$B:$B,0)),""))</f>
        <v/>
      </c>
      <c r="E404" s="9" t="str">
        <f>IF(OR(C404="",D404=""),"",C404*D404)</f>
        <v/>
      </c>
      <c r="F404" s="4"/>
      <c r="G404" s="4"/>
      <c r="H404" s="4"/>
    </row>
    <row r="405">
      <c r="A405" s="7"/>
      <c r="B405" s="4"/>
      <c r="C405" s="6"/>
      <c r="D405" s="5" t="str">
        <f>IF(B405="","",IFERROR(INDEX(Articles!$D:$D,MATCH(B405,Articles!$B:$B,0)),""))</f>
        <v/>
      </c>
      <c r="E405" s="9" t="str">
        <f>IF(OR(C405="",D405=""),"",C405*D405)</f>
        <v/>
      </c>
      <c r="F405" s="4"/>
      <c r="G405" s="4"/>
      <c r="H405" s="4"/>
    </row>
    <row r="406">
      <c r="A406" s="7"/>
      <c r="B406" s="4"/>
      <c r="C406" s="6"/>
      <c r="D406" s="5" t="str">
        <f>IF(B406="","",IFERROR(INDEX(Articles!$D:$D,MATCH(B406,Articles!$B:$B,0)),""))</f>
        <v/>
      </c>
      <c r="E406" s="9" t="str">
        <f>IF(OR(C406="",D406=""),"",C406*D406)</f>
        <v/>
      </c>
      <c r="F406" s="4"/>
      <c r="G406" s="4"/>
      <c r="H406" s="4"/>
    </row>
    <row r="407">
      <c r="A407" s="7"/>
      <c r="B407" s="4"/>
      <c r="C407" s="6"/>
      <c r="D407" s="5" t="str">
        <f>IF(B407="","",IFERROR(INDEX(Articles!$D:$D,MATCH(B407,Articles!$B:$B,0)),""))</f>
        <v/>
      </c>
      <c r="E407" s="9" t="str">
        <f>IF(OR(C407="",D407=""),"",C407*D407)</f>
        <v/>
      </c>
      <c r="F407" s="4"/>
      <c r="G407" s="4"/>
      <c r="H407" s="4"/>
    </row>
    <row r="408">
      <c r="A408" s="7"/>
      <c r="B408" s="4"/>
      <c r="C408" s="6"/>
      <c r="D408" s="5" t="str">
        <f>IF(B408="","",IFERROR(INDEX(Articles!$D:$D,MATCH(B408,Articles!$B:$B,0)),""))</f>
        <v/>
      </c>
      <c r="E408" s="9" t="str">
        <f>IF(OR(C408="",D408=""),"",C408*D408)</f>
        <v/>
      </c>
      <c r="F408" s="4"/>
      <c r="G408" s="4"/>
      <c r="H408" s="4"/>
    </row>
    <row r="409">
      <c r="A409" s="7"/>
      <c r="B409" s="4"/>
      <c r="C409" s="6"/>
      <c r="D409" s="5" t="str">
        <f>IF(B409="","",IFERROR(INDEX(Articles!$D:$D,MATCH(B409,Articles!$B:$B,0)),""))</f>
        <v/>
      </c>
      <c r="E409" s="9" t="str">
        <f>IF(OR(C409="",D409=""),"",C409*D409)</f>
        <v/>
      </c>
      <c r="F409" s="4"/>
      <c r="G409" s="4"/>
      <c r="H409" s="4"/>
    </row>
    <row r="410">
      <c r="A410" s="7"/>
      <c r="B410" s="4"/>
      <c r="C410" s="6"/>
      <c r="D410" s="5" t="str">
        <f>IF(B410="","",IFERROR(INDEX(Articles!$D:$D,MATCH(B410,Articles!$B:$B,0)),""))</f>
        <v/>
      </c>
      <c r="E410" s="9" t="str">
        <f>IF(OR(C410="",D410=""),"",C410*D410)</f>
        <v/>
      </c>
      <c r="F410" s="4"/>
      <c r="G410" s="4"/>
      <c r="H410" s="4"/>
    </row>
    <row r="411">
      <c r="A411" s="7"/>
      <c r="B411" s="4"/>
      <c r="C411" s="6"/>
      <c r="D411" s="5" t="str">
        <f>IF(B411="","",IFERROR(INDEX(Articles!$D:$D,MATCH(B411,Articles!$B:$B,0)),""))</f>
        <v/>
      </c>
      <c r="E411" s="9" t="str">
        <f>IF(OR(C411="",D411=""),"",C411*D411)</f>
        <v/>
      </c>
      <c r="F411" s="4"/>
      <c r="G411" s="4"/>
      <c r="H411" s="4"/>
    </row>
    <row r="412">
      <c r="A412" s="7"/>
      <c r="B412" s="4"/>
      <c r="C412" s="6"/>
      <c r="D412" s="5" t="str">
        <f>IF(B412="","",IFERROR(INDEX(Articles!$D:$D,MATCH(B412,Articles!$B:$B,0)),""))</f>
        <v/>
      </c>
      <c r="E412" s="9" t="str">
        <f>IF(OR(C412="",D412=""),"",C412*D412)</f>
        <v/>
      </c>
      <c r="F412" s="4"/>
      <c r="G412" s="4"/>
      <c r="H412" s="4"/>
    </row>
    <row r="413">
      <c r="A413" s="7"/>
      <c r="B413" s="4"/>
      <c r="C413" s="6"/>
      <c r="D413" s="5" t="str">
        <f>IF(B413="","",IFERROR(INDEX(Articles!$D:$D,MATCH(B413,Articles!$B:$B,0)),""))</f>
        <v/>
      </c>
      <c r="E413" s="9" t="str">
        <f>IF(OR(C413="",D413=""),"",C413*D413)</f>
        <v/>
      </c>
      <c r="F413" s="4"/>
      <c r="G413" s="4"/>
      <c r="H413" s="4"/>
    </row>
    <row r="414">
      <c r="A414" s="7"/>
      <c r="B414" s="4"/>
      <c r="C414" s="6"/>
      <c r="D414" s="5" t="str">
        <f>IF(B414="","",IFERROR(INDEX(Articles!$D:$D,MATCH(B414,Articles!$B:$B,0)),""))</f>
        <v/>
      </c>
      <c r="E414" s="9" t="str">
        <f>IF(OR(C414="",D414=""),"",C414*D414)</f>
        <v/>
      </c>
      <c r="F414" s="4"/>
      <c r="G414" s="4"/>
      <c r="H414" s="4"/>
    </row>
    <row r="415">
      <c r="A415" s="7"/>
      <c r="B415" s="4"/>
      <c r="C415" s="6"/>
      <c r="D415" s="5" t="str">
        <f>IF(B415="","",IFERROR(INDEX(Articles!$D:$D,MATCH(B415,Articles!$B:$B,0)),""))</f>
        <v/>
      </c>
      <c r="E415" s="9" t="str">
        <f>IF(OR(C415="",D415=""),"",C415*D415)</f>
        <v/>
      </c>
      <c r="F415" s="4"/>
      <c r="G415" s="4"/>
      <c r="H415" s="4"/>
    </row>
    <row r="416">
      <c r="A416" s="7"/>
      <c r="B416" s="4"/>
      <c r="C416" s="6"/>
      <c r="D416" s="5" t="str">
        <f>IF(B416="","",IFERROR(INDEX(Articles!$D:$D,MATCH(B416,Articles!$B:$B,0)),""))</f>
        <v/>
      </c>
      <c r="E416" s="9" t="str">
        <f>IF(OR(C416="",D416=""),"",C416*D416)</f>
        <v/>
      </c>
      <c r="F416" s="4"/>
      <c r="G416" s="4"/>
      <c r="H416" s="4"/>
    </row>
    <row r="417">
      <c r="A417" s="7"/>
      <c r="B417" s="4"/>
      <c r="C417" s="6"/>
      <c r="D417" s="5" t="str">
        <f>IF(B417="","",IFERROR(INDEX(Articles!$D:$D,MATCH(B417,Articles!$B:$B,0)),""))</f>
        <v/>
      </c>
      <c r="E417" s="9" t="str">
        <f>IF(OR(C417="",D417=""),"",C417*D417)</f>
        <v/>
      </c>
      <c r="F417" s="4"/>
      <c r="G417" s="4"/>
      <c r="H417" s="4"/>
    </row>
    <row r="418">
      <c r="A418" s="7"/>
      <c r="B418" s="4"/>
      <c r="C418" s="6"/>
      <c r="D418" s="5" t="str">
        <f>IF(B418="","",IFERROR(INDEX(Articles!$D:$D,MATCH(B418,Articles!$B:$B,0)),""))</f>
        <v/>
      </c>
      <c r="E418" s="9" t="str">
        <f>IF(OR(C418="",D418=""),"",C418*D418)</f>
        <v/>
      </c>
      <c r="F418" s="4"/>
      <c r="G418" s="4"/>
      <c r="H418" s="4"/>
    </row>
    <row r="419">
      <c r="A419" s="7"/>
      <c r="B419" s="4"/>
      <c r="C419" s="6"/>
      <c r="D419" s="5" t="str">
        <f>IF(B419="","",IFERROR(INDEX(Articles!$D:$D,MATCH(B419,Articles!$B:$B,0)),""))</f>
        <v/>
      </c>
      <c r="E419" s="9" t="str">
        <f>IF(OR(C419="",D419=""),"",C419*D419)</f>
        <v/>
      </c>
      <c r="F419" s="4"/>
      <c r="G419" s="4"/>
      <c r="H419" s="4"/>
    </row>
    <row r="420">
      <c r="A420" s="7"/>
      <c r="B420" s="4"/>
      <c r="C420" s="6"/>
      <c r="D420" s="5" t="str">
        <f>IF(B420="","",IFERROR(INDEX(Articles!$D:$D,MATCH(B420,Articles!$B:$B,0)),""))</f>
        <v/>
      </c>
      <c r="E420" s="9" t="str">
        <f>IF(OR(C420="",D420=""),"",C420*D420)</f>
        <v/>
      </c>
      <c r="F420" s="4"/>
      <c r="G420" s="4"/>
      <c r="H420" s="4"/>
    </row>
    <row r="421">
      <c r="A421" s="7"/>
      <c r="B421" s="4"/>
      <c r="C421" s="6"/>
      <c r="D421" s="5" t="str">
        <f>IF(B421="","",IFERROR(INDEX(Articles!$D:$D,MATCH(B421,Articles!$B:$B,0)),""))</f>
        <v/>
      </c>
      <c r="E421" s="9" t="str">
        <f>IF(OR(C421="",D421=""),"",C421*D421)</f>
        <v/>
      </c>
      <c r="F421" s="4"/>
      <c r="G421" s="4"/>
      <c r="H421" s="4"/>
    </row>
    <row r="422">
      <c r="A422" s="7"/>
      <c r="B422" s="4"/>
      <c r="C422" s="6"/>
      <c r="D422" s="5" t="str">
        <f>IF(B422="","",IFERROR(INDEX(Articles!$D:$D,MATCH(B422,Articles!$B:$B,0)),""))</f>
        <v/>
      </c>
      <c r="E422" s="9" t="str">
        <f>IF(OR(C422="",D422=""),"",C422*D422)</f>
        <v/>
      </c>
      <c r="F422" s="4"/>
      <c r="G422" s="4"/>
      <c r="H422" s="4"/>
    </row>
    <row r="423">
      <c r="A423" s="7"/>
      <c r="B423" s="4"/>
      <c r="C423" s="6"/>
      <c r="D423" s="5" t="str">
        <f>IF(B423="","",IFERROR(INDEX(Articles!$D:$D,MATCH(B423,Articles!$B:$B,0)),""))</f>
        <v/>
      </c>
      <c r="E423" s="9" t="str">
        <f>IF(OR(C423="",D423=""),"",C423*D423)</f>
        <v/>
      </c>
      <c r="F423" s="4"/>
      <c r="G423" s="4"/>
      <c r="H423" s="4"/>
    </row>
    <row r="424">
      <c r="A424" s="7"/>
      <c r="B424" s="4"/>
      <c r="C424" s="6"/>
      <c r="D424" s="5" t="str">
        <f>IF(B424="","",IFERROR(INDEX(Articles!$D:$D,MATCH(B424,Articles!$B:$B,0)),""))</f>
        <v/>
      </c>
      <c r="E424" s="9" t="str">
        <f>IF(OR(C424="",D424=""),"",C424*D424)</f>
        <v/>
      </c>
      <c r="F424" s="4"/>
      <c r="G424" s="4"/>
      <c r="H424" s="4"/>
    </row>
    <row r="425">
      <c r="A425" s="7"/>
      <c r="B425" s="4"/>
      <c r="C425" s="6"/>
      <c r="D425" s="5" t="str">
        <f>IF(B425="","",IFERROR(INDEX(Articles!$D:$D,MATCH(B425,Articles!$B:$B,0)),""))</f>
        <v/>
      </c>
      <c r="E425" s="9" t="str">
        <f>IF(OR(C425="",D425=""),"",C425*D425)</f>
        <v/>
      </c>
      <c r="F425" s="4"/>
      <c r="G425" s="4"/>
      <c r="H425" s="4"/>
    </row>
    <row r="426">
      <c r="A426" s="7"/>
      <c r="B426" s="4"/>
      <c r="C426" s="6"/>
      <c r="D426" s="5" t="str">
        <f>IF(B426="","",IFERROR(INDEX(Articles!$D:$D,MATCH(B426,Articles!$B:$B,0)),""))</f>
        <v/>
      </c>
      <c r="E426" s="9" t="str">
        <f>IF(OR(C426="",D426=""),"",C426*D426)</f>
        <v/>
      </c>
      <c r="F426" s="4"/>
      <c r="G426" s="4"/>
      <c r="H426" s="4"/>
    </row>
    <row r="427">
      <c r="A427" s="7"/>
      <c r="B427" s="4"/>
      <c r="C427" s="6"/>
      <c r="D427" s="5" t="str">
        <f>IF(B427="","",IFERROR(INDEX(Articles!$D:$D,MATCH(B427,Articles!$B:$B,0)),""))</f>
        <v/>
      </c>
      <c r="E427" s="9" t="str">
        <f>IF(OR(C427="",D427=""),"",C427*D427)</f>
        <v/>
      </c>
      <c r="F427" s="4"/>
      <c r="G427" s="4"/>
      <c r="H427" s="4"/>
    </row>
    <row r="428">
      <c r="A428" s="7"/>
      <c r="B428" s="4"/>
      <c r="C428" s="6"/>
      <c r="D428" s="5" t="str">
        <f>IF(B428="","",IFERROR(INDEX(Articles!$D:$D,MATCH(B428,Articles!$B:$B,0)),""))</f>
        <v/>
      </c>
      <c r="E428" s="9" t="str">
        <f>IF(OR(C428="",D428=""),"",C428*D428)</f>
        <v/>
      </c>
      <c r="F428" s="4"/>
      <c r="G428" s="4"/>
      <c r="H428" s="4"/>
    </row>
    <row r="429">
      <c r="A429" s="7"/>
      <c r="B429" s="4"/>
      <c r="C429" s="6"/>
      <c r="D429" s="5" t="str">
        <f>IF(B429="","",IFERROR(INDEX(Articles!$D:$D,MATCH(B429,Articles!$B:$B,0)),""))</f>
        <v/>
      </c>
      <c r="E429" s="9" t="str">
        <f>IF(OR(C429="",D429=""),"",C429*D429)</f>
        <v/>
      </c>
      <c r="F429" s="4"/>
      <c r="G429" s="4"/>
      <c r="H429" s="4"/>
    </row>
    <row r="430">
      <c r="A430" s="7"/>
      <c r="B430" s="4"/>
      <c r="C430" s="6"/>
      <c r="D430" s="5" t="str">
        <f>IF(B430="","",IFERROR(INDEX(Articles!$D:$D,MATCH(B430,Articles!$B:$B,0)),""))</f>
        <v/>
      </c>
      <c r="E430" s="9" t="str">
        <f>IF(OR(C430="",D430=""),"",C430*D430)</f>
        <v/>
      </c>
      <c r="F430" s="4"/>
      <c r="G430" s="4"/>
      <c r="H430" s="4"/>
    </row>
    <row r="431">
      <c r="A431" s="7"/>
      <c r="B431" s="4"/>
      <c r="C431" s="6"/>
      <c r="D431" s="5" t="str">
        <f>IF(B431="","",IFERROR(INDEX(Articles!$D:$D,MATCH(B431,Articles!$B:$B,0)),""))</f>
        <v/>
      </c>
      <c r="E431" s="9" t="str">
        <f>IF(OR(C431="",D431=""),"",C431*D431)</f>
        <v/>
      </c>
      <c r="F431" s="4"/>
      <c r="G431" s="4"/>
      <c r="H431" s="4"/>
    </row>
    <row r="432">
      <c r="A432" s="7"/>
      <c r="B432" s="4"/>
      <c r="C432" s="6"/>
      <c r="D432" s="5" t="str">
        <f>IF(B432="","",IFERROR(INDEX(Articles!$D:$D,MATCH(B432,Articles!$B:$B,0)),""))</f>
        <v/>
      </c>
      <c r="E432" s="9" t="str">
        <f>IF(OR(C432="",D432=""),"",C432*D432)</f>
        <v/>
      </c>
      <c r="F432" s="4"/>
      <c r="G432" s="4"/>
      <c r="H432" s="4"/>
    </row>
    <row r="433">
      <c r="A433" s="7"/>
      <c r="B433" s="4"/>
      <c r="C433" s="6"/>
      <c r="D433" s="5" t="str">
        <f>IF(B433="","",IFERROR(INDEX(Articles!$D:$D,MATCH(B433,Articles!$B:$B,0)),""))</f>
        <v/>
      </c>
      <c r="E433" s="9" t="str">
        <f>IF(OR(C433="",D433=""),"",C433*D433)</f>
        <v/>
      </c>
      <c r="F433" s="4"/>
      <c r="G433" s="4"/>
      <c r="H433" s="4"/>
    </row>
    <row r="434">
      <c r="A434" s="7"/>
      <c r="B434" s="4"/>
      <c r="C434" s="6"/>
      <c r="D434" s="5" t="str">
        <f>IF(B434="","",IFERROR(INDEX(Articles!$D:$D,MATCH(B434,Articles!$B:$B,0)),""))</f>
        <v/>
      </c>
      <c r="E434" s="9" t="str">
        <f>IF(OR(C434="",D434=""),"",C434*D434)</f>
        <v/>
      </c>
      <c r="F434" s="4"/>
      <c r="G434" s="4"/>
      <c r="H434" s="4"/>
    </row>
    <row r="435">
      <c r="A435" s="7"/>
      <c r="B435" s="4"/>
      <c r="C435" s="6"/>
      <c r="D435" s="5" t="str">
        <f>IF(B435="","",IFERROR(INDEX(Articles!$D:$D,MATCH(B435,Articles!$B:$B,0)),""))</f>
        <v/>
      </c>
      <c r="E435" s="9" t="str">
        <f>IF(OR(C435="",D435=""),"",C435*D435)</f>
        <v/>
      </c>
      <c r="F435" s="4"/>
      <c r="G435" s="4"/>
      <c r="H435" s="4"/>
    </row>
    <row r="436">
      <c r="A436" s="7"/>
      <c r="B436" s="4"/>
      <c r="C436" s="6"/>
      <c r="D436" s="5" t="str">
        <f>IF(B436="","",IFERROR(INDEX(Articles!$D:$D,MATCH(B436,Articles!$B:$B,0)),""))</f>
        <v/>
      </c>
      <c r="E436" s="9" t="str">
        <f>IF(OR(C436="",D436=""),"",C436*D436)</f>
        <v/>
      </c>
      <c r="F436" s="4"/>
      <c r="G436" s="4"/>
      <c r="H436" s="4"/>
    </row>
    <row r="437">
      <c r="A437" s="7"/>
      <c r="B437" s="4"/>
      <c r="C437" s="6"/>
      <c r="D437" s="5" t="str">
        <f>IF(B437="","",IFERROR(INDEX(Articles!$D:$D,MATCH(B437,Articles!$B:$B,0)),""))</f>
        <v/>
      </c>
      <c r="E437" s="9" t="str">
        <f>IF(OR(C437="",D437=""),"",C437*D437)</f>
        <v/>
      </c>
      <c r="F437" s="4"/>
      <c r="G437" s="4"/>
      <c r="H437" s="4"/>
    </row>
    <row r="438">
      <c r="A438" s="7"/>
      <c r="B438" s="4"/>
      <c r="C438" s="6"/>
      <c r="D438" s="5" t="str">
        <f>IF(B438="","",IFERROR(INDEX(Articles!$D:$D,MATCH(B438,Articles!$B:$B,0)),""))</f>
        <v/>
      </c>
      <c r="E438" s="9" t="str">
        <f>IF(OR(C438="",D438=""),"",C438*D438)</f>
        <v/>
      </c>
      <c r="F438" s="4"/>
      <c r="G438" s="4"/>
      <c r="H438" s="4"/>
    </row>
    <row r="439">
      <c r="A439" s="7"/>
      <c r="B439" s="4"/>
      <c r="C439" s="6"/>
      <c r="D439" s="5" t="str">
        <f>IF(B439="","",IFERROR(INDEX(Articles!$D:$D,MATCH(B439,Articles!$B:$B,0)),""))</f>
        <v/>
      </c>
      <c r="E439" s="9" t="str">
        <f>IF(OR(C439="",D439=""),"",C439*D439)</f>
        <v/>
      </c>
      <c r="F439" s="4"/>
      <c r="G439" s="4"/>
      <c r="H439" s="4"/>
    </row>
    <row r="440">
      <c r="A440" s="7"/>
      <c r="B440" s="4"/>
      <c r="C440" s="6"/>
      <c r="D440" s="5" t="str">
        <f>IF(B440="","",IFERROR(INDEX(Articles!$D:$D,MATCH(B440,Articles!$B:$B,0)),""))</f>
        <v/>
      </c>
      <c r="E440" s="9" t="str">
        <f>IF(OR(C440="",D440=""),"",C440*D440)</f>
        <v/>
      </c>
      <c r="F440" s="4"/>
      <c r="G440" s="4"/>
      <c r="H440" s="4"/>
    </row>
    <row r="441">
      <c r="A441" s="7"/>
      <c r="B441" s="4"/>
      <c r="C441" s="6"/>
      <c r="D441" s="5" t="str">
        <f>IF(B441="","",IFERROR(INDEX(Articles!$D:$D,MATCH(B441,Articles!$B:$B,0)),""))</f>
        <v/>
      </c>
      <c r="E441" s="9" t="str">
        <f>IF(OR(C441="",D441=""),"",C441*D441)</f>
        <v/>
      </c>
      <c r="F441" s="4"/>
      <c r="G441" s="4"/>
      <c r="H441" s="4"/>
    </row>
    <row r="442">
      <c r="A442" s="7"/>
      <c r="B442" s="4"/>
      <c r="C442" s="6"/>
      <c r="D442" s="5" t="str">
        <f>IF(B442="","",IFERROR(INDEX(Articles!$D:$D,MATCH(B442,Articles!$B:$B,0)),""))</f>
        <v/>
      </c>
      <c r="E442" s="9" t="str">
        <f>IF(OR(C442="",D442=""),"",C442*D442)</f>
        <v/>
      </c>
      <c r="F442" s="4"/>
      <c r="G442" s="4"/>
      <c r="H442" s="4"/>
    </row>
    <row r="443">
      <c r="A443" s="7"/>
      <c r="B443" s="4"/>
      <c r="C443" s="6"/>
      <c r="D443" s="5" t="str">
        <f>IF(B443="","",IFERROR(INDEX(Articles!$D:$D,MATCH(B443,Articles!$B:$B,0)),""))</f>
        <v/>
      </c>
      <c r="E443" s="9" t="str">
        <f>IF(OR(C443="",D443=""),"",C443*D443)</f>
        <v/>
      </c>
      <c r="F443" s="4"/>
      <c r="G443" s="4"/>
      <c r="H443" s="4"/>
    </row>
    <row r="444">
      <c r="A444" s="7"/>
      <c r="B444" s="4"/>
      <c r="C444" s="6"/>
      <c r="D444" s="5" t="str">
        <f>IF(B444="","",IFERROR(INDEX(Articles!$D:$D,MATCH(B444,Articles!$B:$B,0)),""))</f>
        <v/>
      </c>
      <c r="E444" s="9" t="str">
        <f>IF(OR(C444="",D444=""),"",C444*D444)</f>
        <v/>
      </c>
      <c r="F444" s="4"/>
      <c r="G444" s="4"/>
      <c r="H444" s="4"/>
    </row>
    <row r="445">
      <c r="A445" s="7"/>
      <c r="B445" s="4"/>
      <c r="C445" s="6"/>
      <c r="D445" s="5" t="str">
        <f>IF(B445="","",IFERROR(INDEX(Articles!$D:$D,MATCH(B445,Articles!$B:$B,0)),""))</f>
        <v/>
      </c>
      <c r="E445" s="9" t="str">
        <f>IF(OR(C445="",D445=""),"",C445*D445)</f>
        <v/>
      </c>
      <c r="F445" s="4"/>
      <c r="G445" s="4"/>
      <c r="H445" s="4"/>
    </row>
    <row r="446">
      <c r="A446" s="7"/>
      <c r="B446" s="4"/>
      <c r="C446" s="6"/>
      <c r="D446" s="5" t="str">
        <f>IF(B446="","",IFERROR(INDEX(Articles!$D:$D,MATCH(B446,Articles!$B:$B,0)),""))</f>
        <v/>
      </c>
      <c r="E446" s="9" t="str">
        <f>IF(OR(C446="",D446=""),"",C446*D446)</f>
        <v/>
      </c>
      <c r="F446" s="4"/>
      <c r="G446" s="4"/>
      <c r="H446" s="4"/>
    </row>
    <row r="447">
      <c r="A447" s="7"/>
      <c r="B447" s="4"/>
      <c r="C447" s="6"/>
      <c r="D447" s="5" t="str">
        <f>IF(B447="","",IFERROR(INDEX(Articles!$D:$D,MATCH(B447,Articles!$B:$B,0)),""))</f>
        <v/>
      </c>
      <c r="E447" s="9" t="str">
        <f>IF(OR(C447="",D447=""),"",C447*D447)</f>
        <v/>
      </c>
      <c r="F447" s="4"/>
      <c r="G447" s="4"/>
      <c r="H447" s="4"/>
    </row>
    <row r="448">
      <c r="A448" s="7"/>
      <c r="B448" s="4"/>
      <c r="C448" s="6"/>
      <c r="D448" s="5" t="str">
        <f>IF(B448="","",IFERROR(INDEX(Articles!$D:$D,MATCH(B448,Articles!$B:$B,0)),""))</f>
        <v/>
      </c>
      <c r="E448" s="9" t="str">
        <f>IF(OR(C448="",D448=""),"",C448*D448)</f>
        <v/>
      </c>
      <c r="F448" s="4"/>
      <c r="G448" s="4"/>
      <c r="H448" s="4"/>
    </row>
    <row r="449">
      <c r="A449" s="7"/>
      <c r="B449" s="4"/>
      <c r="C449" s="6"/>
      <c r="D449" s="5" t="str">
        <f>IF(B449="","",IFERROR(INDEX(Articles!$D:$D,MATCH(B449,Articles!$B:$B,0)),""))</f>
        <v/>
      </c>
      <c r="E449" s="9" t="str">
        <f>IF(OR(C449="",D449=""),"",C449*D449)</f>
        <v/>
      </c>
      <c r="F449" s="4"/>
      <c r="G449" s="4"/>
      <c r="H449" s="4"/>
    </row>
    <row r="450">
      <c r="A450" s="7"/>
      <c r="B450" s="4"/>
      <c r="C450" s="6"/>
      <c r="D450" s="5" t="str">
        <f>IF(B450="","",IFERROR(INDEX(Articles!$D:$D,MATCH(B450,Articles!$B:$B,0)),""))</f>
        <v/>
      </c>
      <c r="E450" s="9" t="str">
        <f>IF(OR(C450="",D450=""),"",C450*D450)</f>
        <v/>
      </c>
      <c r="F450" s="4"/>
      <c r="G450" s="4"/>
      <c r="H450" s="4"/>
    </row>
    <row r="451">
      <c r="A451" s="7"/>
      <c r="B451" s="4"/>
      <c r="C451" s="6"/>
      <c r="D451" s="5" t="str">
        <f>IF(B451="","",IFERROR(INDEX(Articles!$D:$D,MATCH(B451,Articles!$B:$B,0)),""))</f>
        <v/>
      </c>
      <c r="E451" s="9" t="str">
        <f>IF(OR(C451="",D451=""),"",C451*D451)</f>
        <v/>
      </c>
      <c r="F451" s="4"/>
      <c r="G451" s="4"/>
      <c r="H451" s="4"/>
    </row>
    <row r="452">
      <c r="A452" s="7"/>
      <c r="B452" s="4"/>
      <c r="C452" s="6"/>
      <c r="D452" s="5" t="str">
        <f>IF(B452="","",IFERROR(INDEX(Articles!$D:$D,MATCH(B452,Articles!$B:$B,0)),""))</f>
        <v/>
      </c>
      <c r="E452" s="9" t="str">
        <f>IF(OR(C452="",D452=""),"",C452*D452)</f>
        <v/>
      </c>
      <c r="F452" s="4"/>
      <c r="G452" s="4"/>
      <c r="H452" s="4"/>
    </row>
    <row r="453">
      <c r="A453" s="7"/>
      <c r="B453" s="4"/>
      <c r="C453" s="6"/>
      <c r="D453" s="5" t="str">
        <f>IF(B453="","",IFERROR(INDEX(Articles!$D:$D,MATCH(B453,Articles!$B:$B,0)),""))</f>
        <v/>
      </c>
      <c r="E453" s="9" t="str">
        <f>IF(OR(C453="",D453=""),"",C453*D453)</f>
        <v/>
      </c>
      <c r="F453" s="4"/>
      <c r="G453" s="4"/>
      <c r="H453" s="4"/>
    </row>
    <row r="454">
      <c r="A454" s="7"/>
      <c r="B454" s="4"/>
      <c r="C454" s="6"/>
      <c r="D454" s="5" t="str">
        <f>IF(B454="","",IFERROR(INDEX(Articles!$D:$D,MATCH(B454,Articles!$B:$B,0)),""))</f>
        <v/>
      </c>
      <c r="E454" s="9" t="str">
        <f>IF(OR(C454="",D454=""),"",C454*D454)</f>
        <v/>
      </c>
      <c r="F454" s="4"/>
      <c r="G454" s="4"/>
      <c r="H454" s="4"/>
    </row>
    <row r="455">
      <c r="A455" s="7"/>
      <c r="B455" s="4"/>
      <c r="C455" s="6"/>
      <c r="D455" s="5" t="str">
        <f>IF(B455="","",IFERROR(INDEX(Articles!$D:$D,MATCH(B455,Articles!$B:$B,0)),""))</f>
        <v/>
      </c>
      <c r="E455" s="9" t="str">
        <f>IF(OR(C455="",D455=""),"",C455*D455)</f>
        <v/>
      </c>
      <c r="F455" s="4"/>
      <c r="G455" s="4"/>
      <c r="H455" s="4"/>
    </row>
    <row r="456">
      <c r="A456" s="7"/>
      <c r="B456" s="4"/>
      <c r="C456" s="6"/>
      <c r="D456" s="5" t="str">
        <f>IF(B456="","",IFERROR(INDEX(Articles!$D:$D,MATCH(B456,Articles!$B:$B,0)),""))</f>
        <v/>
      </c>
      <c r="E456" s="9" t="str">
        <f>IF(OR(C456="",D456=""),"",C456*D456)</f>
        <v/>
      </c>
      <c r="F456" s="4"/>
      <c r="G456" s="4"/>
      <c r="H456" s="4"/>
    </row>
    <row r="457">
      <c r="A457" s="7"/>
      <c r="B457" s="4"/>
      <c r="C457" s="6"/>
      <c r="D457" s="5" t="str">
        <f>IF(B457="","",IFERROR(INDEX(Articles!$D:$D,MATCH(B457,Articles!$B:$B,0)),""))</f>
        <v/>
      </c>
      <c r="E457" s="9" t="str">
        <f>IF(OR(C457="",D457=""),"",C457*D457)</f>
        <v/>
      </c>
      <c r="F457" s="4"/>
      <c r="G457" s="4"/>
      <c r="H457" s="4"/>
    </row>
    <row r="458">
      <c r="A458" s="7"/>
      <c r="B458" s="4"/>
      <c r="C458" s="6"/>
      <c r="D458" s="5" t="str">
        <f>IF(B458="","",IFERROR(INDEX(Articles!$D:$D,MATCH(B458,Articles!$B:$B,0)),""))</f>
        <v/>
      </c>
      <c r="E458" s="9" t="str">
        <f>IF(OR(C458="",D458=""),"",C458*D458)</f>
        <v/>
      </c>
      <c r="F458" s="4"/>
      <c r="G458" s="4"/>
      <c r="H458" s="4"/>
    </row>
    <row r="459">
      <c r="A459" s="7"/>
      <c r="B459" s="4"/>
      <c r="C459" s="6"/>
      <c r="D459" s="5" t="str">
        <f>IF(B459="","",IFERROR(INDEX(Articles!$D:$D,MATCH(B459,Articles!$B:$B,0)),""))</f>
        <v/>
      </c>
      <c r="E459" s="9" t="str">
        <f>IF(OR(C459="",D459=""),"",C459*D459)</f>
        <v/>
      </c>
      <c r="F459" s="4"/>
      <c r="G459" s="4"/>
      <c r="H459" s="4"/>
    </row>
    <row r="460">
      <c r="A460" s="7"/>
      <c r="B460" s="4"/>
      <c r="C460" s="6"/>
      <c r="D460" s="5" t="str">
        <f>IF(B460="","",IFERROR(INDEX(Articles!$D:$D,MATCH(B460,Articles!$B:$B,0)),""))</f>
        <v/>
      </c>
      <c r="E460" s="9" t="str">
        <f>IF(OR(C460="",D460=""),"",C460*D460)</f>
        <v/>
      </c>
      <c r="F460" s="4"/>
      <c r="G460" s="4"/>
      <c r="H460" s="4"/>
    </row>
    <row r="461">
      <c r="A461" s="7"/>
      <c r="B461" s="4"/>
      <c r="C461" s="6"/>
      <c r="D461" s="5" t="str">
        <f>IF(B461="","",IFERROR(INDEX(Articles!$D:$D,MATCH(B461,Articles!$B:$B,0)),""))</f>
        <v/>
      </c>
      <c r="E461" s="9" t="str">
        <f>IF(OR(C461="",D461=""),"",C461*D461)</f>
        <v/>
      </c>
      <c r="F461" s="4"/>
      <c r="G461" s="4"/>
      <c r="H461" s="4"/>
    </row>
    <row r="462">
      <c r="A462" s="7"/>
      <c r="B462" s="4"/>
      <c r="C462" s="6"/>
      <c r="D462" s="5" t="str">
        <f>IF(B462="","",IFERROR(INDEX(Articles!$D:$D,MATCH(B462,Articles!$B:$B,0)),""))</f>
        <v/>
      </c>
      <c r="E462" s="9" t="str">
        <f>IF(OR(C462="",D462=""),"",C462*D462)</f>
        <v/>
      </c>
      <c r="F462" s="4"/>
      <c r="G462" s="4"/>
      <c r="H462" s="4"/>
    </row>
    <row r="463">
      <c r="A463" s="7"/>
      <c r="B463" s="4"/>
      <c r="C463" s="6"/>
      <c r="D463" s="5" t="str">
        <f>IF(B463="","",IFERROR(INDEX(Articles!$D:$D,MATCH(B463,Articles!$B:$B,0)),""))</f>
        <v/>
      </c>
      <c r="E463" s="9" t="str">
        <f>IF(OR(C463="",D463=""),"",C463*D463)</f>
        <v/>
      </c>
      <c r="F463" s="4"/>
      <c r="G463" s="4"/>
      <c r="H463" s="4"/>
    </row>
    <row r="464">
      <c r="A464" s="7"/>
      <c r="B464" s="4"/>
      <c r="C464" s="6"/>
      <c r="D464" s="5" t="str">
        <f>IF(B464="","",IFERROR(INDEX(Articles!$D:$D,MATCH(B464,Articles!$B:$B,0)),""))</f>
        <v/>
      </c>
      <c r="E464" s="9" t="str">
        <f>IF(OR(C464="",D464=""),"",C464*D464)</f>
        <v/>
      </c>
      <c r="F464" s="4"/>
      <c r="G464" s="4"/>
      <c r="H464" s="4"/>
    </row>
    <row r="465">
      <c r="A465" s="7"/>
      <c r="B465" s="4"/>
      <c r="C465" s="6"/>
      <c r="D465" s="5" t="str">
        <f>IF(B465="","",IFERROR(INDEX(Articles!$D:$D,MATCH(B465,Articles!$B:$B,0)),""))</f>
        <v/>
      </c>
      <c r="E465" s="9" t="str">
        <f>IF(OR(C465="",D465=""),"",C465*D465)</f>
        <v/>
      </c>
      <c r="F465" s="4"/>
      <c r="G465" s="4"/>
      <c r="H465" s="4"/>
    </row>
    <row r="466">
      <c r="A466" s="7"/>
      <c r="B466" s="4"/>
      <c r="C466" s="6"/>
      <c r="D466" s="5" t="str">
        <f>IF(B466="","",IFERROR(INDEX(Articles!$D:$D,MATCH(B466,Articles!$B:$B,0)),""))</f>
        <v/>
      </c>
      <c r="E466" s="9" t="str">
        <f>IF(OR(C466="",D466=""),"",C466*D466)</f>
        <v/>
      </c>
      <c r="F466" s="4"/>
      <c r="G466" s="4"/>
      <c r="H466" s="4"/>
    </row>
    <row r="467">
      <c r="A467" s="7"/>
      <c r="B467" s="4"/>
      <c r="C467" s="6"/>
      <c r="D467" s="5" t="str">
        <f>IF(B467="","",IFERROR(INDEX(Articles!$D:$D,MATCH(B467,Articles!$B:$B,0)),""))</f>
        <v/>
      </c>
      <c r="E467" s="9" t="str">
        <f>IF(OR(C467="",D467=""),"",C467*D467)</f>
        <v/>
      </c>
      <c r="F467" s="4"/>
      <c r="G467" s="4"/>
      <c r="H467" s="4"/>
    </row>
    <row r="468">
      <c r="A468" s="7"/>
      <c r="B468" s="4"/>
      <c r="C468" s="6"/>
      <c r="D468" s="5" t="str">
        <f>IF(B468="","",IFERROR(INDEX(Articles!$D:$D,MATCH(B468,Articles!$B:$B,0)),""))</f>
        <v/>
      </c>
      <c r="E468" s="9" t="str">
        <f>IF(OR(C468="",D468=""),"",C468*D468)</f>
        <v/>
      </c>
      <c r="F468" s="4"/>
      <c r="G468" s="4"/>
      <c r="H468" s="4"/>
    </row>
    <row r="469">
      <c r="A469" s="7"/>
      <c r="B469" s="4"/>
      <c r="C469" s="6"/>
      <c r="D469" s="5" t="str">
        <f>IF(B469="","",IFERROR(INDEX(Articles!$D:$D,MATCH(B469,Articles!$B:$B,0)),""))</f>
        <v/>
      </c>
      <c r="E469" s="9" t="str">
        <f>IF(OR(C469="",D469=""),"",C469*D469)</f>
        <v/>
      </c>
      <c r="F469" s="4"/>
      <c r="G469" s="4"/>
      <c r="H469" s="4"/>
    </row>
    <row r="470">
      <c r="A470" s="7"/>
      <c r="B470" s="4"/>
      <c r="C470" s="6"/>
      <c r="D470" s="5" t="str">
        <f>IF(B470="","",IFERROR(INDEX(Articles!$D:$D,MATCH(B470,Articles!$B:$B,0)),""))</f>
        <v/>
      </c>
      <c r="E470" s="9" t="str">
        <f>IF(OR(C470="",D470=""),"",C470*D470)</f>
        <v/>
      </c>
      <c r="F470" s="4"/>
      <c r="G470" s="4"/>
      <c r="H470" s="4"/>
    </row>
    <row r="471">
      <c r="A471" s="7"/>
      <c r="B471" s="4"/>
      <c r="C471" s="6"/>
      <c r="D471" s="5" t="str">
        <f>IF(B471="","",IFERROR(INDEX(Articles!$D:$D,MATCH(B471,Articles!$B:$B,0)),""))</f>
        <v/>
      </c>
      <c r="E471" s="9" t="str">
        <f>IF(OR(C471="",D471=""),"",C471*D471)</f>
        <v/>
      </c>
      <c r="F471" s="4"/>
      <c r="G471" s="4"/>
      <c r="H471" s="4"/>
    </row>
    <row r="472">
      <c r="A472" s="7"/>
      <c r="B472" s="4"/>
      <c r="C472" s="6"/>
      <c r="D472" s="5" t="str">
        <f>IF(B472="","",IFERROR(INDEX(Articles!$D:$D,MATCH(B472,Articles!$B:$B,0)),""))</f>
        <v/>
      </c>
      <c r="E472" s="9" t="str">
        <f>IF(OR(C472="",D472=""),"",C472*D472)</f>
        <v/>
      </c>
      <c r="F472" s="4"/>
      <c r="G472" s="4"/>
      <c r="H472" s="4"/>
    </row>
    <row r="473">
      <c r="A473" s="7"/>
      <c r="B473" s="4"/>
      <c r="C473" s="6"/>
      <c r="D473" s="5" t="str">
        <f>IF(B473="","",IFERROR(INDEX(Articles!$D:$D,MATCH(B473,Articles!$B:$B,0)),""))</f>
        <v/>
      </c>
      <c r="E473" s="9" t="str">
        <f>IF(OR(C473="",D473=""),"",C473*D473)</f>
        <v/>
      </c>
      <c r="F473" s="4"/>
      <c r="G473" s="4"/>
      <c r="H473" s="4"/>
    </row>
    <row r="474">
      <c r="A474" s="7"/>
      <c r="B474" s="4"/>
      <c r="C474" s="6"/>
      <c r="D474" s="5" t="str">
        <f>IF(B474="","",IFERROR(INDEX(Articles!$D:$D,MATCH(B474,Articles!$B:$B,0)),""))</f>
        <v/>
      </c>
      <c r="E474" s="9" t="str">
        <f>IF(OR(C474="",D474=""),"",C474*D474)</f>
        <v/>
      </c>
      <c r="F474" s="4"/>
      <c r="G474" s="4"/>
      <c r="H474" s="4"/>
    </row>
    <row r="475">
      <c r="A475" s="7"/>
      <c r="B475" s="4"/>
      <c r="C475" s="6"/>
      <c r="D475" s="5" t="str">
        <f>IF(B475="","",IFERROR(INDEX(Articles!$D:$D,MATCH(B475,Articles!$B:$B,0)),""))</f>
        <v/>
      </c>
      <c r="E475" s="9" t="str">
        <f>IF(OR(C475="",D475=""),"",C475*D475)</f>
        <v/>
      </c>
      <c r="F475" s="4"/>
      <c r="G475" s="4"/>
      <c r="H475" s="4"/>
    </row>
    <row r="476">
      <c r="A476" s="7"/>
      <c r="B476" s="4"/>
      <c r="C476" s="6"/>
      <c r="D476" s="5" t="str">
        <f>IF(B476="","",IFERROR(INDEX(Articles!$D:$D,MATCH(B476,Articles!$B:$B,0)),""))</f>
        <v/>
      </c>
      <c r="E476" s="9" t="str">
        <f>IF(OR(C476="",D476=""),"",C476*D476)</f>
        <v/>
      </c>
      <c r="F476" s="4"/>
      <c r="G476" s="4"/>
      <c r="H476" s="4"/>
    </row>
    <row r="477">
      <c r="A477" s="7"/>
      <c r="B477" s="4"/>
      <c r="C477" s="6"/>
      <c r="D477" s="5" t="str">
        <f>IF(B477="","",IFERROR(INDEX(Articles!$D:$D,MATCH(B477,Articles!$B:$B,0)),""))</f>
        <v/>
      </c>
      <c r="E477" s="9" t="str">
        <f>IF(OR(C477="",D477=""),"",C477*D477)</f>
        <v/>
      </c>
      <c r="F477" s="4"/>
      <c r="G477" s="4"/>
      <c r="H477" s="4"/>
    </row>
    <row r="478">
      <c r="A478" s="7"/>
      <c r="B478" s="4"/>
      <c r="C478" s="6"/>
      <c r="D478" s="5" t="str">
        <f>IF(B478="","",IFERROR(INDEX(Articles!$D:$D,MATCH(B478,Articles!$B:$B,0)),""))</f>
        <v/>
      </c>
      <c r="E478" s="9" t="str">
        <f>IF(OR(C478="",D478=""),"",C478*D478)</f>
        <v/>
      </c>
      <c r="F478" s="4"/>
      <c r="G478" s="4"/>
      <c r="H478" s="4"/>
    </row>
    <row r="479">
      <c r="A479" s="7"/>
      <c r="B479" s="4"/>
      <c r="C479" s="6"/>
      <c r="D479" s="5" t="str">
        <f>IF(B479="","",IFERROR(INDEX(Articles!$D:$D,MATCH(B479,Articles!$B:$B,0)),""))</f>
        <v/>
      </c>
      <c r="E479" s="9" t="str">
        <f>IF(OR(C479="",D479=""),"",C479*D479)</f>
        <v/>
      </c>
      <c r="F479" s="4"/>
      <c r="G479" s="4"/>
      <c r="H479" s="4"/>
    </row>
    <row r="480">
      <c r="A480" s="7"/>
      <c r="B480" s="4"/>
      <c r="C480" s="6"/>
      <c r="D480" s="5" t="str">
        <f>IF(B480="","",IFERROR(INDEX(Articles!$D:$D,MATCH(B480,Articles!$B:$B,0)),""))</f>
        <v/>
      </c>
      <c r="E480" s="9" t="str">
        <f>IF(OR(C480="",D480=""),"",C480*D480)</f>
        <v/>
      </c>
      <c r="F480" s="4"/>
      <c r="G480" s="4"/>
      <c r="H480" s="4"/>
    </row>
    <row r="481">
      <c r="A481" s="7"/>
      <c r="B481" s="4"/>
      <c r="C481" s="6"/>
      <c r="D481" s="5" t="str">
        <f>IF(B481="","",IFERROR(INDEX(Articles!$D:$D,MATCH(B481,Articles!$B:$B,0)),""))</f>
        <v/>
      </c>
      <c r="E481" s="9" t="str">
        <f>IF(OR(C481="",D481=""),"",C481*D481)</f>
        <v/>
      </c>
      <c r="F481" s="4"/>
      <c r="G481" s="4"/>
      <c r="H481" s="4"/>
    </row>
    <row r="482">
      <c r="A482" s="7"/>
      <c r="B482" s="4"/>
      <c r="C482" s="6"/>
      <c r="D482" s="5" t="str">
        <f>IF(B482="","",IFERROR(INDEX(Articles!$D:$D,MATCH(B482,Articles!$B:$B,0)),""))</f>
        <v/>
      </c>
      <c r="E482" s="9" t="str">
        <f>IF(OR(C482="",D482=""),"",C482*D482)</f>
        <v/>
      </c>
      <c r="F482" s="4"/>
      <c r="G482" s="4"/>
      <c r="H482" s="4"/>
    </row>
    <row r="483">
      <c r="A483" s="7"/>
      <c r="B483" s="4"/>
      <c r="C483" s="6"/>
      <c r="D483" s="5" t="str">
        <f>IF(B483="","",IFERROR(INDEX(Articles!$D:$D,MATCH(B483,Articles!$B:$B,0)),""))</f>
        <v/>
      </c>
      <c r="E483" s="9" t="str">
        <f>IF(OR(C483="",D483=""),"",C483*D483)</f>
        <v/>
      </c>
      <c r="F483" s="4"/>
      <c r="G483" s="4"/>
      <c r="H483" s="4"/>
    </row>
    <row r="484">
      <c r="A484" s="7"/>
      <c r="B484" s="4"/>
      <c r="C484" s="6"/>
      <c r="D484" s="5" t="str">
        <f>IF(B484="","",IFERROR(INDEX(Articles!$D:$D,MATCH(B484,Articles!$B:$B,0)),""))</f>
        <v/>
      </c>
      <c r="E484" s="9" t="str">
        <f>IF(OR(C484="",D484=""),"",C484*D484)</f>
        <v/>
      </c>
      <c r="F484" s="4"/>
      <c r="G484" s="4"/>
      <c r="H484" s="4"/>
    </row>
    <row r="485">
      <c r="A485" s="7"/>
      <c r="B485" s="4"/>
      <c r="C485" s="6"/>
      <c r="D485" s="5" t="str">
        <f>IF(B485="","",IFERROR(INDEX(Articles!$D:$D,MATCH(B485,Articles!$B:$B,0)),""))</f>
        <v/>
      </c>
      <c r="E485" s="9" t="str">
        <f>IF(OR(C485="",D485=""),"",C485*D485)</f>
        <v/>
      </c>
      <c r="F485" s="4"/>
      <c r="G485" s="4"/>
      <c r="H485" s="4"/>
    </row>
    <row r="486">
      <c r="A486" s="7"/>
      <c r="B486" s="4"/>
      <c r="C486" s="6"/>
      <c r="D486" s="5" t="str">
        <f>IF(B486="","",IFERROR(INDEX(Articles!$D:$D,MATCH(B486,Articles!$B:$B,0)),""))</f>
        <v/>
      </c>
      <c r="E486" s="9" t="str">
        <f>IF(OR(C486="",D486=""),"",C486*D486)</f>
        <v/>
      </c>
      <c r="F486" s="4"/>
      <c r="G486" s="4"/>
      <c r="H486" s="4"/>
    </row>
    <row r="487">
      <c r="A487" s="7"/>
      <c r="B487" s="4"/>
      <c r="C487" s="6"/>
      <c r="D487" s="5" t="str">
        <f>IF(B487="","",IFERROR(INDEX(Articles!$D:$D,MATCH(B487,Articles!$B:$B,0)),""))</f>
        <v/>
      </c>
      <c r="E487" s="9" t="str">
        <f>IF(OR(C487="",D487=""),"",C487*D487)</f>
        <v/>
      </c>
      <c r="F487" s="4"/>
      <c r="G487" s="4"/>
      <c r="H487" s="4"/>
    </row>
    <row r="488">
      <c r="A488" s="7"/>
      <c r="B488" s="4"/>
      <c r="C488" s="6"/>
      <c r="D488" s="5" t="str">
        <f>IF(B488="","",IFERROR(INDEX(Articles!$D:$D,MATCH(B488,Articles!$B:$B,0)),""))</f>
        <v/>
      </c>
      <c r="E488" s="9" t="str">
        <f>IF(OR(C488="",D488=""),"",C488*D488)</f>
        <v/>
      </c>
      <c r="F488" s="4"/>
      <c r="G488" s="4"/>
      <c r="H488" s="4"/>
    </row>
    <row r="489">
      <c r="A489" s="7"/>
      <c r="B489" s="4"/>
      <c r="C489" s="6"/>
      <c r="D489" s="5" t="str">
        <f>IF(B489="","",IFERROR(INDEX(Articles!$D:$D,MATCH(B489,Articles!$B:$B,0)),""))</f>
        <v/>
      </c>
      <c r="E489" s="9" t="str">
        <f>IF(OR(C489="",D489=""),"",C489*D489)</f>
        <v/>
      </c>
      <c r="F489" s="4"/>
      <c r="G489" s="4"/>
      <c r="H489" s="4"/>
    </row>
    <row r="490">
      <c r="A490" s="7"/>
      <c r="B490" s="4"/>
      <c r="C490" s="6"/>
      <c r="D490" s="5" t="str">
        <f>IF(B490="","",IFERROR(INDEX(Articles!$D:$D,MATCH(B490,Articles!$B:$B,0)),""))</f>
        <v/>
      </c>
      <c r="E490" s="9" t="str">
        <f>IF(OR(C490="",D490=""),"",C490*D490)</f>
        <v/>
      </c>
      <c r="F490" s="4"/>
      <c r="G490" s="4"/>
      <c r="H490" s="4"/>
    </row>
    <row r="491">
      <c r="A491" s="7"/>
      <c r="B491" s="4"/>
      <c r="C491" s="6"/>
      <c r="D491" s="5" t="str">
        <f>IF(B491="","",IFERROR(INDEX(Articles!$D:$D,MATCH(B491,Articles!$B:$B,0)),""))</f>
        <v/>
      </c>
      <c r="E491" s="9" t="str">
        <f>IF(OR(C491="",D491=""),"",C491*D491)</f>
        <v/>
      </c>
      <c r="F491" s="4"/>
      <c r="G491" s="4"/>
      <c r="H491" s="4"/>
    </row>
    <row r="492">
      <c r="A492" s="7"/>
      <c r="B492" s="4"/>
      <c r="C492" s="6"/>
      <c r="D492" s="5" t="str">
        <f>IF(B492="","",IFERROR(INDEX(Articles!$D:$D,MATCH(B492,Articles!$B:$B,0)),""))</f>
        <v/>
      </c>
      <c r="E492" s="9" t="str">
        <f>IF(OR(C492="",D492=""),"",C492*D492)</f>
        <v/>
      </c>
      <c r="F492" s="4"/>
      <c r="G492" s="4"/>
      <c r="H492" s="4"/>
    </row>
    <row r="493">
      <c r="A493" s="7"/>
      <c r="B493" s="4"/>
      <c r="C493" s="6"/>
      <c r="D493" s="5" t="str">
        <f>IF(B493="","",IFERROR(INDEX(Articles!$D:$D,MATCH(B493,Articles!$B:$B,0)),""))</f>
        <v/>
      </c>
      <c r="E493" s="9" t="str">
        <f>IF(OR(C493="",D493=""),"",C493*D493)</f>
        <v/>
      </c>
      <c r="F493" s="4"/>
      <c r="G493" s="4"/>
      <c r="H493" s="4"/>
    </row>
    <row r="494">
      <c r="A494" s="7"/>
      <c r="B494" s="4"/>
      <c r="C494" s="6"/>
      <c r="D494" s="5" t="str">
        <f>IF(B494="","",IFERROR(INDEX(Articles!$D:$D,MATCH(B494,Articles!$B:$B,0)),""))</f>
        <v/>
      </c>
      <c r="E494" s="9" t="str">
        <f>IF(OR(C494="",D494=""),"",C494*D494)</f>
        <v/>
      </c>
      <c r="F494" s="4"/>
      <c r="G494" s="4"/>
      <c r="H494" s="4"/>
    </row>
    <row r="495">
      <c r="A495" s="7"/>
      <c r="B495" s="4"/>
      <c r="C495" s="6"/>
      <c r="D495" s="5" t="str">
        <f>IF(B495="","",IFERROR(INDEX(Articles!$D:$D,MATCH(B495,Articles!$B:$B,0)),""))</f>
        <v/>
      </c>
      <c r="E495" s="9" t="str">
        <f>IF(OR(C495="",D495=""),"",C495*D495)</f>
        <v/>
      </c>
      <c r="F495" s="4"/>
      <c r="G495" s="4"/>
      <c r="H495" s="4"/>
    </row>
    <row r="496">
      <c r="A496" s="7"/>
      <c r="B496" s="4"/>
      <c r="C496" s="6"/>
      <c r="D496" s="5" t="str">
        <f>IF(B496="","",IFERROR(INDEX(Articles!$D:$D,MATCH(B496,Articles!$B:$B,0)),""))</f>
        <v/>
      </c>
      <c r="E496" s="9" t="str">
        <f>IF(OR(C496="",D496=""),"",C496*D496)</f>
        <v/>
      </c>
      <c r="F496" s="4"/>
      <c r="G496" s="4"/>
      <c r="H496" s="4"/>
    </row>
    <row r="497">
      <c r="A497" s="7"/>
      <c r="B497" s="4"/>
      <c r="C497" s="6"/>
      <c r="D497" s="5" t="str">
        <f>IF(B497="","",IFERROR(INDEX(Articles!$D:$D,MATCH(B497,Articles!$B:$B,0)),""))</f>
        <v/>
      </c>
      <c r="E497" s="9" t="str">
        <f>IF(OR(C497="",D497=""),"",C497*D497)</f>
        <v/>
      </c>
      <c r="F497" s="4"/>
      <c r="G497" s="4"/>
      <c r="H497" s="4"/>
    </row>
    <row r="498">
      <c r="A498" s="7"/>
      <c r="B498" s="4"/>
      <c r="C498" s="6"/>
      <c r="D498" s="5" t="str">
        <f>IF(B498="","",IFERROR(INDEX(Articles!$D:$D,MATCH(B498,Articles!$B:$B,0)),""))</f>
        <v/>
      </c>
      <c r="E498" s="9" t="str">
        <f>IF(OR(C498="",D498=""),"",C498*D498)</f>
        <v/>
      </c>
      <c r="F498" s="4"/>
      <c r="G498" s="4"/>
      <c r="H498" s="4"/>
    </row>
    <row r="499">
      <c r="A499" s="7"/>
      <c r="B499" s="4"/>
      <c r="C499" s="6"/>
      <c r="D499" s="5" t="str">
        <f>IF(B499="","",IFERROR(INDEX(Articles!$D:$D,MATCH(B499,Articles!$B:$B,0)),""))</f>
        <v/>
      </c>
      <c r="E499" s="9" t="str">
        <f>IF(OR(C499="",D499=""),"",C499*D499)</f>
        <v/>
      </c>
      <c r="F499" s="4"/>
      <c r="G499" s="4"/>
      <c r="H499" s="4"/>
    </row>
    <row r="500">
      <c r="A500" s="7"/>
      <c r="B500" s="4"/>
      <c r="C500" s="6"/>
      <c r="D500" s="5" t="str">
        <f>IF(B500="","",IFERROR(INDEX(Articles!$D:$D,MATCH(B500,Articles!$B:$B,0)),""))</f>
        <v/>
      </c>
      <c r="E500" s="9" t="str">
        <f>IF(OR(C500="",D500=""),"",C500*D500)</f>
        <v/>
      </c>
      <c r="F500" s="4"/>
      <c r="G500" s="4"/>
      <c r="H500" s="4"/>
    </row>
    <row r="501">
      <c r="A501" s="7"/>
      <c r="B501" s="4"/>
      <c r="C501" s="6"/>
      <c r="D501" s="5" t="str">
        <f>IF(B501="","",IFERROR(INDEX(Articles!$D:$D,MATCH(B501,Articles!$B:$B,0)),""))</f>
        <v/>
      </c>
      <c r="E501" s="9" t="str">
        <f>IF(OR(C501="",D501=""),"",C501*D501)</f>
        <v/>
      </c>
      <c r="F501" s="4"/>
      <c r="G501" s="4"/>
      <c r="H501" s="4"/>
    </row>
    <row r="502">
      <c r="A502" s="7"/>
      <c r="B502" s="4"/>
      <c r="C502" s="6"/>
      <c r="D502" s="5" t="str">
        <f>IF(B502="","",IFERROR(INDEX(Articles!$D:$D,MATCH(B502,Articles!$B:$B,0)),""))</f>
        <v/>
      </c>
      <c r="E502" s="9" t="str">
        <f>IF(OR(C502="",D502=""),"",C502*D502)</f>
        <v/>
      </c>
      <c r="F502" s="4"/>
      <c r="G502" s="4"/>
      <c r="H502" s="4"/>
    </row>
    <row r="503">
      <c r="A503" s="7"/>
      <c r="B503" s="4"/>
      <c r="C503" s="6"/>
      <c r="D503" s="5" t="str">
        <f>IF(B503="","",IFERROR(INDEX(Articles!$D:$D,MATCH(B503,Articles!$B:$B,0)),""))</f>
        <v/>
      </c>
      <c r="E503" s="9" t="str">
        <f>IF(OR(C503="",D503=""),"",C503*D503)</f>
        <v/>
      </c>
      <c r="F503" s="4"/>
      <c r="G503" s="4"/>
      <c r="H503" s="4"/>
    </row>
    <row r="504">
      <c r="A504" s="7"/>
      <c r="B504" s="4"/>
      <c r="C504" s="6"/>
      <c r="D504" s="5" t="str">
        <f>IF(B504="","",IFERROR(INDEX(Articles!$D:$D,MATCH(B504,Articles!$B:$B,0)),""))</f>
        <v/>
      </c>
      <c r="E504" s="9" t="str">
        <f>IF(OR(C504="",D504=""),"",C504*D504)</f>
        <v/>
      </c>
      <c r="F504" s="4"/>
      <c r="G504" s="4"/>
      <c r="H504" s="4"/>
    </row>
    <row r="505">
      <c r="A505" s="7"/>
      <c r="B505" s="4"/>
      <c r="C505" s="6"/>
      <c r="D505" s="5" t="str">
        <f>IF(B505="","",IFERROR(INDEX(Articles!$D:$D,MATCH(B505,Articles!$B:$B,0)),""))</f>
        <v/>
      </c>
      <c r="E505" s="9" t="str">
        <f>IF(OR(C505="",D505=""),"",C505*D505)</f>
        <v/>
      </c>
      <c r="F505" s="4"/>
      <c r="G505" s="4"/>
      <c r="H505" s="4"/>
    </row>
    <row r="506">
      <c r="A506" s="7"/>
      <c r="B506" s="4"/>
      <c r="C506" s="6"/>
      <c r="D506" s="5" t="str">
        <f>IF(B506="","",IFERROR(INDEX(Articles!$D:$D,MATCH(B506,Articles!$B:$B,0)),""))</f>
        <v/>
      </c>
      <c r="E506" s="9" t="str">
        <f>IF(OR(C506="",D506=""),"",C506*D506)</f>
        <v/>
      </c>
      <c r="F506" s="4"/>
      <c r="G506" s="4"/>
      <c r="H506" s="4"/>
    </row>
    <row r="507">
      <c r="A507" s="7"/>
      <c r="B507" s="4"/>
      <c r="C507" s="6"/>
      <c r="D507" s="5" t="str">
        <f>IF(B507="","",IFERROR(INDEX(Articles!$D:$D,MATCH(B507,Articles!$B:$B,0)),""))</f>
        <v/>
      </c>
      <c r="E507" s="9" t="str">
        <f>IF(OR(C507="",D507=""),"",C507*D507)</f>
        <v/>
      </c>
      <c r="F507" s="4"/>
      <c r="G507" s="4"/>
      <c r="H507" s="4"/>
    </row>
    <row r="508">
      <c r="A508" s="7"/>
      <c r="B508" s="4"/>
      <c r="C508" s="6"/>
      <c r="D508" s="5" t="str">
        <f>IF(B508="","",IFERROR(INDEX(Articles!$D:$D,MATCH(B508,Articles!$B:$B,0)),""))</f>
        <v/>
      </c>
      <c r="E508" s="9" t="str">
        <f>IF(OR(C508="",D508=""),"",C508*D508)</f>
        <v/>
      </c>
      <c r="F508" s="4"/>
      <c r="G508" s="4"/>
      <c r="H508" s="4"/>
    </row>
    <row r="509">
      <c r="A509" s="7"/>
      <c r="B509" s="4"/>
      <c r="C509" s="6"/>
      <c r="D509" s="5" t="str">
        <f>IF(B509="","",IFERROR(INDEX(Articles!$D:$D,MATCH(B509,Articles!$B:$B,0)),""))</f>
        <v/>
      </c>
      <c r="E509" s="9" t="str">
        <f>IF(OR(C509="",D509=""),"",C509*D509)</f>
        <v/>
      </c>
      <c r="F509" s="4"/>
      <c r="G509" s="4"/>
      <c r="H509" s="4"/>
    </row>
    <row r="510">
      <c r="A510" s="7"/>
      <c r="B510" s="4"/>
      <c r="C510" s="6"/>
      <c r="D510" s="5" t="str">
        <f>IF(B510="","",IFERROR(INDEX(Articles!$D:$D,MATCH(B510,Articles!$B:$B,0)),""))</f>
        <v/>
      </c>
      <c r="E510" s="9" t="str">
        <f>IF(OR(C510="",D510=""),"",C510*D510)</f>
        <v/>
      </c>
      <c r="F510" s="4"/>
      <c r="G510" s="4"/>
      <c r="H510" s="4"/>
    </row>
    <row r="511">
      <c r="A511" s="7"/>
      <c r="B511" s="4"/>
      <c r="C511" s="6"/>
      <c r="D511" s="5" t="str">
        <f>IF(B511="","",IFERROR(INDEX(Articles!$D:$D,MATCH(B511,Articles!$B:$B,0)),""))</f>
        <v/>
      </c>
      <c r="E511" s="9" t="str">
        <f>IF(OR(C511="",D511=""),"",C511*D511)</f>
        <v/>
      </c>
      <c r="F511" s="4"/>
      <c r="G511" s="4"/>
      <c r="H511" s="4"/>
    </row>
    <row r="512">
      <c r="A512" s="7"/>
      <c r="B512" s="4"/>
      <c r="C512" s="6"/>
      <c r="D512" s="5" t="str">
        <f>IF(B512="","",IFERROR(INDEX(Articles!$D:$D,MATCH(B512,Articles!$B:$B,0)),""))</f>
        <v/>
      </c>
      <c r="E512" s="9" t="str">
        <f>IF(OR(C512="",D512=""),"",C512*D512)</f>
        <v/>
      </c>
      <c r="F512" s="4"/>
      <c r="G512" s="4"/>
      <c r="H512" s="4"/>
    </row>
    <row r="513">
      <c r="A513" s="7"/>
      <c r="B513" s="4"/>
      <c r="C513" s="6"/>
      <c r="D513" s="5" t="str">
        <f>IF(B513="","",IFERROR(INDEX(Articles!$D:$D,MATCH(B513,Articles!$B:$B,0)),""))</f>
        <v/>
      </c>
      <c r="E513" s="9" t="str">
        <f>IF(OR(C513="",D513=""),"",C513*D513)</f>
        <v/>
      </c>
      <c r="F513" s="4"/>
      <c r="G513" s="4"/>
      <c r="H513" s="4"/>
    </row>
    <row r="514">
      <c r="A514" s="7"/>
      <c r="B514" s="4"/>
      <c r="C514" s="6"/>
      <c r="D514" s="5" t="str">
        <f>IF(B514="","",IFERROR(INDEX(Articles!$D:$D,MATCH(B514,Articles!$B:$B,0)),""))</f>
        <v/>
      </c>
      <c r="E514" s="9" t="str">
        <f>IF(OR(C514="",D514=""),"",C514*D514)</f>
        <v/>
      </c>
      <c r="F514" s="4"/>
      <c r="G514" s="4"/>
      <c r="H514" s="4"/>
    </row>
    <row r="515">
      <c r="A515" s="7"/>
      <c r="B515" s="4"/>
      <c r="C515" s="6"/>
      <c r="D515" s="5" t="str">
        <f>IF(B515="","",IFERROR(INDEX(Articles!$D:$D,MATCH(B515,Articles!$B:$B,0)),""))</f>
        <v/>
      </c>
      <c r="E515" s="9" t="str">
        <f>IF(OR(C515="",D515=""),"",C515*D515)</f>
        <v/>
      </c>
      <c r="F515" s="4"/>
      <c r="G515" s="4"/>
      <c r="H515" s="4"/>
    </row>
    <row r="516">
      <c r="A516" s="7"/>
      <c r="B516" s="4"/>
      <c r="C516" s="6"/>
      <c r="D516" s="5" t="str">
        <f>IF(B516="","",IFERROR(INDEX(Articles!$D:$D,MATCH(B516,Articles!$B:$B,0)),""))</f>
        <v/>
      </c>
      <c r="E516" s="9" t="str">
        <f>IF(OR(C516="",D516=""),"",C516*D516)</f>
        <v/>
      </c>
      <c r="F516" s="4"/>
      <c r="G516" s="4"/>
      <c r="H516" s="4"/>
    </row>
    <row r="517">
      <c r="A517" s="7"/>
      <c r="B517" s="4"/>
      <c r="C517" s="6"/>
      <c r="D517" s="5" t="str">
        <f>IF(B517="","",IFERROR(INDEX(Articles!$D:$D,MATCH(B517,Articles!$B:$B,0)),""))</f>
        <v/>
      </c>
      <c r="E517" s="9" t="str">
        <f>IF(OR(C517="",D517=""),"",C517*D517)</f>
        <v/>
      </c>
      <c r="F517" s="4"/>
      <c r="G517" s="4"/>
      <c r="H517" s="4"/>
    </row>
    <row r="518">
      <c r="A518" s="7"/>
      <c r="B518" s="4"/>
      <c r="C518" s="6"/>
      <c r="D518" s="5" t="str">
        <f>IF(B518="","",IFERROR(INDEX(Articles!$D:$D,MATCH(B518,Articles!$B:$B,0)),""))</f>
        <v/>
      </c>
      <c r="E518" s="9" t="str">
        <f>IF(OR(C518="",D518=""),"",C518*D518)</f>
        <v/>
      </c>
      <c r="F518" s="4"/>
      <c r="G518" s="4"/>
      <c r="H518" s="4"/>
    </row>
    <row r="519">
      <c r="A519" s="7"/>
      <c r="B519" s="4"/>
      <c r="C519" s="6"/>
      <c r="D519" s="5" t="str">
        <f>IF(B519="","",IFERROR(INDEX(Articles!$D:$D,MATCH(B519,Articles!$B:$B,0)),""))</f>
        <v/>
      </c>
      <c r="E519" s="9" t="str">
        <f>IF(OR(C519="",D519=""),"",C519*D519)</f>
        <v/>
      </c>
      <c r="F519" s="4"/>
      <c r="G519" s="4"/>
      <c r="H519" s="4"/>
    </row>
    <row r="520">
      <c r="A520" s="7"/>
      <c r="B520" s="4"/>
      <c r="C520" s="6"/>
      <c r="D520" s="5" t="str">
        <f>IF(B520="","",IFERROR(INDEX(Articles!$D:$D,MATCH(B520,Articles!$B:$B,0)),""))</f>
        <v/>
      </c>
      <c r="E520" s="9" t="str">
        <f>IF(OR(C520="",D520=""),"",C520*D520)</f>
        <v/>
      </c>
      <c r="F520" s="4"/>
      <c r="G520" s="4"/>
      <c r="H520" s="4"/>
    </row>
    <row r="521">
      <c r="A521" s="7"/>
      <c r="B521" s="4"/>
      <c r="C521" s="6"/>
      <c r="D521" s="5" t="str">
        <f>IF(B521="","",IFERROR(INDEX(Articles!$D:$D,MATCH(B521,Articles!$B:$B,0)),""))</f>
        <v/>
      </c>
      <c r="E521" s="9" t="str">
        <f>IF(OR(C521="",D521=""),"",C521*D521)</f>
        <v/>
      </c>
      <c r="F521" s="4"/>
      <c r="G521" s="4"/>
      <c r="H521" s="4"/>
    </row>
    <row r="522">
      <c r="A522" s="7"/>
      <c r="B522" s="4"/>
      <c r="C522" s="6"/>
      <c r="D522" s="5" t="str">
        <f>IF(B522="","",IFERROR(INDEX(Articles!$D:$D,MATCH(B522,Articles!$B:$B,0)),""))</f>
        <v/>
      </c>
      <c r="E522" s="9" t="str">
        <f>IF(OR(C522="",D522=""),"",C522*D522)</f>
        <v/>
      </c>
      <c r="F522" s="4"/>
      <c r="G522" s="4"/>
      <c r="H522" s="4"/>
    </row>
    <row r="523">
      <c r="A523" s="7"/>
      <c r="B523" s="4"/>
      <c r="C523" s="6"/>
      <c r="D523" s="5" t="str">
        <f>IF(B523="","",IFERROR(INDEX(Articles!$D:$D,MATCH(B523,Articles!$B:$B,0)),""))</f>
        <v/>
      </c>
      <c r="E523" s="9" t="str">
        <f>IF(OR(C523="",D523=""),"",C523*D523)</f>
        <v/>
      </c>
      <c r="F523" s="4"/>
      <c r="G523" s="4"/>
      <c r="H523" s="4"/>
    </row>
    <row r="524">
      <c r="A524" s="7"/>
      <c r="B524" s="4"/>
      <c r="C524" s="6"/>
      <c r="D524" s="5" t="str">
        <f>IF(B524="","",IFERROR(INDEX(Articles!$D:$D,MATCH(B524,Articles!$B:$B,0)),""))</f>
        <v/>
      </c>
      <c r="E524" s="9" t="str">
        <f>IF(OR(C524="",D524=""),"",C524*D524)</f>
        <v/>
      </c>
      <c r="F524" s="4"/>
      <c r="G524" s="4"/>
      <c r="H524" s="4"/>
    </row>
    <row r="525">
      <c r="A525" s="7"/>
      <c r="B525" s="4"/>
      <c r="C525" s="6"/>
      <c r="D525" s="5" t="str">
        <f>IF(B525="","",IFERROR(INDEX(Articles!$D:$D,MATCH(B525,Articles!$B:$B,0)),""))</f>
        <v/>
      </c>
      <c r="E525" s="9" t="str">
        <f>IF(OR(C525="",D525=""),"",C525*D525)</f>
        <v/>
      </c>
      <c r="F525" s="4"/>
      <c r="G525" s="4"/>
      <c r="H525" s="4"/>
    </row>
    <row r="526">
      <c r="A526" s="7"/>
      <c r="B526" s="4"/>
      <c r="C526" s="6"/>
      <c r="D526" s="5" t="str">
        <f>IF(B526="","",IFERROR(INDEX(Articles!$D:$D,MATCH(B526,Articles!$B:$B,0)),""))</f>
        <v/>
      </c>
      <c r="E526" s="9" t="str">
        <f>IF(OR(C526="",D526=""),"",C526*D526)</f>
        <v/>
      </c>
      <c r="F526" s="4"/>
      <c r="G526" s="4"/>
      <c r="H526" s="4"/>
    </row>
    <row r="527">
      <c r="A527" s="7"/>
      <c r="B527" s="4"/>
      <c r="C527" s="6"/>
      <c r="D527" s="5" t="str">
        <f>IF(B527="","",IFERROR(INDEX(Articles!$D:$D,MATCH(B527,Articles!$B:$B,0)),""))</f>
        <v/>
      </c>
      <c r="E527" s="9" t="str">
        <f>IF(OR(C527="",D527=""),"",C527*D527)</f>
        <v/>
      </c>
      <c r="F527" s="4"/>
      <c r="G527" s="4"/>
      <c r="H527" s="4"/>
    </row>
    <row r="528">
      <c r="A528" s="7"/>
      <c r="B528" s="4"/>
      <c r="C528" s="6"/>
      <c r="D528" s="5" t="str">
        <f>IF(B528="","",IFERROR(INDEX(Articles!$D:$D,MATCH(B528,Articles!$B:$B,0)),""))</f>
        <v/>
      </c>
      <c r="E528" s="9" t="str">
        <f>IF(OR(C528="",D528=""),"",C528*D528)</f>
        <v/>
      </c>
      <c r="F528" s="4"/>
      <c r="G528" s="4"/>
      <c r="H528" s="4"/>
    </row>
    <row r="529">
      <c r="A529" s="7"/>
      <c r="B529" s="4"/>
      <c r="C529" s="6"/>
      <c r="D529" s="5" t="str">
        <f>IF(B529="","",IFERROR(INDEX(Articles!$D:$D,MATCH(B529,Articles!$B:$B,0)),""))</f>
        <v/>
      </c>
      <c r="E529" s="9" t="str">
        <f>IF(OR(C529="",D529=""),"",C529*D529)</f>
        <v/>
      </c>
      <c r="F529" s="4"/>
      <c r="G529" s="4"/>
      <c r="H529" s="4"/>
    </row>
    <row r="530">
      <c r="A530" s="7"/>
      <c r="B530" s="4"/>
      <c r="C530" s="6"/>
      <c r="D530" s="5" t="str">
        <f>IF(B530="","",IFERROR(INDEX(Articles!$D:$D,MATCH(B530,Articles!$B:$B,0)),""))</f>
        <v/>
      </c>
      <c r="E530" s="9" t="str">
        <f>IF(OR(C530="",D530=""),"",C530*D530)</f>
        <v/>
      </c>
      <c r="F530" s="4"/>
      <c r="G530" s="4"/>
      <c r="H530" s="4"/>
    </row>
    <row r="531">
      <c r="A531" s="7"/>
      <c r="B531" s="4"/>
      <c r="C531" s="6"/>
      <c r="D531" s="5" t="str">
        <f>IF(B531="","",IFERROR(INDEX(Articles!$D:$D,MATCH(B531,Articles!$B:$B,0)),""))</f>
        <v/>
      </c>
      <c r="E531" s="9" t="str">
        <f>IF(OR(C531="",D531=""),"",C531*D531)</f>
        <v/>
      </c>
      <c r="F531" s="4"/>
      <c r="G531" s="4"/>
      <c r="H531" s="4"/>
    </row>
    <row r="532">
      <c r="A532" s="7"/>
      <c r="B532" s="4"/>
      <c r="C532" s="6"/>
      <c r="D532" s="5" t="str">
        <f>IF(B532="","",IFERROR(INDEX(Articles!$D:$D,MATCH(B532,Articles!$B:$B,0)),""))</f>
        <v/>
      </c>
      <c r="E532" s="9" t="str">
        <f>IF(OR(C532="",D532=""),"",C532*D532)</f>
        <v/>
      </c>
      <c r="F532" s="4"/>
      <c r="G532" s="4"/>
      <c r="H532" s="4"/>
    </row>
    <row r="533">
      <c r="A533" s="7"/>
      <c r="B533" s="4"/>
      <c r="C533" s="6"/>
      <c r="D533" s="5" t="str">
        <f>IF(B533="","",IFERROR(INDEX(Articles!$D:$D,MATCH(B533,Articles!$B:$B,0)),""))</f>
        <v/>
      </c>
      <c r="E533" s="9" t="str">
        <f>IF(OR(C533="",D533=""),"",C533*D533)</f>
        <v/>
      </c>
      <c r="F533" s="4"/>
      <c r="G533" s="4"/>
      <c r="H533" s="4"/>
    </row>
    <row r="534">
      <c r="A534" s="7"/>
      <c r="B534" s="4"/>
      <c r="C534" s="6"/>
      <c r="D534" s="5" t="str">
        <f>IF(B534="","",IFERROR(INDEX(Articles!$D:$D,MATCH(B534,Articles!$B:$B,0)),""))</f>
        <v/>
      </c>
      <c r="E534" s="9" t="str">
        <f>IF(OR(C534="",D534=""),"",C534*D534)</f>
        <v/>
      </c>
      <c r="F534" s="4"/>
      <c r="G534" s="4"/>
      <c r="H534" s="4"/>
    </row>
    <row r="535">
      <c r="A535" s="7"/>
      <c r="B535" s="4"/>
      <c r="C535" s="6"/>
      <c r="D535" s="5" t="str">
        <f>IF(B535="","",IFERROR(INDEX(Articles!$D:$D,MATCH(B535,Articles!$B:$B,0)),""))</f>
        <v/>
      </c>
      <c r="E535" s="9" t="str">
        <f>IF(OR(C535="",D535=""),"",C535*D535)</f>
        <v/>
      </c>
      <c r="F535" s="4"/>
      <c r="G535" s="4"/>
      <c r="H535" s="4"/>
    </row>
    <row r="536">
      <c r="A536" s="7"/>
      <c r="B536" s="4"/>
      <c r="C536" s="6"/>
      <c r="D536" s="5" t="str">
        <f>IF(B536="","",IFERROR(INDEX(Articles!$D:$D,MATCH(B536,Articles!$B:$B,0)),""))</f>
        <v/>
      </c>
      <c r="E536" s="9" t="str">
        <f>IF(OR(C536="",D536=""),"",C536*D536)</f>
        <v/>
      </c>
      <c r="F536" s="4"/>
      <c r="G536" s="4"/>
      <c r="H536" s="4"/>
    </row>
    <row r="537">
      <c r="A537" s="7"/>
      <c r="B537" s="4"/>
      <c r="C537" s="6"/>
      <c r="D537" s="5" t="str">
        <f>IF(B537="","",IFERROR(INDEX(Articles!$D:$D,MATCH(B537,Articles!$B:$B,0)),""))</f>
        <v/>
      </c>
      <c r="E537" s="9" t="str">
        <f>IF(OR(C537="",D537=""),"",C537*D537)</f>
        <v/>
      </c>
      <c r="F537" s="4"/>
      <c r="G537" s="4"/>
      <c r="H537" s="4"/>
    </row>
    <row r="538">
      <c r="A538" s="7"/>
      <c r="B538" s="4"/>
      <c r="C538" s="6"/>
      <c r="D538" s="5" t="str">
        <f>IF(B538="","",IFERROR(INDEX(Articles!$D:$D,MATCH(B538,Articles!$B:$B,0)),""))</f>
        <v/>
      </c>
      <c r="E538" s="9" t="str">
        <f>IF(OR(C538="",D538=""),"",C538*D538)</f>
        <v/>
      </c>
      <c r="F538" s="4"/>
      <c r="G538" s="4"/>
      <c r="H538" s="4"/>
    </row>
    <row r="539">
      <c r="A539" s="7"/>
      <c r="B539" s="4"/>
      <c r="C539" s="6"/>
      <c r="D539" s="5" t="str">
        <f>IF(B539="","",IFERROR(INDEX(Articles!$D:$D,MATCH(B539,Articles!$B:$B,0)),""))</f>
        <v/>
      </c>
      <c r="E539" s="9" t="str">
        <f>IF(OR(C539="",D539=""),"",C539*D539)</f>
        <v/>
      </c>
      <c r="F539" s="4"/>
      <c r="G539" s="4"/>
      <c r="H539" s="4"/>
    </row>
    <row r="540">
      <c r="A540" s="7"/>
      <c r="B540" s="4"/>
      <c r="C540" s="6"/>
      <c r="D540" s="5" t="str">
        <f>IF(B540="","",IFERROR(INDEX(Articles!$D:$D,MATCH(B540,Articles!$B:$B,0)),""))</f>
        <v/>
      </c>
      <c r="E540" s="9" t="str">
        <f>IF(OR(C540="",D540=""),"",C540*D540)</f>
        <v/>
      </c>
      <c r="F540" s="4"/>
      <c r="G540" s="4"/>
      <c r="H540" s="4"/>
    </row>
    <row r="541">
      <c r="A541" s="7"/>
      <c r="B541" s="4"/>
      <c r="C541" s="6"/>
      <c r="D541" s="5" t="str">
        <f>IF(B541="","",IFERROR(INDEX(Articles!$D:$D,MATCH(B541,Articles!$B:$B,0)),""))</f>
        <v/>
      </c>
      <c r="E541" s="9" t="str">
        <f>IF(OR(C541="",D541=""),"",C541*D541)</f>
        <v/>
      </c>
      <c r="F541" s="4"/>
      <c r="G541" s="4"/>
      <c r="H541" s="4"/>
    </row>
    <row r="542">
      <c r="A542" s="7"/>
      <c r="B542" s="4"/>
      <c r="C542" s="6"/>
      <c r="D542" s="5" t="str">
        <f>IF(B542="","",IFERROR(INDEX(Articles!$D:$D,MATCH(B542,Articles!$B:$B,0)),""))</f>
        <v/>
      </c>
      <c r="E542" s="9" t="str">
        <f>IF(OR(C542="",D542=""),"",C542*D542)</f>
        <v/>
      </c>
      <c r="F542" s="4"/>
      <c r="G542" s="4"/>
      <c r="H542" s="4"/>
    </row>
    <row r="543">
      <c r="A543" s="7"/>
      <c r="B543" s="4"/>
      <c r="C543" s="6"/>
      <c r="D543" s="5" t="str">
        <f>IF(B543="","",IFERROR(INDEX(Articles!$D:$D,MATCH(B543,Articles!$B:$B,0)),""))</f>
        <v/>
      </c>
      <c r="E543" s="9" t="str">
        <f>IF(OR(C543="",D543=""),"",C543*D543)</f>
        <v/>
      </c>
      <c r="F543" s="4"/>
      <c r="G543" s="4"/>
      <c r="H543" s="4"/>
    </row>
    <row r="544">
      <c r="A544" s="7"/>
      <c r="B544" s="4"/>
      <c r="C544" s="6"/>
      <c r="D544" s="5" t="str">
        <f>IF(B544="","",IFERROR(INDEX(Articles!$D:$D,MATCH(B544,Articles!$B:$B,0)),""))</f>
        <v/>
      </c>
      <c r="E544" s="9" t="str">
        <f>IF(OR(C544="",D544=""),"",C544*D544)</f>
        <v/>
      </c>
      <c r="F544" s="4"/>
      <c r="G544" s="4"/>
      <c r="H544" s="4"/>
    </row>
    <row r="545">
      <c r="A545" s="7"/>
      <c r="B545" s="4"/>
      <c r="C545" s="6"/>
      <c r="D545" s="5" t="str">
        <f>IF(B545="","",IFERROR(INDEX(Articles!$D:$D,MATCH(B545,Articles!$B:$B,0)),""))</f>
        <v/>
      </c>
      <c r="E545" s="9" t="str">
        <f>IF(OR(C545="",D545=""),"",C545*D545)</f>
        <v/>
      </c>
      <c r="F545" s="4"/>
      <c r="G545" s="4"/>
      <c r="H545" s="4"/>
    </row>
    <row r="546">
      <c r="A546" s="7"/>
      <c r="B546" s="4"/>
      <c r="C546" s="6"/>
      <c r="D546" s="5" t="str">
        <f>IF(B546="","",IFERROR(INDEX(Articles!$D:$D,MATCH(B546,Articles!$B:$B,0)),""))</f>
        <v/>
      </c>
      <c r="E546" s="9" t="str">
        <f>IF(OR(C546="",D546=""),"",C546*D546)</f>
        <v/>
      </c>
      <c r="F546" s="4"/>
      <c r="G546" s="4"/>
      <c r="H546" s="4"/>
    </row>
    <row r="547">
      <c r="A547" s="7"/>
      <c r="B547" s="4"/>
      <c r="C547" s="6"/>
      <c r="D547" s="5" t="str">
        <f>IF(B547="","",IFERROR(INDEX(Articles!$D:$D,MATCH(B547,Articles!$B:$B,0)),""))</f>
        <v/>
      </c>
      <c r="E547" s="9" t="str">
        <f>IF(OR(C547="",D547=""),"",C547*D547)</f>
        <v/>
      </c>
      <c r="F547" s="4"/>
      <c r="G547" s="4"/>
      <c r="H547" s="4"/>
    </row>
    <row r="548">
      <c r="A548" s="7"/>
      <c r="B548" s="4"/>
      <c r="C548" s="6"/>
      <c r="D548" s="5" t="str">
        <f>IF(B548="","",IFERROR(INDEX(Articles!$D:$D,MATCH(B548,Articles!$B:$B,0)),""))</f>
        <v/>
      </c>
      <c r="E548" s="9" t="str">
        <f>IF(OR(C548="",D548=""),"",C548*D548)</f>
        <v/>
      </c>
      <c r="F548" s="4"/>
      <c r="G548" s="4"/>
      <c r="H548" s="4"/>
    </row>
    <row r="549">
      <c r="A549" s="7"/>
      <c r="B549" s="4"/>
      <c r="C549" s="6"/>
      <c r="D549" s="5" t="str">
        <f>IF(B549="","",IFERROR(INDEX(Articles!$D:$D,MATCH(B549,Articles!$B:$B,0)),""))</f>
        <v/>
      </c>
      <c r="E549" s="9" t="str">
        <f>IF(OR(C549="",D549=""),"",C549*D549)</f>
        <v/>
      </c>
      <c r="F549" s="4"/>
      <c r="G549" s="4"/>
      <c r="H549" s="4"/>
    </row>
    <row r="550">
      <c r="A550" s="7"/>
      <c r="B550" s="4"/>
      <c r="C550" s="6"/>
      <c r="D550" s="5" t="str">
        <f>IF(B550="","",IFERROR(INDEX(Articles!$D:$D,MATCH(B550,Articles!$B:$B,0)),""))</f>
        <v/>
      </c>
      <c r="E550" s="9" t="str">
        <f>IF(OR(C550="",D550=""),"",C550*D550)</f>
        <v/>
      </c>
      <c r="F550" s="4"/>
      <c r="G550" s="4"/>
      <c r="H550" s="4"/>
    </row>
    <row r="551">
      <c r="A551" s="7"/>
      <c r="B551" s="4"/>
      <c r="C551" s="6"/>
      <c r="D551" s="5" t="str">
        <f>IF(B551="","",IFERROR(INDEX(Articles!$D:$D,MATCH(B551,Articles!$B:$B,0)),""))</f>
        <v/>
      </c>
      <c r="E551" s="9" t="str">
        <f>IF(OR(C551="",D551=""),"",C551*D551)</f>
        <v/>
      </c>
      <c r="F551" s="4"/>
      <c r="G551" s="4"/>
      <c r="H551" s="4"/>
    </row>
    <row r="552">
      <c r="A552" s="7"/>
      <c r="B552" s="4"/>
      <c r="C552" s="6"/>
      <c r="D552" s="5" t="str">
        <f>IF(B552="","",IFERROR(INDEX(Articles!$D:$D,MATCH(B552,Articles!$B:$B,0)),""))</f>
        <v/>
      </c>
      <c r="E552" s="9" t="str">
        <f>IF(OR(C552="",D552=""),"",C552*D552)</f>
        <v/>
      </c>
      <c r="F552" s="4"/>
      <c r="G552" s="4"/>
      <c r="H552" s="4"/>
    </row>
    <row r="553">
      <c r="A553" s="7"/>
      <c r="B553" s="4"/>
      <c r="C553" s="6"/>
      <c r="D553" s="5" t="str">
        <f>IF(B553="","",IFERROR(INDEX(Articles!$D:$D,MATCH(B553,Articles!$B:$B,0)),""))</f>
        <v/>
      </c>
      <c r="E553" s="9" t="str">
        <f>IF(OR(C553="",D553=""),"",C553*D553)</f>
        <v/>
      </c>
      <c r="F553" s="4"/>
      <c r="G553" s="4"/>
      <c r="H553" s="4"/>
    </row>
    <row r="554">
      <c r="A554" s="7"/>
      <c r="B554" s="4"/>
      <c r="C554" s="6"/>
      <c r="D554" s="5" t="str">
        <f>IF(B554="","",IFERROR(INDEX(Articles!$D:$D,MATCH(B554,Articles!$B:$B,0)),""))</f>
        <v/>
      </c>
      <c r="E554" s="9" t="str">
        <f>IF(OR(C554="",D554=""),"",C554*D554)</f>
        <v/>
      </c>
      <c r="F554" s="4"/>
      <c r="G554" s="4"/>
      <c r="H554" s="4"/>
    </row>
    <row r="555">
      <c r="A555" s="7"/>
      <c r="B555" s="4"/>
      <c r="C555" s="6"/>
      <c r="D555" s="5" t="str">
        <f>IF(B555="","",IFERROR(INDEX(Articles!$D:$D,MATCH(B555,Articles!$B:$B,0)),""))</f>
        <v/>
      </c>
      <c r="E555" s="9" t="str">
        <f>IF(OR(C555="",D555=""),"",C555*D555)</f>
        <v/>
      </c>
      <c r="F555" s="4"/>
      <c r="G555" s="4"/>
      <c r="H555" s="4"/>
    </row>
    <row r="556">
      <c r="A556" s="7"/>
      <c r="B556" s="4"/>
      <c r="C556" s="6"/>
      <c r="D556" s="5" t="str">
        <f>IF(B556="","",IFERROR(INDEX(Articles!$D:$D,MATCH(B556,Articles!$B:$B,0)),""))</f>
        <v/>
      </c>
      <c r="E556" s="9" t="str">
        <f>IF(OR(C556="",D556=""),"",C556*D556)</f>
        <v/>
      </c>
      <c r="F556" s="4"/>
      <c r="G556" s="4"/>
      <c r="H556" s="4"/>
    </row>
    <row r="557">
      <c r="A557" s="7"/>
      <c r="B557" s="4"/>
      <c r="C557" s="6"/>
      <c r="D557" s="5" t="str">
        <f>IF(B557="","",IFERROR(INDEX(Articles!$D:$D,MATCH(B557,Articles!$B:$B,0)),""))</f>
        <v/>
      </c>
      <c r="E557" s="9" t="str">
        <f>IF(OR(C557="",D557=""),"",C557*D557)</f>
        <v/>
      </c>
      <c r="F557" s="4"/>
      <c r="G557" s="4"/>
      <c r="H557" s="4"/>
    </row>
    <row r="558">
      <c r="A558" s="7"/>
      <c r="B558" s="4"/>
      <c r="C558" s="6"/>
      <c r="D558" s="5" t="str">
        <f>IF(B558="","",IFERROR(INDEX(Articles!$D:$D,MATCH(B558,Articles!$B:$B,0)),""))</f>
        <v/>
      </c>
      <c r="E558" s="9" t="str">
        <f>IF(OR(C558="",D558=""),"",C558*D558)</f>
        <v/>
      </c>
      <c r="F558" s="4"/>
      <c r="G558" s="4"/>
      <c r="H558" s="4"/>
    </row>
    <row r="559">
      <c r="A559" s="7"/>
      <c r="B559" s="4"/>
      <c r="C559" s="6"/>
      <c r="D559" s="5" t="str">
        <f>IF(B559="","",IFERROR(INDEX(Articles!$D:$D,MATCH(B559,Articles!$B:$B,0)),""))</f>
        <v/>
      </c>
      <c r="E559" s="9" t="str">
        <f>IF(OR(C559="",D559=""),"",C559*D559)</f>
        <v/>
      </c>
      <c r="F559" s="4"/>
      <c r="G559" s="4"/>
      <c r="H559" s="4"/>
    </row>
    <row r="560">
      <c r="A560" s="7"/>
      <c r="B560" s="4"/>
      <c r="C560" s="6"/>
      <c r="D560" s="5" t="str">
        <f>IF(B560="","",IFERROR(INDEX(Articles!$D:$D,MATCH(B560,Articles!$B:$B,0)),""))</f>
        <v/>
      </c>
      <c r="E560" s="9" t="str">
        <f>IF(OR(C560="",D560=""),"",C560*D560)</f>
        <v/>
      </c>
      <c r="F560" s="4"/>
      <c r="G560" s="4"/>
      <c r="H560" s="4"/>
    </row>
    <row r="561">
      <c r="A561" s="7"/>
      <c r="B561" s="4"/>
      <c r="C561" s="6"/>
      <c r="D561" s="5" t="str">
        <f>IF(B561="","",IFERROR(INDEX(Articles!$D:$D,MATCH(B561,Articles!$B:$B,0)),""))</f>
        <v/>
      </c>
      <c r="E561" s="9" t="str">
        <f>IF(OR(C561="",D561=""),"",C561*D561)</f>
        <v/>
      </c>
      <c r="F561" s="4"/>
      <c r="G561" s="4"/>
      <c r="H561" s="4"/>
    </row>
    <row r="562">
      <c r="A562" s="7"/>
      <c r="B562" s="4"/>
      <c r="C562" s="6"/>
      <c r="D562" s="5" t="str">
        <f>IF(B562="","",IFERROR(INDEX(Articles!$D:$D,MATCH(B562,Articles!$B:$B,0)),""))</f>
        <v/>
      </c>
      <c r="E562" s="9" t="str">
        <f>IF(OR(C562="",D562=""),"",C562*D562)</f>
        <v/>
      </c>
      <c r="F562" s="4"/>
      <c r="G562" s="4"/>
      <c r="H562" s="4"/>
    </row>
    <row r="563">
      <c r="A563" s="7"/>
      <c r="B563" s="4"/>
      <c r="C563" s="6"/>
      <c r="D563" s="5" t="str">
        <f>IF(B563="","",IFERROR(INDEX(Articles!$D:$D,MATCH(B563,Articles!$B:$B,0)),""))</f>
        <v/>
      </c>
      <c r="E563" s="9" t="str">
        <f>IF(OR(C563="",D563=""),"",C563*D563)</f>
        <v/>
      </c>
      <c r="F563" s="4"/>
      <c r="G563" s="4"/>
      <c r="H563" s="4"/>
    </row>
    <row r="564">
      <c r="A564" s="7"/>
      <c r="B564" s="4"/>
      <c r="C564" s="6"/>
      <c r="D564" s="5" t="str">
        <f>IF(B564="","",IFERROR(INDEX(Articles!$D:$D,MATCH(B564,Articles!$B:$B,0)),""))</f>
        <v/>
      </c>
      <c r="E564" s="9" t="str">
        <f>IF(OR(C564="",D564=""),"",C564*D564)</f>
        <v/>
      </c>
      <c r="F564" s="4"/>
      <c r="G564" s="4"/>
      <c r="H564" s="4"/>
    </row>
    <row r="565">
      <c r="A565" s="7"/>
      <c r="B565" s="4"/>
      <c r="C565" s="6"/>
      <c r="D565" s="5" t="str">
        <f>IF(B565="","",IFERROR(INDEX(Articles!$D:$D,MATCH(B565,Articles!$B:$B,0)),""))</f>
        <v/>
      </c>
      <c r="E565" s="9" t="str">
        <f>IF(OR(C565="",D565=""),"",C565*D565)</f>
        <v/>
      </c>
      <c r="F565" s="4"/>
      <c r="G565" s="4"/>
      <c r="H565" s="4"/>
    </row>
    <row r="566">
      <c r="A566" s="7"/>
      <c r="B566" s="4"/>
      <c r="C566" s="6"/>
      <c r="D566" s="5" t="str">
        <f>IF(B566="","",IFERROR(INDEX(Articles!$D:$D,MATCH(B566,Articles!$B:$B,0)),""))</f>
        <v/>
      </c>
      <c r="E566" s="9" t="str">
        <f>IF(OR(C566="",D566=""),"",C566*D566)</f>
        <v/>
      </c>
      <c r="F566" s="4"/>
      <c r="G566" s="4"/>
      <c r="H566" s="4"/>
    </row>
    <row r="567">
      <c r="A567" s="7"/>
      <c r="B567" s="4"/>
      <c r="C567" s="6"/>
      <c r="D567" s="5" t="str">
        <f>IF(B567="","",IFERROR(INDEX(Articles!$D:$D,MATCH(B567,Articles!$B:$B,0)),""))</f>
        <v/>
      </c>
      <c r="E567" s="9" t="str">
        <f>IF(OR(C567="",D567=""),"",C567*D567)</f>
        <v/>
      </c>
      <c r="F567" s="4"/>
      <c r="G567" s="4"/>
      <c r="H567" s="4"/>
    </row>
    <row r="568">
      <c r="A568" s="7"/>
      <c r="B568" s="4"/>
      <c r="C568" s="6"/>
      <c r="D568" s="5" t="str">
        <f>IF(B568="","",IFERROR(INDEX(Articles!$D:$D,MATCH(B568,Articles!$B:$B,0)),""))</f>
        <v/>
      </c>
      <c r="E568" s="9" t="str">
        <f>IF(OR(C568="",D568=""),"",C568*D568)</f>
        <v/>
      </c>
      <c r="F568" s="4"/>
      <c r="G568" s="4"/>
      <c r="H568" s="4"/>
    </row>
    <row r="569">
      <c r="A569" s="7"/>
      <c r="B569" s="4"/>
      <c r="C569" s="6"/>
      <c r="D569" s="5" t="str">
        <f>IF(B569="","",IFERROR(INDEX(Articles!$D:$D,MATCH(B569,Articles!$B:$B,0)),""))</f>
        <v/>
      </c>
      <c r="E569" s="9" t="str">
        <f>IF(OR(C569="",D569=""),"",C569*D569)</f>
        <v/>
      </c>
      <c r="F569" s="4"/>
      <c r="G569" s="4"/>
      <c r="H569" s="4"/>
    </row>
    <row r="570">
      <c r="A570" s="7"/>
      <c r="B570" s="4"/>
      <c r="C570" s="6"/>
      <c r="D570" s="5" t="str">
        <f>IF(B570="","",IFERROR(INDEX(Articles!$D:$D,MATCH(B570,Articles!$B:$B,0)),""))</f>
        <v/>
      </c>
      <c r="E570" s="9" t="str">
        <f>IF(OR(C570="",D570=""),"",C570*D570)</f>
        <v/>
      </c>
      <c r="F570" s="4"/>
      <c r="G570" s="4"/>
      <c r="H570" s="4"/>
    </row>
    <row r="571">
      <c r="A571" s="7"/>
      <c r="B571" s="4"/>
      <c r="C571" s="6"/>
      <c r="D571" s="5" t="str">
        <f>IF(B571="","",IFERROR(INDEX(Articles!$D:$D,MATCH(B571,Articles!$B:$B,0)),""))</f>
        <v/>
      </c>
      <c r="E571" s="9" t="str">
        <f>IF(OR(C571="",D571=""),"",C571*D571)</f>
        <v/>
      </c>
      <c r="F571" s="4"/>
      <c r="G571" s="4"/>
      <c r="H571" s="4"/>
    </row>
    <row r="572">
      <c r="A572" s="7"/>
      <c r="B572" s="4"/>
      <c r="C572" s="6"/>
      <c r="D572" s="5" t="str">
        <f>IF(B572="","",IFERROR(INDEX(Articles!$D:$D,MATCH(B572,Articles!$B:$B,0)),""))</f>
        <v/>
      </c>
      <c r="E572" s="9" t="str">
        <f>IF(OR(C572="",D572=""),"",C572*D572)</f>
        <v/>
      </c>
      <c r="F572" s="4"/>
      <c r="G572" s="4"/>
      <c r="H572" s="4"/>
    </row>
    <row r="573">
      <c r="A573" s="7"/>
      <c r="B573" s="4"/>
      <c r="C573" s="6"/>
      <c r="D573" s="5" t="str">
        <f>IF(B573="","",IFERROR(INDEX(Articles!$D:$D,MATCH(B573,Articles!$B:$B,0)),""))</f>
        <v/>
      </c>
      <c r="E573" s="9" t="str">
        <f>IF(OR(C573="",D573=""),"",C573*D573)</f>
        <v/>
      </c>
      <c r="F573" s="4"/>
      <c r="G573" s="4"/>
      <c r="H573" s="4"/>
    </row>
    <row r="574">
      <c r="A574" s="7"/>
      <c r="B574" s="4"/>
      <c r="C574" s="6"/>
      <c r="D574" s="5" t="str">
        <f>IF(B574="","",IFERROR(INDEX(Articles!$D:$D,MATCH(B574,Articles!$B:$B,0)),""))</f>
        <v/>
      </c>
      <c r="E574" s="9" t="str">
        <f>IF(OR(C574="",D574=""),"",C574*D574)</f>
        <v/>
      </c>
      <c r="F574" s="4"/>
      <c r="G574" s="4"/>
      <c r="H574" s="4"/>
    </row>
    <row r="575">
      <c r="A575" s="7"/>
      <c r="B575" s="4"/>
      <c r="C575" s="6"/>
      <c r="D575" s="5" t="str">
        <f>IF(B575="","",IFERROR(INDEX(Articles!$D:$D,MATCH(B575,Articles!$B:$B,0)),""))</f>
        <v/>
      </c>
      <c r="E575" s="9" t="str">
        <f>IF(OR(C575="",D575=""),"",C575*D575)</f>
        <v/>
      </c>
      <c r="F575" s="4"/>
      <c r="G575" s="4"/>
      <c r="H575" s="4"/>
    </row>
    <row r="576">
      <c r="A576" s="7"/>
      <c r="B576" s="4"/>
      <c r="C576" s="6"/>
      <c r="D576" s="5" t="str">
        <f>IF(B576="","",IFERROR(INDEX(Articles!$D:$D,MATCH(B576,Articles!$B:$B,0)),""))</f>
        <v/>
      </c>
      <c r="E576" s="9" t="str">
        <f>IF(OR(C576="",D576=""),"",C576*D576)</f>
        <v/>
      </c>
      <c r="F576" s="4"/>
      <c r="G576" s="4"/>
      <c r="H576" s="4"/>
    </row>
    <row r="577">
      <c r="A577" s="7"/>
      <c r="B577" s="4"/>
      <c r="C577" s="6"/>
      <c r="D577" s="5" t="str">
        <f>IF(B577="","",IFERROR(INDEX(Articles!$D:$D,MATCH(B577,Articles!$B:$B,0)),""))</f>
        <v/>
      </c>
      <c r="E577" s="9" t="str">
        <f>IF(OR(C577="",D577=""),"",C577*D577)</f>
        <v/>
      </c>
      <c r="F577" s="4"/>
      <c r="G577" s="4"/>
      <c r="H577" s="4"/>
    </row>
    <row r="578">
      <c r="A578" s="7"/>
      <c r="B578" s="4"/>
      <c r="C578" s="6"/>
      <c r="D578" s="5" t="str">
        <f>IF(B578="","",IFERROR(INDEX(Articles!$D:$D,MATCH(B578,Articles!$B:$B,0)),""))</f>
        <v/>
      </c>
      <c r="E578" s="9" t="str">
        <f>IF(OR(C578="",D578=""),"",C578*D578)</f>
        <v/>
      </c>
      <c r="F578" s="4"/>
      <c r="G578" s="4"/>
      <c r="H578" s="4"/>
    </row>
    <row r="579">
      <c r="A579" s="7"/>
      <c r="B579" s="4"/>
      <c r="C579" s="6"/>
      <c r="D579" s="5" t="str">
        <f>IF(B579="","",IFERROR(INDEX(Articles!$D:$D,MATCH(B579,Articles!$B:$B,0)),""))</f>
        <v/>
      </c>
      <c r="E579" s="9" t="str">
        <f>IF(OR(C579="",D579=""),"",C579*D579)</f>
        <v/>
      </c>
      <c r="F579" s="4"/>
      <c r="G579" s="4"/>
      <c r="H579" s="4"/>
    </row>
    <row r="580">
      <c r="A580" s="7"/>
      <c r="B580" s="4"/>
      <c r="C580" s="6"/>
      <c r="D580" s="5" t="str">
        <f>IF(B580="","",IFERROR(INDEX(Articles!$D:$D,MATCH(B580,Articles!$B:$B,0)),""))</f>
        <v/>
      </c>
      <c r="E580" s="9" t="str">
        <f>IF(OR(C580="",D580=""),"",C580*D580)</f>
        <v/>
      </c>
      <c r="F580" s="4"/>
      <c r="G580" s="4"/>
      <c r="H580" s="4"/>
    </row>
    <row r="581">
      <c r="A581" s="7"/>
      <c r="B581" s="4"/>
      <c r="C581" s="6"/>
      <c r="D581" s="5" t="str">
        <f>IF(B581="","",IFERROR(INDEX(Articles!$D:$D,MATCH(B581,Articles!$B:$B,0)),""))</f>
        <v/>
      </c>
      <c r="E581" s="9" t="str">
        <f>IF(OR(C581="",D581=""),"",C581*D581)</f>
        <v/>
      </c>
      <c r="F581" s="4"/>
      <c r="G581" s="4"/>
      <c r="H581" s="4"/>
    </row>
    <row r="582">
      <c r="A582" s="7"/>
      <c r="B582" s="4"/>
      <c r="C582" s="6"/>
      <c r="D582" s="5" t="str">
        <f>IF(B582="","",IFERROR(INDEX(Articles!$D:$D,MATCH(B582,Articles!$B:$B,0)),""))</f>
        <v/>
      </c>
      <c r="E582" s="9" t="str">
        <f>IF(OR(C582="",D582=""),"",C582*D582)</f>
        <v/>
      </c>
      <c r="F582" s="4"/>
      <c r="G582" s="4"/>
      <c r="H582" s="4"/>
    </row>
    <row r="583">
      <c r="A583" s="7"/>
      <c r="B583" s="4"/>
      <c r="C583" s="6"/>
      <c r="D583" s="5" t="str">
        <f>IF(B583="","",IFERROR(INDEX(Articles!$D:$D,MATCH(B583,Articles!$B:$B,0)),""))</f>
        <v/>
      </c>
      <c r="E583" s="9" t="str">
        <f>IF(OR(C583="",D583=""),"",C583*D583)</f>
        <v/>
      </c>
      <c r="F583" s="4"/>
      <c r="G583" s="4"/>
      <c r="H583" s="4"/>
    </row>
    <row r="584">
      <c r="A584" s="7"/>
      <c r="B584" s="4"/>
      <c r="C584" s="6"/>
      <c r="D584" s="5" t="str">
        <f>IF(B584="","",IFERROR(INDEX(Articles!$D:$D,MATCH(B584,Articles!$B:$B,0)),""))</f>
        <v/>
      </c>
      <c r="E584" s="9" t="str">
        <f>IF(OR(C584="",D584=""),"",C584*D584)</f>
        <v/>
      </c>
      <c r="F584" s="4"/>
      <c r="G584" s="4"/>
      <c r="H584" s="4"/>
    </row>
    <row r="585">
      <c r="A585" s="7"/>
      <c r="B585" s="4"/>
      <c r="C585" s="6"/>
      <c r="D585" s="5" t="str">
        <f>IF(B585="","",IFERROR(INDEX(Articles!$D:$D,MATCH(B585,Articles!$B:$B,0)),""))</f>
        <v/>
      </c>
      <c r="E585" s="9" t="str">
        <f>IF(OR(C585="",D585=""),"",C585*D585)</f>
        <v/>
      </c>
      <c r="F585" s="4"/>
      <c r="G585" s="4"/>
      <c r="H585" s="4"/>
    </row>
    <row r="586">
      <c r="A586" s="7"/>
      <c r="B586" s="4"/>
      <c r="C586" s="6"/>
      <c r="D586" s="5" t="str">
        <f>IF(B586="","",IFERROR(INDEX(Articles!$D:$D,MATCH(B586,Articles!$B:$B,0)),""))</f>
        <v/>
      </c>
      <c r="E586" s="9" t="str">
        <f>IF(OR(C586="",D586=""),"",C586*D586)</f>
        <v/>
      </c>
      <c r="F586" s="4"/>
      <c r="G586" s="4"/>
      <c r="H586" s="4"/>
    </row>
    <row r="587">
      <c r="A587" s="7"/>
      <c r="B587" s="4"/>
      <c r="C587" s="6"/>
      <c r="D587" s="5" t="str">
        <f>IF(B587="","",IFERROR(INDEX(Articles!$D:$D,MATCH(B587,Articles!$B:$B,0)),""))</f>
        <v/>
      </c>
      <c r="E587" s="9" t="str">
        <f>IF(OR(C587="",D587=""),"",C587*D587)</f>
        <v/>
      </c>
      <c r="F587" s="4"/>
      <c r="G587" s="4"/>
      <c r="H587" s="4"/>
    </row>
    <row r="588">
      <c r="A588" s="7"/>
      <c r="B588" s="4"/>
      <c r="C588" s="6"/>
      <c r="D588" s="5" t="str">
        <f>IF(B588="","",IFERROR(INDEX(Articles!$D:$D,MATCH(B588,Articles!$B:$B,0)),""))</f>
        <v/>
      </c>
      <c r="E588" s="9" t="str">
        <f>IF(OR(C588="",D588=""),"",C588*D588)</f>
        <v/>
      </c>
      <c r="F588" s="4"/>
      <c r="G588" s="4"/>
      <c r="H588" s="4"/>
    </row>
    <row r="589">
      <c r="A589" s="7"/>
      <c r="B589" s="4"/>
      <c r="C589" s="6"/>
      <c r="D589" s="5" t="str">
        <f>IF(B589="","",IFERROR(INDEX(Articles!$D:$D,MATCH(B589,Articles!$B:$B,0)),""))</f>
        <v/>
      </c>
      <c r="E589" s="9" t="str">
        <f>IF(OR(C589="",D589=""),"",C589*D589)</f>
        <v/>
      </c>
      <c r="F589" s="4"/>
      <c r="G589" s="4"/>
      <c r="H589" s="4"/>
    </row>
    <row r="590">
      <c r="A590" s="7"/>
      <c r="B590" s="4"/>
      <c r="C590" s="6"/>
      <c r="D590" s="5" t="str">
        <f>IF(B590="","",IFERROR(INDEX(Articles!$D:$D,MATCH(B590,Articles!$B:$B,0)),""))</f>
        <v/>
      </c>
      <c r="E590" s="9" t="str">
        <f>IF(OR(C590="",D590=""),"",C590*D590)</f>
        <v/>
      </c>
      <c r="F590" s="4"/>
      <c r="G590" s="4"/>
      <c r="H590" s="4"/>
    </row>
    <row r="591">
      <c r="A591" s="7"/>
      <c r="B591" s="4"/>
      <c r="C591" s="6"/>
      <c r="D591" s="5" t="str">
        <f>IF(B591="","",IFERROR(INDEX(Articles!$D:$D,MATCH(B591,Articles!$B:$B,0)),""))</f>
        <v/>
      </c>
      <c r="E591" s="9" t="str">
        <f>IF(OR(C591="",D591=""),"",C591*D591)</f>
        <v/>
      </c>
      <c r="F591" s="4"/>
      <c r="G591" s="4"/>
      <c r="H591" s="4"/>
    </row>
    <row r="592">
      <c r="A592" s="7"/>
      <c r="B592" s="4"/>
      <c r="C592" s="6"/>
      <c r="D592" s="5" t="str">
        <f>IF(B592="","",IFERROR(INDEX(Articles!$D:$D,MATCH(B592,Articles!$B:$B,0)),""))</f>
        <v/>
      </c>
      <c r="E592" s="9" t="str">
        <f>IF(OR(C592="",D592=""),"",C592*D592)</f>
        <v/>
      </c>
      <c r="F592" s="4"/>
      <c r="G592" s="4"/>
      <c r="H592" s="4"/>
    </row>
    <row r="593">
      <c r="A593" s="7"/>
      <c r="B593" s="4"/>
      <c r="C593" s="6"/>
      <c r="D593" s="5" t="str">
        <f>IF(B593="","",IFERROR(INDEX(Articles!$D:$D,MATCH(B593,Articles!$B:$B,0)),""))</f>
        <v/>
      </c>
      <c r="E593" s="9" t="str">
        <f>IF(OR(C593="",D593=""),"",C593*D593)</f>
        <v/>
      </c>
      <c r="F593" s="4"/>
      <c r="G593" s="4"/>
      <c r="H593" s="4"/>
    </row>
    <row r="594">
      <c r="A594" s="7"/>
      <c r="B594" s="4"/>
      <c r="C594" s="6"/>
      <c r="D594" s="5" t="str">
        <f>IF(B594="","",IFERROR(INDEX(Articles!$D:$D,MATCH(B594,Articles!$B:$B,0)),""))</f>
        <v/>
      </c>
      <c r="E594" s="9" t="str">
        <f>IF(OR(C594="",D594=""),"",C594*D594)</f>
        <v/>
      </c>
      <c r="F594" s="4"/>
      <c r="G594" s="4"/>
      <c r="H594" s="4"/>
    </row>
    <row r="595">
      <c r="A595" s="7"/>
      <c r="B595" s="4"/>
      <c r="C595" s="6"/>
      <c r="D595" s="5" t="str">
        <f>IF(B595="","",IFERROR(INDEX(Articles!$D:$D,MATCH(B595,Articles!$B:$B,0)),""))</f>
        <v/>
      </c>
      <c r="E595" s="9" t="str">
        <f>IF(OR(C595="",D595=""),"",C595*D595)</f>
        <v/>
      </c>
      <c r="F595" s="4"/>
      <c r="G595" s="4"/>
      <c r="H595" s="4"/>
    </row>
    <row r="596">
      <c r="A596" s="7"/>
      <c r="B596" s="4"/>
      <c r="C596" s="6"/>
      <c r="D596" s="5" t="str">
        <f>IF(B596="","",IFERROR(INDEX(Articles!$D:$D,MATCH(B596,Articles!$B:$B,0)),""))</f>
        <v/>
      </c>
      <c r="E596" s="9" t="str">
        <f>IF(OR(C596="",D596=""),"",C596*D596)</f>
        <v/>
      </c>
      <c r="F596" s="4"/>
      <c r="G596" s="4"/>
      <c r="H596" s="4"/>
    </row>
    <row r="597">
      <c r="A597" s="7"/>
      <c r="B597" s="4"/>
      <c r="C597" s="6"/>
      <c r="D597" s="5" t="str">
        <f>IF(B597="","",IFERROR(INDEX(Articles!$D:$D,MATCH(B597,Articles!$B:$B,0)),""))</f>
        <v/>
      </c>
      <c r="E597" s="9" t="str">
        <f>IF(OR(C597="",D597=""),"",C597*D597)</f>
        <v/>
      </c>
      <c r="F597" s="4"/>
      <c r="G597" s="4"/>
      <c r="H597" s="4"/>
    </row>
    <row r="598">
      <c r="A598" s="7"/>
      <c r="B598" s="4"/>
      <c r="C598" s="6"/>
      <c r="D598" s="5" t="str">
        <f>IF(B598="","",IFERROR(INDEX(Articles!$D:$D,MATCH(B598,Articles!$B:$B,0)),""))</f>
        <v/>
      </c>
      <c r="E598" s="9" t="str">
        <f>IF(OR(C598="",D598=""),"",C598*D598)</f>
        <v/>
      </c>
      <c r="F598" s="4"/>
      <c r="G598" s="4"/>
      <c r="H598" s="4"/>
    </row>
    <row r="599">
      <c r="A599" s="7"/>
      <c r="B599" s="4"/>
      <c r="C599" s="6"/>
      <c r="D599" s="5" t="str">
        <f>IF(B599="","",IFERROR(INDEX(Articles!$D:$D,MATCH(B599,Articles!$B:$B,0)),""))</f>
        <v/>
      </c>
      <c r="E599" s="9" t="str">
        <f>IF(OR(C599="",D599=""),"",C599*D599)</f>
        <v/>
      </c>
      <c r="F599" s="4"/>
      <c r="G599" s="4"/>
      <c r="H599" s="4"/>
    </row>
    <row r="600">
      <c r="A600" s="7"/>
      <c r="B600" s="4"/>
      <c r="C600" s="6"/>
      <c r="D600" s="5" t="str">
        <f>IF(B600="","",IFERROR(INDEX(Articles!$D:$D,MATCH(B600,Articles!$B:$B,0)),""))</f>
        <v/>
      </c>
      <c r="E600" s="9" t="str">
        <f>IF(OR(C600="",D600=""),"",C600*D600)</f>
        <v/>
      </c>
      <c r="F600" s="4"/>
      <c r="G600" s="4"/>
      <c r="H600" s="4"/>
    </row>
    <row r="601">
      <c r="A601" s="7"/>
      <c r="B601" s="4"/>
      <c r="C601" s="6"/>
      <c r="D601" s="5" t="str">
        <f>IF(B601="","",IFERROR(INDEX(Articles!$D:$D,MATCH(B601,Articles!$B:$B,0)),""))</f>
        <v/>
      </c>
      <c r="E601" s="9" t="str">
        <f>IF(OR(C601="",D601=""),"",C601*D601)</f>
        <v/>
      </c>
      <c r="F601" s="4"/>
      <c r="G601" s="4"/>
      <c r="H601" s="4"/>
    </row>
    <row r="602">
      <c r="A602" s="7"/>
      <c r="B602" s="4"/>
      <c r="C602" s="6"/>
      <c r="D602" s="5" t="str">
        <f>IF(B602="","",IFERROR(INDEX(Articles!$D:$D,MATCH(B602,Articles!$B:$B,0)),""))</f>
        <v/>
      </c>
      <c r="E602" s="9" t="str">
        <f>IF(OR(C602="",D602=""),"",C602*D602)</f>
        <v/>
      </c>
      <c r="F602" s="4"/>
      <c r="G602" s="4"/>
      <c r="H602" s="4"/>
    </row>
    <row r="603">
      <c r="A603" s="7"/>
      <c r="B603" s="4"/>
      <c r="C603" s="6"/>
      <c r="D603" s="5" t="str">
        <f>IF(B603="","",IFERROR(INDEX(Articles!$D:$D,MATCH(B603,Articles!$B:$B,0)),""))</f>
        <v/>
      </c>
      <c r="E603" s="9" t="str">
        <f>IF(OR(C603="",D603=""),"",C603*D603)</f>
        <v/>
      </c>
      <c r="F603" s="4"/>
      <c r="G603" s="4"/>
      <c r="H603" s="4"/>
    </row>
  </sheetData>
  <mergeCells count="1">
    <mergeCell ref="A2:H2"/>
  </mergeCells>
  <conditionalFormatting sqref="D4:E603">
    <cfRule type="expression" dxfId="0" priority="1">
      <formula>MOD(D4,1)&lt;&gt;0</formula>
    </cfRule>
  </conditionalFormatting>
  <conditionalFormatting sqref="G4:G603">
    <cfRule type="expression" dxfId="1" priority="2">
      <formula>$G4="Non"</formula>
    </cfRule>
  </conditionalFormatting>
  <dataValidations count="2">
    <dataValidation type="list" allowBlank="1" showInputMessage="1" showErrorMessage="0" sqref="B4:B603">
      <formula1>Articles!$B$2:$B$301</formula1>
    </dataValidation>
    <dataValidation type="list" allowBlank="1" showInputMessage="1" showErrorMessage="0" sqref="G4:G603">
      <formula1>"Oui,Non"</formula1>
    </dataValidation>
  </dataValidations>
  <pageMargins left="0.4" right="0.4" top="0.5" bottom="0.5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25E38"/>
    <pageSetUpPr fitToPage="1"/>
  </sheetPr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12" customWidth="1"/>
    <col min="2" max="2" width="34" customWidth="1"/>
    <col min="3" max="3" width="10" customWidth="1"/>
    <col min="4" max="4" width="13" customWidth="1"/>
    <col min="5" max="5" width="13" customWidth="1"/>
    <col min="6" max="6" width="15" customWidth="1"/>
    <col min="7" max="7" width="22" customWidth="1"/>
    <col min="8" max="8" width="12" customWidth="1"/>
    <col min="9" max="9" width="12" customWidth="1"/>
    <col min="10" max="10" width="26" customWidth="1"/>
  </cols>
  <sheetData>
    <row r="1" ht="24" customHeight="1">
      <c r="A1" s="1" t="inlineStr">
        <is>
          <t xml:space="preserve">Ventes du jour — une ligne par vente, jour après jour</t>
        </is>
      </c>
    </row>
    <row r="2" ht="44" customHeight="1">
      <c r="A2" s="2" t="inlineStr">
        <is>
          <t xml:space="preserve">Choisis l'article dans la liste. Le prix se remplit tout seul : change-le si tu as fait une remise. Si un client paie à crédit, écris son nom.</t>
        </is>
      </c>
    </row>
    <row r="3" ht="32" customHeight="1">
      <c r="A3" s="3" t="inlineStr">
        <is>
          <t xml:space="preserve">Date</t>
        </is>
      </c>
      <c r="B3" s="3" t="inlineStr">
        <is>
          <t xml:space="preserve">Article</t>
        </is>
      </c>
      <c r="C3" s="3" t="inlineStr">
        <is>
          <t xml:space="preserve">Quantité</t>
        </is>
      </c>
      <c r="D3" s="3" t="inlineStr">
        <is>
          <t xml:space="preserve">Prix unitaire</t>
        </is>
      </c>
      <c r="E3" s="3" t="inlineStr">
        <is>
          <t xml:space="preserve">Total</t>
        </is>
      </c>
      <c r="F3" s="3" t="inlineStr">
        <is>
          <t xml:space="preserve">Paiement</t>
        </is>
      </c>
      <c r="G3" s="3" t="inlineStr">
        <is>
          <t xml:space="preserve">Client (si crédit)</t>
        </is>
      </c>
      <c r="H3" s="3" t="inlineStr">
        <is>
          <t xml:space="preserve">Coût</t>
        </is>
      </c>
      <c r="I3" s="3" t="inlineStr">
        <is>
          <t xml:space="preserve">Marge</t>
        </is>
      </c>
      <c r="J3" s="3" t="inlineStr">
        <is>
          <t xml:space="preserve">Note</t>
        </is>
      </c>
    </row>
    <row r="4">
      <c r="A4" s="14">
        <v>46266</v>
      </c>
      <c r="B4" s="11" t="inlineStr">
        <is>
          <t xml:space="preserve">EXEMPLE — Savon (à effacer)</t>
        </is>
      </c>
      <c r="C4" s="13">
        <v>3</v>
      </c>
      <c r="D4" s="12">
        <f>IF(B4="","",IFERROR(INDEX(Articles!$E:$E,MATCH(B4,Articles!$B:$B,0)),""))</f>
        <v>150</v>
      </c>
      <c r="E4" s="9">
        <f>IF(OR(C4="",D4=""),"",C4*D4)</f>
        <v>450</v>
      </c>
      <c r="F4" s="11" t="inlineStr">
        <is>
          <t xml:space="preserve">Espèces</t>
        </is>
      </c>
      <c r="G4" s="11"/>
      <c r="H4" s="9">
        <f>IF(OR(B4="",C4=""),"",C4*IFERROR(INDEX(Articles!$D:$D,MATCH(B4,Articles!$B:$B,0)),0))</f>
        <v>300</v>
      </c>
      <c r="I4" s="9">
        <f>IF(OR(E4="",H4=""),"",E4-H4)</f>
        <v>150</v>
      </c>
      <c r="J4" s="11" t="inlineStr">
        <is>
          <t xml:space="preserve">EXEMPLE — à effacer</t>
        </is>
      </c>
    </row>
    <row r="5">
      <c r="A5" s="14">
        <v>46266</v>
      </c>
      <c r="B5" s="11" t="inlineStr">
        <is>
          <t xml:space="preserve">EXEMPLE — Filtre à huile (à effacer)</t>
        </is>
      </c>
      <c r="C5" s="13">
        <v>1</v>
      </c>
      <c r="D5" s="12">
        <f>IF(B5="","",IFERROR(INDEX(Articles!$E:$E,MATCH(B5,Articles!$B:$B,0)),""))</f>
        <v>600</v>
      </c>
      <c r="E5" s="9">
        <f>IF(OR(C5="",D5=""),"",C5*D5)</f>
        <v>600</v>
      </c>
      <c r="F5" s="11" t="inlineStr">
        <is>
          <t xml:space="preserve">Mobile money</t>
        </is>
      </c>
      <c r="G5" s="11"/>
      <c r="H5" s="9">
        <f>IF(OR(B5="",C5=""),"",C5*IFERROR(INDEX(Articles!$D:$D,MATCH(B5,Articles!$B:$B,0)),0))</f>
        <v>400</v>
      </c>
      <c r="I5" s="9">
        <f>IF(OR(E5="",H5=""),"",E5-H5)</f>
        <v>200</v>
      </c>
      <c r="J5" s="11" t="inlineStr">
        <is>
          <t xml:space="preserve">EXEMPLE — à effacer</t>
        </is>
      </c>
    </row>
    <row r="6">
      <c r="A6" s="7"/>
      <c r="B6" s="4"/>
      <c r="C6" s="6"/>
      <c r="D6" s="5" t="str">
        <f>IF(B6="","",IFERROR(INDEX(Articles!$E:$E,MATCH(B6,Articles!$B:$B,0)),""))</f>
        <v/>
      </c>
      <c r="E6" s="9" t="str">
        <f>IF(OR(C6="",D6=""),"",C6*D6)</f>
        <v/>
      </c>
      <c r="F6" s="4"/>
      <c r="G6" s="4"/>
      <c r="H6" s="9" t="str">
        <f>IF(OR(B6="",C6=""),"",C6*IFERROR(INDEX(Articles!$D:$D,MATCH(B6,Articles!$B:$B,0)),0))</f>
        <v/>
      </c>
      <c r="I6" s="9" t="str">
        <f>IF(OR(E6="",H6=""),"",E6-H6)</f>
        <v/>
      </c>
      <c r="J6" s="4"/>
    </row>
    <row r="7">
      <c r="A7" s="7"/>
      <c r="B7" s="4"/>
      <c r="C7" s="6"/>
      <c r="D7" s="5" t="str">
        <f>IF(B7="","",IFERROR(INDEX(Articles!$E:$E,MATCH(B7,Articles!$B:$B,0)),""))</f>
        <v/>
      </c>
      <c r="E7" s="9" t="str">
        <f>IF(OR(C7="",D7=""),"",C7*D7)</f>
        <v/>
      </c>
      <c r="F7" s="4"/>
      <c r="G7" s="4"/>
      <c r="H7" s="9" t="str">
        <f>IF(OR(B7="",C7=""),"",C7*IFERROR(INDEX(Articles!$D:$D,MATCH(B7,Articles!$B:$B,0)),0))</f>
        <v/>
      </c>
      <c r="I7" s="9" t="str">
        <f>IF(OR(E7="",H7=""),"",E7-H7)</f>
        <v/>
      </c>
      <c r="J7" s="4"/>
    </row>
    <row r="8">
      <c r="A8" s="7"/>
      <c r="B8" s="4"/>
      <c r="C8" s="6"/>
      <c r="D8" s="5" t="str">
        <f>IF(B8="","",IFERROR(INDEX(Articles!$E:$E,MATCH(B8,Articles!$B:$B,0)),""))</f>
        <v/>
      </c>
      <c r="E8" s="9" t="str">
        <f>IF(OR(C8="",D8=""),"",C8*D8)</f>
        <v/>
      </c>
      <c r="F8" s="4"/>
      <c r="G8" s="4"/>
      <c r="H8" s="9" t="str">
        <f>IF(OR(B8="",C8=""),"",C8*IFERROR(INDEX(Articles!$D:$D,MATCH(B8,Articles!$B:$B,0)),0))</f>
        <v/>
      </c>
      <c r="I8" s="9" t="str">
        <f>IF(OR(E8="",H8=""),"",E8-H8)</f>
        <v/>
      </c>
      <c r="J8" s="4"/>
    </row>
    <row r="9">
      <c r="A9" s="7"/>
      <c r="B9" s="4"/>
      <c r="C9" s="6"/>
      <c r="D9" s="5" t="str">
        <f>IF(B9="","",IFERROR(INDEX(Articles!$E:$E,MATCH(B9,Articles!$B:$B,0)),""))</f>
        <v/>
      </c>
      <c r="E9" s="9" t="str">
        <f>IF(OR(C9="",D9=""),"",C9*D9)</f>
        <v/>
      </c>
      <c r="F9" s="4"/>
      <c r="G9" s="4"/>
      <c r="H9" s="9" t="str">
        <f>IF(OR(B9="",C9=""),"",C9*IFERROR(INDEX(Articles!$D:$D,MATCH(B9,Articles!$B:$B,0)),0))</f>
        <v/>
      </c>
      <c r="I9" s="9" t="str">
        <f>IF(OR(E9="",H9=""),"",E9-H9)</f>
        <v/>
      </c>
      <c r="J9" s="4"/>
    </row>
    <row r="10">
      <c r="A10" s="7"/>
      <c r="B10" s="4"/>
      <c r="C10" s="6"/>
      <c r="D10" s="5" t="str">
        <f>IF(B10="","",IFERROR(INDEX(Articles!$E:$E,MATCH(B10,Articles!$B:$B,0)),""))</f>
        <v/>
      </c>
      <c r="E10" s="9" t="str">
        <f>IF(OR(C10="",D10=""),"",C10*D10)</f>
        <v/>
      </c>
      <c r="F10" s="4"/>
      <c r="G10" s="4"/>
      <c r="H10" s="9" t="str">
        <f>IF(OR(B10="",C10=""),"",C10*IFERROR(INDEX(Articles!$D:$D,MATCH(B10,Articles!$B:$B,0)),0))</f>
        <v/>
      </c>
      <c r="I10" s="9" t="str">
        <f>IF(OR(E10="",H10=""),"",E10-H10)</f>
        <v/>
      </c>
      <c r="J10" s="4"/>
    </row>
    <row r="11">
      <c r="A11" s="7"/>
      <c r="B11" s="4"/>
      <c r="C11" s="6"/>
      <c r="D11" s="5" t="str">
        <f>IF(B11="","",IFERROR(INDEX(Articles!$E:$E,MATCH(B11,Articles!$B:$B,0)),""))</f>
        <v/>
      </c>
      <c r="E11" s="9" t="str">
        <f>IF(OR(C11="",D11=""),"",C11*D11)</f>
        <v/>
      </c>
      <c r="F11" s="4"/>
      <c r="G11" s="4"/>
      <c r="H11" s="9" t="str">
        <f>IF(OR(B11="",C11=""),"",C11*IFERROR(INDEX(Articles!$D:$D,MATCH(B11,Articles!$B:$B,0)),0))</f>
        <v/>
      </c>
      <c r="I11" s="9" t="str">
        <f>IF(OR(E11="",H11=""),"",E11-H11)</f>
        <v/>
      </c>
      <c r="J11" s="4"/>
    </row>
    <row r="12">
      <c r="A12" s="7"/>
      <c r="B12" s="4"/>
      <c r="C12" s="6"/>
      <c r="D12" s="5" t="str">
        <f>IF(B12="","",IFERROR(INDEX(Articles!$E:$E,MATCH(B12,Articles!$B:$B,0)),""))</f>
        <v/>
      </c>
      <c r="E12" s="9" t="str">
        <f>IF(OR(C12="",D12=""),"",C12*D12)</f>
        <v/>
      </c>
      <c r="F12" s="4"/>
      <c r="G12" s="4"/>
      <c r="H12" s="9" t="str">
        <f>IF(OR(B12="",C12=""),"",C12*IFERROR(INDEX(Articles!$D:$D,MATCH(B12,Articles!$B:$B,0)),0))</f>
        <v/>
      </c>
      <c r="I12" s="9" t="str">
        <f>IF(OR(E12="",H12=""),"",E12-H12)</f>
        <v/>
      </c>
      <c r="J12" s="4"/>
    </row>
    <row r="13">
      <c r="A13" s="7"/>
      <c r="B13" s="4"/>
      <c r="C13" s="6"/>
      <c r="D13" s="5" t="str">
        <f>IF(B13="","",IFERROR(INDEX(Articles!$E:$E,MATCH(B13,Articles!$B:$B,0)),""))</f>
        <v/>
      </c>
      <c r="E13" s="9" t="str">
        <f>IF(OR(C13="",D13=""),"",C13*D13)</f>
        <v/>
      </c>
      <c r="F13" s="4"/>
      <c r="G13" s="4"/>
      <c r="H13" s="9" t="str">
        <f>IF(OR(B13="",C13=""),"",C13*IFERROR(INDEX(Articles!$D:$D,MATCH(B13,Articles!$B:$B,0)),0))</f>
        <v/>
      </c>
      <c r="I13" s="9" t="str">
        <f>IF(OR(E13="",H13=""),"",E13-H13)</f>
        <v/>
      </c>
      <c r="J13" s="4"/>
    </row>
    <row r="14">
      <c r="A14" s="7"/>
      <c r="B14" s="4"/>
      <c r="C14" s="6"/>
      <c r="D14" s="5" t="str">
        <f>IF(B14="","",IFERROR(INDEX(Articles!$E:$E,MATCH(B14,Articles!$B:$B,0)),""))</f>
        <v/>
      </c>
      <c r="E14" s="9" t="str">
        <f>IF(OR(C14="",D14=""),"",C14*D14)</f>
        <v/>
      </c>
      <c r="F14" s="4"/>
      <c r="G14" s="4"/>
      <c r="H14" s="9" t="str">
        <f>IF(OR(B14="",C14=""),"",C14*IFERROR(INDEX(Articles!$D:$D,MATCH(B14,Articles!$B:$B,0)),0))</f>
        <v/>
      </c>
      <c r="I14" s="9" t="str">
        <f>IF(OR(E14="",H14=""),"",E14-H14)</f>
        <v/>
      </c>
      <c r="J14" s="4"/>
    </row>
    <row r="15">
      <c r="A15" s="7"/>
      <c r="B15" s="4"/>
      <c r="C15" s="6"/>
      <c r="D15" s="5" t="str">
        <f>IF(B15="","",IFERROR(INDEX(Articles!$E:$E,MATCH(B15,Articles!$B:$B,0)),""))</f>
        <v/>
      </c>
      <c r="E15" s="9" t="str">
        <f>IF(OR(C15="",D15=""),"",C15*D15)</f>
        <v/>
      </c>
      <c r="F15" s="4"/>
      <c r="G15" s="4"/>
      <c r="H15" s="9" t="str">
        <f>IF(OR(B15="",C15=""),"",C15*IFERROR(INDEX(Articles!$D:$D,MATCH(B15,Articles!$B:$B,0)),0))</f>
        <v/>
      </c>
      <c r="I15" s="9" t="str">
        <f>IF(OR(E15="",H15=""),"",E15-H15)</f>
        <v/>
      </c>
      <c r="J15" s="4"/>
    </row>
    <row r="16">
      <c r="A16" s="7"/>
      <c r="B16" s="4"/>
      <c r="C16" s="6"/>
      <c r="D16" s="5" t="str">
        <f>IF(B16="","",IFERROR(INDEX(Articles!$E:$E,MATCH(B16,Articles!$B:$B,0)),""))</f>
        <v/>
      </c>
      <c r="E16" s="9" t="str">
        <f>IF(OR(C16="",D16=""),"",C16*D16)</f>
        <v/>
      </c>
      <c r="F16" s="4"/>
      <c r="G16" s="4"/>
      <c r="H16" s="9" t="str">
        <f>IF(OR(B16="",C16=""),"",C16*IFERROR(INDEX(Articles!$D:$D,MATCH(B16,Articles!$B:$B,0)),0))</f>
        <v/>
      </c>
      <c r="I16" s="9" t="str">
        <f>IF(OR(E16="",H16=""),"",E16-H16)</f>
        <v/>
      </c>
      <c r="J16" s="4"/>
    </row>
    <row r="17">
      <c r="A17" s="7"/>
      <c r="B17" s="4"/>
      <c r="C17" s="6"/>
      <c r="D17" s="5" t="str">
        <f>IF(B17="","",IFERROR(INDEX(Articles!$E:$E,MATCH(B17,Articles!$B:$B,0)),""))</f>
        <v/>
      </c>
      <c r="E17" s="9" t="str">
        <f>IF(OR(C17="",D17=""),"",C17*D17)</f>
        <v/>
      </c>
      <c r="F17" s="4"/>
      <c r="G17" s="4"/>
      <c r="H17" s="9" t="str">
        <f>IF(OR(B17="",C17=""),"",C17*IFERROR(INDEX(Articles!$D:$D,MATCH(B17,Articles!$B:$B,0)),0))</f>
        <v/>
      </c>
      <c r="I17" s="9" t="str">
        <f>IF(OR(E17="",H17=""),"",E17-H17)</f>
        <v/>
      </c>
      <c r="J17" s="4"/>
    </row>
    <row r="18">
      <c r="A18" s="7"/>
      <c r="B18" s="4"/>
      <c r="C18" s="6"/>
      <c r="D18" s="5" t="str">
        <f>IF(B18="","",IFERROR(INDEX(Articles!$E:$E,MATCH(B18,Articles!$B:$B,0)),""))</f>
        <v/>
      </c>
      <c r="E18" s="9" t="str">
        <f>IF(OR(C18="",D18=""),"",C18*D18)</f>
        <v/>
      </c>
      <c r="F18" s="4"/>
      <c r="G18" s="4"/>
      <c r="H18" s="9" t="str">
        <f>IF(OR(B18="",C18=""),"",C18*IFERROR(INDEX(Articles!$D:$D,MATCH(B18,Articles!$B:$B,0)),0))</f>
        <v/>
      </c>
      <c r="I18" s="9" t="str">
        <f>IF(OR(E18="",H18=""),"",E18-H18)</f>
        <v/>
      </c>
      <c r="J18" s="4"/>
    </row>
    <row r="19">
      <c r="A19" s="7"/>
      <c r="B19" s="4"/>
      <c r="C19" s="6"/>
      <c r="D19" s="5" t="str">
        <f>IF(B19="","",IFERROR(INDEX(Articles!$E:$E,MATCH(B19,Articles!$B:$B,0)),""))</f>
        <v/>
      </c>
      <c r="E19" s="9" t="str">
        <f>IF(OR(C19="",D19=""),"",C19*D19)</f>
        <v/>
      </c>
      <c r="F19" s="4"/>
      <c r="G19" s="4"/>
      <c r="H19" s="9" t="str">
        <f>IF(OR(B19="",C19=""),"",C19*IFERROR(INDEX(Articles!$D:$D,MATCH(B19,Articles!$B:$B,0)),0))</f>
        <v/>
      </c>
      <c r="I19" s="9" t="str">
        <f>IF(OR(E19="",H19=""),"",E19-H19)</f>
        <v/>
      </c>
      <c r="J19" s="4"/>
    </row>
    <row r="20">
      <c r="A20" s="7"/>
      <c r="B20" s="4"/>
      <c r="C20" s="6"/>
      <c r="D20" s="5" t="str">
        <f>IF(B20="","",IFERROR(INDEX(Articles!$E:$E,MATCH(B20,Articles!$B:$B,0)),""))</f>
        <v/>
      </c>
      <c r="E20" s="9" t="str">
        <f>IF(OR(C20="",D20=""),"",C20*D20)</f>
        <v/>
      </c>
      <c r="F20" s="4"/>
      <c r="G20" s="4"/>
      <c r="H20" s="9" t="str">
        <f>IF(OR(B20="",C20=""),"",C20*IFERROR(INDEX(Articles!$D:$D,MATCH(B20,Articles!$B:$B,0)),0))</f>
        <v/>
      </c>
      <c r="I20" s="9" t="str">
        <f>IF(OR(E20="",H20=""),"",E20-H20)</f>
        <v/>
      </c>
      <c r="J20" s="4"/>
    </row>
    <row r="21">
      <c r="A21" s="7"/>
      <c r="B21" s="4"/>
      <c r="C21" s="6"/>
      <c r="D21" s="5" t="str">
        <f>IF(B21="","",IFERROR(INDEX(Articles!$E:$E,MATCH(B21,Articles!$B:$B,0)),""))</f>
        <v/>
      </c>
      <c r="E21" s="9" t="str">
        <f>IF(OR(C21="",D21=""),"",C21*D21)</f>
        <v/>
      </c>
      <c r="F21" s="4"/>
      <c r="G21" s="4"/>
      <c r="H21" s="9" t="str">
        <f>IF(OR(B21="",C21=""),"",C21*IFERROR(INDEX(Articles!$D:$D,MATCH(B21,Articles!$B:$B,0)),0))</f>
        <v/>
      </c>
      <c r="I21" s="9" t="str">
        <f>IF(OR(E21="",H21=""),"",E21-H21)</f>
        <v/>
      </c>
      <c r="J21" s="4"/>
    </row>
    <row r="22">
      <c r="A22" s="7"/>
      <c r="B22" s="4"/>
      <c r="C22" s="6"/>
      <c r="D22" s="5" t="str">
        <f>IF(B22="","",IFERROR(INDEX(Articles!$E:$E,MATCH(B22,Articles!$B:$B,0)),""))</f>
        <v/>
      </c>
      <c r="E22" s="9" t="str">
        <f>IF(OR(C22="",D22=""),"",C22*D22)</f>
        <v/>
      </c>
      <c r="F22" s="4"/>
      <c r="G22" s="4"/>
      <c r="H22" s="9" t="str">
        <f>IF(OR(B22="",C22=""),"",C22*IFERROR(INDEX(Articles!$D:$D,MATCH(B22,Articles!$B:$B,0)),0))</f>
        <v/>
      </c>
      <c r="I22" s="9" t="str">
        <f>IF(OR(E22="",H22=""),"",E22-H22)</f>
        <v/>
      </c>
      <c r="J22" s="4"/>
    </row>
    <row r="23">
      <c r="A23" s="7"/>
      <c r="B23" s="4"/>
      <c r="C23" s="6"/>
      <c r="D23" s="5" t="str">
        <f>IF(B23="","",IFERROR(INDEX(Articles!$E:$E,MATCH(B23,Articles!$B:$B,0)),""))</f>
        <v/>
      </c>
      <c r="E23" s="9" t="str">
        <f>IF(OR(C23="",D23=""),"",C23*D23)</f>
        <v/>
      </c>
      <c r="F23" s="4"/>
      <c r="G23" s="4"/>
      <c r="H23" s="9" t="str">
        <f>IF(OR(B23="",C23=""),"",C23*IFERROR(INDEX(Articles!$D:$D,MATCH(B23,Articles!$B:$B,0)),0))</f>
        <v/>
      </c>
      <c r="I23" s="9" t="str">
        <f>IF(OR(E23="",H23=""),"",E23-H23)</f>
        <v/>
      </c>
      <c r="J23" s="4"/>
    </row>
    <row r="24">
      <c r="A24" s="7"/>
      <c r="B24" s="4"/>
      <c r="C24" s="6"/>
      <c r="D24" s="5" t="str">
        <f>IF(B24="","",IFERROR(INDEX(Articles!$E:$E,MATCH(B24,Articles!$B:$B,0)),""))</f>
        <v/>
      </c>
      <c r="E24" s="9" t="str">
        <f>IF(OR(C24="",D24=""),"",C24*D24)</f>
        <v/>
      </c>
      <c r="F24" s="4"/>
      <c r="G24" s="4"/>
      <c r="H24" s="9" t="str">
        <f>IF(OR(B24="",C24=""),"",C24*IFERROR(INDEX(Articles!$D:$D,MATCH(B24,Articles!$B:$B,0)),0))</f>
        <v/>
      </c>
      <c r="I24" s="9" t="str">
        <f>IF(OR(E24="",H24=""),"",E24-H24)</f>
        <v/>
      </c>
      <c r="J24" s="4"/>
    </row>
    <row r="25">
      <c r="A25" s="7"/>
      <c r="B25" s="4"/>
      <c r="C25" s="6"/>
      <c r="D25" s="5" t="str">
        <f>IF(B25="","",IFERROR(INDEX(Articles!$E:$E,MATCH(B25,Articles!$B:$B,0)),""))</f>
        <v/>
      </c>
      <c r="E25" s="9" t="str">
        <f>IF(OR(C25="",D25=""),"",C25*D25)</f>
        <v/>
      </c>
      <c r="F25" s="4"/>
      <c r="G25" s="4"/>
      <c r="H25" s="9" t="str">
        <f>IF(OR(B25="",C25=""),"",C25*IFERROR(INDEX(Articles!$D:$D,MATCH(B25,Articles!$B:$B,0)),0))</f>
        <v/>
      </c>
      <c r="I25" s="9" t="str">
        <f>IF(OR(E25="",H25=""),"",E25-H25)</f>
        <v/>
      </c>
      <c r="J25" s="4"/>
    </row>
    <row r="26">
      <c r="A26" s="7"/>
      <c r="B26" s="4"/>
      <c r="C26" s="6"/>
      <c r="D26" s="5" t="str">
        <f>IF(B26="","",IFERROR(INDEX(Articles!$E:$E,MATCH(B26,Articles!$B:$B,0)),""))</f>
        <v/>
      </c>
      <c r="E26" s="9" t="str">
        <f>IF(OR(C26="",D26=""),"",C26*D26)</f>
        <v/>
      </c>
      <c r="F26" s="4"/>
      <c r="G26" s="4"/>
      <c r="H26" s="9" t="str">
        <f>IF(OR(B26="",C26=""),"",C26*IFERROR(INDEX(Articles!$D:$D,MATCH(B26,Articles!$B:$B,0)),0))</f>
        <v/>
      </c>
      <c r="I26" s="9" t="str">
        <f>IF(OR(E26="",H26=""),"",E26-H26)</f>
        <v/>
      </c>
      <c r="J26" s="4"/>
    </row>
    <row r="27">
      <c r="A27" s="7"/>
      <c r="B27" s="4"/>
      <c r="C27" s="6"/>
      <c r="D27" s="5" t="str">
        <f>IF(B27="","",IFERROR(INDEX(Articles!$E:$E,MATCH(B27,Articles!$B:$B,0)),""))</f>
        <v/>
      </c>
      <c r="E27" s="9" t="str">
        <f>IF(OR(C27="",D27=""),"",C27*D27)</f>
        <v/>
      </c>
      <c r="F27" s="4"/>
      <c r="G27" s="4"/>
      <c r="H27" s="9" t="str">
        <f>IF(OR(B27="",C27=""),"",C27*IFERROR(INDEX(Articles!$D:$D,MATCH(B27,Articles!$B:$B,0)),0))</f>
        <v/>
      </c>
      <c r="I27" s="9" t="str">
        <f>IF(OR(E27="",H27=""),"",E27-H27)</f>
        <v/>
      </c>
      <c r="J27" s="4"/>
    </row>
    <row r="28">
      <c r="A28" s="7"/>
      <c r="B28" s="4"/>
      <c r="C28" s="6"/>
      <c r="D28" s="5" t="str">
        <f>IF(B28="","",IFERROR(INDEX(Articles!$E:$E,MATCH(B28,Articles!$B:$B,0)),""))</f>
        <v/>
      </c>
      <c r="E28" s="9" t="str">
        <f>IF(OR(C28="",D28=""),"",C28*D28)</f>
        <v/>
      </c>
      <c r="F28" s="4"/>
      <c r="G28" s="4"/>
      <c r="H28" s="9" t="str">
        <f>IF(OR(B28="",C28=""),"",C28*IFERROR(INDEX(Articles!$D:$D,MATCH(B28,Articles!$B:$B,0)),0))</f>
        <v/>
      </c>
      <c r="I28" s="9" t="str">
        <f>IF(OR(E28="",H28=""),"",E28-H28)</f>
        <v/>
      </c>
      <c r="J28" s="4"/>
    </row>
    <row r="29">
      <c r="A29" s="7"/>
      <c r="B29" s="4"/>
      <c r="C29" s="6"/>
      <c r="D29" s="5" t="str">
        <f>IF(B29="","",IFERROR(INDEX(Articles!$E:$E,MATCH(B29,Articles!$B:$B,0)),""))</f>
        <v/>
      </c>
      <c r="E29" s="9" t="str">
        <f>IF(OR(C29="",D29=""),"",C29*D29)</f>
        <v/>
      </c>
      <c r="F29" s="4"/>
      <c r="G29" s="4"/>
      <c r="H29" s="9" t="str">
        <f>IF(OR(B29="",C29=""),"",C29*IFERROR(INDEX(Articles!$D:$D,MATCH(B29,Articles!$B:$B,0)),0))</f>
        <v/>
      </c>
      <c r="I29" s="9" t="str">
        <f>IF(OR(E29="",H29=""),"",E29-H29)</f>
        <v/>
      </c>
      <c r="J29" s="4"/>
    </row>
    <row r="30">
      <c r="A30" s="7"/>
      <c r="B30" s="4"/>
      <c r="C30" s="6"/>
      <c r="D30" s="5" t="str">
        <f>IF(B30="","",IFERROR(INDEX(Articles!$E:$E,MATCH(B30,Articles!$B:$B,0)),""))</f>
        <v/>
      </c>
      <c r="E30" s="9" t="str">
        <f>IF(OR(C30="",D30=""),"",C30*D30)</f>
        <v/>
      </c>
      <c r="F30" s="4"/>
      <c r="G30" s="4"/>
      <c r="H30" s="9" t="str">
        <f>IF(OR(B30="",C30=""),"",C30*IFERROR(INDEX(Articles!$D:$D,MATCH(B30,Articles!$B:$B,0)),0))</f>
        <v/>
      </c>
      <c r="I30" s="9" t="str">
        <f>IF(OR(E30="",H30=""),"",E30-H30)</f>
        <v/>
      </c>
      <c r="J30" s="4"/>
    </row>
    <row r="31">
      <c r="A31" s="7"/>
      <c r="B31" s="4"/>
      <c r="C31" s="6"/>
      <c r="D31" s="5" t="str">
        <f>IF(B31="","",IFERROR(INDEX(Articles!$E:$E,MATCH(B31,Articles!$B:$B,0)),""))</f>
        <v/>
      </c>
      <c r="E31" s="9" t="str">
        <f>IF(OR(C31="",D31=""),"",C31*D31)</f>
        <v/>
      </c>
      <c r="F31" s="4"/>
      <c r="G31" s="4"/>
      <c r="H31" s="9" t="str">
        <f>IF(OR(B31="",C31=""),"",C31*IFERROR(INDEX(Articles!$D:$D,MATCH(B31,Articles!$B:$B,0)),0))</f>
        <v/>
      </c>
      <c r="I31" s="9" t="str">
        <f>IF(OR(E31="",H31=""),"",E31-H31)</f>
        <v/>
      </c>
      <c r="J31" s="4"/>
    </row>
    <row r="32">
      <c r="A32" s="7"/>
      <c r="B32" s="4"/>
      <c r="C32" s="6"/>
      <c r="D32" s="5" t="str">
        <f>IF(B32="","",IFERROR(INDEX(Articles!$E:$E,MATCH(B32,Articles!$B:$B,0)),""))</f>
        <v/>
      </c>
      <c r="E32" s="9" t="str">
        <f>IF(OR(C32="",D32=""),"",C32*D32)</f>
        <v/>
      </c>
      <c r="F32" s="4"/>
      <c r="G32" s="4"/>
      <c r="H32" s="9" t="str">
        <f>IF(OR(B32="",C32=""),"",C32*IFERROR(INDEX(Articles!$D:$D,MATCH(B32,Articles!$B:$B,0)),0))</f>
        <v/>
      </c>
      <c r="I32" s="9" t="str">
        <f>IF(OR(E32="",H32=""),"",E32-H32)</f>
        <v/>
      </c>
      <c r="J32" s="4"/>
    </row>
    <row r="33">
      <c r="A33" s="7"/>
      <c r="B33" s="4"/>
      <c r="C33" s="6"/>
      <c r="D33" s="5" t="str">
        <f>IF(B33="","",IFERROR(INDEX(Articles!$E:$E,MATCH(B33,Articles!$B:$B,0)),""))</f>
        <v/>
      </c>
      <c r="E33" s="9" t="str">
        <f>IF(OR(C33="",D33=""),"",C33*D33)</f>
        <v/>
      </c>
      <c r="F33" s="4"/>
      <c r="G33" s="4"/>
      <c r="H33" s="9" t="str">
        <f>IF(OR(B33="",C33=""),"",C33*IFERROR(INDEX(Articles!$D:$D,MATCH(B33,Articles!$B:$B,0)),0))</f>
        <v/>
      </c>
      <c r="I33" s="9" t="str">
        <f>IF(OR(E33="",H33=""),"",E33-H33)</f>
        <v/>
      </c>
      <c r="J33" s="4"/>
    </row>
    <row r="34">
      <c r="A34" s="7"/>
      <c r="B34" s="4"/>
      <c r="C34" s="6"/>
      <c r="D34" s="5" t="str">
        <f>IF(B34="","",IFERROR(INDEX(Articles!$E:$E,MATCH(B34,Articles!$B:$B,0)),""))</f>
        <v/>
      </c>
      <c r="E34" s="9" t="str">
        <f>IF(OR(C34="",D34=""),"",C34*D34)</f>
        <v/>
      </c>
      <c r="F34" s="4"/>
      <c r="G34" s="4"/>
      <c r="H34" s="9" t="str">
        <f>IF(OR(B34="",C34=""),"",C34*IFERROR(INDEX(Articles!$D:$D,MATCH(B34,Articles!$B:$B,0)),0))</f>
        <v/>
      </c>
      <c r="I34" s="9" t="str">
        <f>IF(OR(E34="",H34=""),"",E34-H34)</f>
        <v/>
      </c>
      <c r="J34" s="4"/>
    </row>
    <row r="35">
      <c r="A35" s="7"/>
      <c r="B35" s="4"/>
      <c r="C35" s="6"/>
      <c r="D35" s="5" t="str">
        <f>IF(B35="","",IFERROR(INDEX(Articles!$E:$E,MATCH(B35,Articles!$B:$B,0)),""))</f>
        <v/>
      </c>
      <c r="E35" s="9" t="str">
        <f>IF(OR(C35="",D35=""),"",C35*D35)</f>
        <v/>
      </c>
      <c r="F35" s="4"/>
      <c r="G35" s="4"/>
      <c r="H35" s="9" t="str">
        <f>IF(OR(B35="",C35=""),"",C35*IFERROR(INDEX(Articles!$D:$D,MATCH(B35,Articles!$B:$B,0)),0))</f>
        <v/>
      </c>
      <c r="I35" s="9" t="str">
        <f>IF(OR(E35="",H35=""),"",E35-H35)</f>
        <v/>
      </c>
      <c r="J35" s="4"/>
    </row>
    <row r="36">
      <c r="A36" s="7"/>
      <c r="B36" s="4"/>
      <c r="C36" s="6"/>
      <c r="D36" s="5" t="str">
        <f>IF(B36="","",IFERROR(INDEX(Articles!$E:$E,MATCH(B36,Articles!$B:$B,0)),""))</f>
        <v/>
      </c>
      <c r="E36" s="9" t="str">
        <f>IF(OR(C36="",D36=""),"",C36*D36)</f>
        <v/>
      </c>
      <c r="F36" s="4"/>
      <c r="G36" s="4"/>
      <c r="H36" s="9" t="str">
        <f>IF(OR(B36="",C36=""),"",C36*IFERROR(INDEX(Articles!$D:$D,MATCH(B36,Articles!$B:$B,0)),0))</f>
        <v/>
      </c>
      <c r="I36" s="9" t="str">
        <f>IF(OR(E36="",H36=""),"",E36-H36)</f>
        <v/>
      </c>
      <c r="J36" s="4"/>
    </row>
    <row r="37">
      <c r="A37" s="7"/>
      <c r="B37" s="4"/>
      <c r="C37" s="6"/>
      <c r="D37" s="5" t="str">
        <f>IF(B37="","",IFERROR(INDEX(Articles!$E:$E,MATCH(B37,Articles!$B:$B,0)),""))</f>
        <v/>
      </c>
      <c r="E37" s="9" t="str">
        <f>IF(OR(C37="",D37=""),"",C37*D37)</f>
        <v/>
      </c>
      <c r="F37" s="4"/>
      <c r="G37" s="4"/>
      <c r="H37" s="9" t="str">
        <f>IF(OR(B37="",C37=""),"",C37*IFERROR(INDEX(Articles!$D:$D,MATCH(B37,Articles!$B:$B,0)),0))</f>
        <v/>
      </c>
      <c r="I37" s="9" t="str">
        <f>IF(OR(E37="",H37=""),"",E37-H37)</f>
        <v/>
      </c>
      <c r="J37" s="4"/>
    </row>
    <row r="38">
      <c r="A38" s="7"/>
      <c r="B38" s="4"/>
      <c r="C38" s="6"/>
      <c r="D38" s="5" t="str">
        <f>IF(B38="","",IFERROR(INDEX(Articles!$E:$E,MATCH(B38,Articles!$B:$B,0)),""))</f>
        <v/>
      </c>
      <c r="E38" s="9" t="str">
        <f>IF(OR(C38="",D38=""),"",C38*D38)</f>
        <v/>
      </c>
      <c r="F38" s="4"/>
      <c r="G38" s="4"/>
      <c r="H38" s="9" t="str">
        <f>IF(OR(B38="",C38=""),"",C38*IFERROR(INDEX(Articles!$D:$D,MATCH(B38,Articles!$B:$B,0)),0))</f>
        <v/>
      </c>
      <c r="I38" s="9" t="str">
        <f>IF(OR(E38="",H38=""),"",E38-H38)</f>
        <v/>
      </c>
      <c r="J38" s="4"/>
    </row>
    <row r="39">
      <c r="A39" s="7"/>
      <c r="B39" s="4"/>
      <c r="C39" s="6"/>
      <c r="D39" s="5" t="str">
        <f>IF(B39="","",IFERROR(INDEX(Articles!$E:$E,MATCH(B39,Articles!$B:$B,0)),""))</f>
        <v/>
      </c>
      <c r="E39" s="9" t="str">
        <f>IF(OR(C39="",D39=""),"",C39*D39)</f>
        <v/>
      </c>
      <c r="F39" s="4"/>
      <c r="G39" s="4"/>
      <c r="H39" s="9" t="str">
        <f>IF(OR(B39="",C39=""),"",C39*IFERROR(INDEX(Articles!$D:$D,MATCH(B39,Articles!$B:$B,0)),0))</f>
        <v/>
      </c>
      <c r="I39" s="9" t="str">
        <f>IF(OR(E39="",H39=""),"",E39-H39)</f>
        <v/>
      </c>
      <c r="J39" s="4"/>
    </row>
    <row r="40">
      <c r="A40" s="7"/>
      <c r="B40" s="4"/>
      <c r="C40" s="6"/>
      <c r="D40" s="5" t="str">
        <f>IF(B40="","",IFERROR(INDEX(Articles!$E:$E,MATCH(B40,Articles!$B:$B,0)),""))</f>
        <v/>
      </c>
      <c r="E40" s="9" t="str">
        <f>IF(OR(C40="",D40=""),"",C40*D40)</f>
        <v/>
      </c>
      <c r="F40" s="4"/>
      <c r="G40" s="4"/>
      <c r="H40" s="9" t="str">
        <f>IF(OR(B40="",C40=""),"",C40*IFERROR(INDEX(Articles!$D:$D,MATCH(B40,Articles!$B:$B,0)),0))</f>
        <v/>
      </c>
      <c r="I40" s="9" t="str">
        <f>IF(OR(E40="",H40=""),"",E40-H40)</f>
        <v/>
      </c>
      <c r="J40" s="4"/>
    </row>
    <row r="41">
      <c r="A41" s="7"/>
      <c r="B41" s="4"/>
      <c r="C41" s="6"/>
      <c r="D41" s="5" t="str">
        <f>IF(B41="","",IFERROR(INDEX(Articles!$E:$E,MATCH(B41,Articles!$B:$B,0)),""))</f>
        <v/>
      </c>
      <c r="E41" s="9" t="str">
        <f>IF(OR(C41="",D41=""),"",C41*D41)</f>
        <v/>
      </c>
      <c r="F41" s="4"/>
      <c r="G41" s="4"/>
      <c r="H41" s="9" t="str">
        <f>IF(OR(B41="",C41=""),"",C41*IFERROR(INDEX(Articles!$D:$D,MATCH(B41,Articles!$B:$B,0)),0))</f>
        <v/>
      </c>
      <c r="I41" s="9" t="str">
        <f>IF(OR(E41="",H41=""),"",E41-H41)</f>
        <v/>
      </c>
      <c r="J41" s="4"/>
    </row>
    <row r="42">
      <c r="A42" s="7"/>
      <c r="B42" s="4"/>
      <c r="C42" s="6"/>
      <c r="D42" s="5" t="str">
        <f>IF(B42="","",IFERROR(INDEX(Articles!$E:$E,MATCH(B42,Articles!$B:$B,0)),""))</f>
        <v/>
      </c>
      <c r="E42" s="9" t="str">
        <f>IF(OR(C42="",D42=""),"",C42*D42)</f>
        <v/>
      </c>
      <c r="F42" s="4"/>
      <c r="G42" s="4"/>
      <c r="H42" s="9" t="str">
        <f>IF(OR(B42="",C42=""),"",C42*IFERROR(INDEX(Articles!$D:$D,MATCH(B42,Articles!$B:$B,0)),0))</f>
        <v/>
      </c>
      <c r="I42" s="9" t="str">
        <f>IF(OR(E42="",H42=""),"",E42-H42)</f>
        <v/>
      </c>
      <c r="J42" s="4"/>
    </row>
    <row r="43">
      <c r="A43" s="7"/>
      <c r="B43" s="4"/>
      <c r="C43" s="6"/>
      <c r="D43" s="5" t="str">
        <f>IF(B43="","",IFERROR(INDEX(Articles!$E:$E,MATCH(B43,Articles!$B:$B,0)),""))</f>
        <v/>
      </c>
      <c r="E43" s="9" t="str">
        <f>IF(OR(C43="",D43=""),"",C43*D43)</f>
        <v/>
      </c>
      <c r="F43" s="4"/>
      <c r="G43" s="4"/>
      <c r="H43" s="9" t="str">
        <f>IF(OR(B43="",C43=""),"",C43*IFERROR(INDEX(Articles!$D:$D,MATCH(B43,Articles!$B:$B,0)),0))</f>
        <v/>
      </c>
      <c r="I43" s="9" t="str">
        <f>IF(OR(E43="",H43=""),"",E43-H43)</f>
        <v/>
      </c>
      <c r="J43" s="4"/>
    </row>
    <row r="44">
      <c r="A44" s="7"/>
      <c r="B44" s="4"/>
      <c r="C44" s="6"/>
      <c r="D44" s="5" t="str">
        <f>IF(B44="","",IFERROR(INDEX(Articles!$E:$E,MATCH(B44,Articles!$B:$B,0)),""))</f>
        <v/>
      </c>
      <c r="E44" s="9" t="str">
        <f>IF(OR(C44="",D44=""),"",C44*D44)</f>
        <v/>
      </c>
      <c r="F44" s="4"/>
      <c r="G44" s="4"/>
      <c r="H44" s="9" t="str">
        <f>IF(OR(B44="",C44=""),"",C44*IFERROR(INDEX(Articles!$D:$D,MATCH(B44,Articles!$B:$B,0)),0))</f>
        <v/>
      </c>
      <c r="I44" s="9" t="str">
        <f>IF(OR(E44="",H44=""),"",E44-H44)</f>
        <v/>
      </c>
      <c r="J44" s="4"/>
    </row>
    <row r="45">
      <c r="A45" s="7"/>
      <c r="B45" s="4"/>
      <c r="C45" s="6"/>
      <c r="D45" s="5" t="str">
        <f>IF(B45="","",IFERROR(INDEX(Articles!$E:$E,MATCH(B45,Articles!$B:$B,0)),""))</f>
        <v/>
      </c>
      <c r="E45" s="9" t="str">
        <f>IF(OR(C45="",D45=""),"",C45*D45)</f>
        <v/>
      </c>
      <c r="F45" s="4"/>
      <c r="G45" s="4"/>
      <c r="H45" s="9" t="str">
        <f>IF(OR(B45="",C45=""),"",C45*IFERROR(INDEX(Articles!$D:$D,MATCH(B45,Articles!$B:$B,0)),0))</f>
        <v/>
      </c>
      <c r="I45" s="9" t="str">
        <f>IF(OR(E45="",H45=""),"",E45-H45)</f>
        <v/>
      </c>
      <c r="J45" s="4"/>
    </row>
    <row r="46">
      <c r="A46" s="7"/>
      <c r="B46" s="4"/>
      <c r="C46" s="6"/>
      <c r="D46" s="5" t="str">
        <f>IF(B46="","",IFERROR(INDEX(Articles!$E:$E,MATCH(B46,Articles!$B:$B,0)),""))</f>
        <v/>
      </c>
      <c r="E46" s="9" t="str">
        <f>IF(OR(C46="",D46=""),"",C46*D46)</f>
        <v/>
      </c>
      <c r="F46" s="4"/>
      <c r="G46" s="4"/>
      <c r="H46" s="9" t="str">
        <f>IF(OR(B46="",C46=""),"",C46*IFERROR(INDEX(Articles!$D:$D,MATCH(B46,Articles!$B:$B,0)),0))</f>
        <v/>
      </c>
      <c r="I46" s="9" t="str">
        <f>IF(OR(E46="",H46=""),"",E46-H46)</f>
        <v/>
      </c>
      <c r="J46" s="4"/>
    </row>
    <row r="47">
      <c r="A47" s="7"/>
      <c r="B47" s="4"/>
      <c r="C47" s="6"/>
      <c r="D47" s="5" t="str">
        <f>IF(B47="","",IFERROR(INDEX(Articles!$E:$E,MATCH(B47,Articles!$B:$B,0)),""))</f>
        <v/>
      </c>
      <c r="E47" s="9" t="str">
        <f>IF(OR(C47="",D47=""),"",C47*D47)</f>
        <v/>
      </c>
      <c r="F47" s="4"/>
      <c r="G47" s="4"/>
      <c r="H47" s="9" t="str">
        <f>IF(OR(B47="",C47=""),"",C47*IFERROR(INDEX(Articles!$D:$D,MATCH(B47,Articles!$B:$B,0)),0))</f>
        <v/>
      </c>
      <c r="I47" s="9" t="str">
        <f>IF(OR(E47="",H47=""),"",E47-H47)</f>
        <v/>
      </c>
      <c r="J47" s="4"/>
    </row>
    <row r="48">
      <c r="A48" s="7"/>
      <c r="B48" s="4"/>
      <c r="C48" s="6"/>
      <c r="D48" s="5" t="str">
        <f>IF(B48="","",IFERROR(INDEX(Articles!$E:$E,MATCH(B48,Articles!$B:$B,0)),""))</f>
        <v/>
      </c>
      <c r="E48" s="9" t="str">
        <f>IF(OR(C48="",D48=""),"",C48*D48)</f>
        <v/>
      </c>
      <c r="F48" s="4"/>
      <c r="G48" s="4"/>
      <c r="H48" s="9" t="str">
        <f>IF(OR(B48="",C48=""),"",C48*IFERROR(INDEX(Articles!$D:$D,MATCH(B48,Articles!$B:$B,0)),0))</f>
        <v/>
      </c>
      <c r="I48" s="9" t="str">
        <f>IF(OR(E48="",H48=""),"",E48-H48)</f>
        <v/>
      </c>
      <c r="J48" s="4"/>
    </row>
    <row r="49">
      <c r="A49" s="7"/>
      <c r="B49" s="4"/>
      <c r="C49" s="6"/>
      <c r="D49" s="5" t="str">
        <f>IF(B49="","",IFERROR(INDEX(Articles!$E:$E,MATCH(B49,Articles!$B:$B,0)),""))</f>
        <v/>
      </c>
      <c r="E49" s="9" t="str">
        <f>IF(OR(C49="",D49=""),"",C49*D49)</f>
        <v/>
      </c>
      <c r="F49" s="4"/>
      <c r="G49" s="4"/>
      <c r="H49" s="9" t="str">
        <f>IF(OR(B49="",C49=""),"",C49*IFERROR(INDEX(Articles!$D:$D,MATCH(B49,Articles!$B:$B,0)),0))</f>
        <v/>
      </c>
      <c r="I49" s="9" t="str">
        <f>IF(OR(E49="",H49=""),"",E49-H49)</f>
        <v/>
      </c>
      <c r="J49" s="4"/>
    </row>
    <row r="50">
      <c r="A50" s="7"/>
      <c r="B50" s="4"/>
      <c r="C50" s="6"/>
      <c r="D50" s="5" t="str">
        <f>IF(B50="","",IFERROR(INDEX(Articles!$E:$E,MATCH(B50,Articles!$B:$B,0)),""))</f>
        <v/>
      </c>
      <c r="E50" s="9" t="str">
        <f>IF(OR(C50="",D50=""),"",C50*D50)</f>
        <v/>
      </c>
      <c r="F50" s="4"/>
      <c r="G50" s="4"/>
      <c r="H50" s="9" t="str">
        <f>IF(OR(B50="",C50=""),"",C50*IFERROR(INDEX(Articles!$D:$D,MATCH(B50,Articles!$B:$B,0)),0))</f>
        <v/>
      </c>
      <c r="I50" s="9" t="str">
        <f>IF(OR(E50="",H50=""),"",E50-H50)</f>
        <v/>
      </c>
      <c r="J50" s="4"/>
    </row>
    <row r="51">
      <c r="A51" s="7"/>
      <c r="B51" s="4"/>
      <c r="C51" s="6"/>
      <c r="D51" s="5" t="str">
        <f>IF(B51="","",IFERROR(INDEX(Articles!$E:$E,MATCH(B51,Articles!$B:$B,0)),""))</f>
        <v/>
      </c>
      <c r="E51" s="9" t="str">
        <f>IF(OR(C51="",D51=""),"",C51*D51)</f>
        <v/>
      </c>
      <c r="F51" s="4"/>
      <c r="G51" s="4"/>
      <c r="H51" s="9" t="str">
        <f>IF(OR(B51="",C51=""),"",C51*IFERROR(INDEX(Articles!$D:$D,MATCH(B51,Articles!$B:$B,0)),0))</f>
        <v/>
      </c>
      <c r="I51" s="9" t="str">
        <f>IF(OR(E51="",H51=""),"",E51-H51)</f>
        <v/>
      </c>
      <c r="J51" s="4"/>
    </row>
    <row r="52">
      <c r="A52" s="7"/>
      <c r="B52" s="4"/>
      <c r="C52" s="6"/>
      <c r="D52" s="5" t="str">
        <f>IF(B52="","",IFERROR(INDEX(Articles!$E:$E,MATCH(B52,Articles!$B:$B,0)),""))</f>
        <v/>
      </c>
      <c r="E52" s="9" t="str">
        <f>IF(OR(C52="",D52=""),"",C52*D52)</f>
        <v/>
      </c>
      <c r="F52" s="4"/>
      <c r="G52" s="4"/>
      <c r="H52" s="9" t="str">
        <f>IF(OR(B52="",C52=""),"",C52*IFERROR(INDEX(Articles!$D:$D,MATCH(B52,Articles!$B:$B,0)),0))</f>
        <v/>
      </c>
      <c r="I52" s="9" t="str">
        <f>IF(OR(E52="",H52=""),"",E52-H52)</f>
        <v/>
      </c>
      <c r="J52" s="4"/>
    </row>
    <row r="53">
      <c r="A53" s="7"/>
      <c r="B53" s="4"/>
      <c r="C53" s="6"/>
      <c r="D53" s="5" t="str">
        <f>IF(B53="","",IFERROR(INDEX(Articles!$E:$E,MATCH(B53,Articles!$B:$B,0)),""))</f>
        <v/>
      </c>
      <c r="E53" s="9" t="str">
        <f>IF(OR(C53="",D53=""),"",C53*D53)</f>
        <v/>
      </c>
      <c r="F53" s="4"/>
      <c r="G53" s="4"/>
      <c r="H53" s="9" t="str">
        <f>IF(OR(B53="",C53=""),"",C53*IFERROR(INDEX(Articles!$D:$D,MATCH(B53,Articles!$B:$B,0)),0))</f>
        <v/>
      </c>
      <c r="I53" s="9" t="str">
        <f>IF(OR(E53="",H53=""),"",E53-H53)</f>
        <v/>
      </c>
      <c r="J53" s="4"/>
    </row>
    <row r="54">
      <c r="A54" s="7"/>
      <c r="B54" s="4"/>
      <c r="C54" s="6"/>
      <c r="D54" s="5" t="str">
        <f>IF(B54="","",IFERROR(INDEX(Articles!$E:$E,MATCH(B54,Articles!$B:$B,0)),""))</f>
        <v/>
      </c>
      <c r="E54" s="9" t="str">
        <f>IF(OR(C54="",D54=""),"",C54*D54)</f>
        <v/>
      </c>
      <c r="F54" s="4"/>
      <c r="G54" s="4"/>
      <c r="H54" s="9" t="str">
        <f>IF(OR(B54="",C54=""),"",C54*IFERROR(INDEX(Articles!$D:$D,MATCH(B54,Articles!$B:$B,0)),0))</f>
        <v/>
      </c>
      <c r="I54" s="9" t="str">
        <f>IF(OR(E54="",H54=""),"",E54-H54)</f>
        <v/>
      </c>
      <c r="J54" s="4"/>
    </row>
    <row r="55">
      <c r="A55" s="7"/>
      <c r="B55" s="4"/>
      <c r="C55" s="6"/>
      <c r="D55" s="5" t="str">
        <f>IF(B55="","",IFERROR(INDEX(Articles!$E:$E,MATCH(B55,Articles!$B:$B,0)),""))</f>
        <v/>
      </c>
      <c r="E55" s="9" t="str">
        <f>IF(OR(C55="",D55=""),"",C55*D55)</f>
        <v/>
      </c>
      <c r="F55" s="4"/>
      <c r="G55" s="4"/>
      <c r="H55" s="9" t="str">
        <f>IF(OR(B55="",C55=""),"",C55*IFERROR(INDEX(Articles!$D:$D,MATCH(B55,Articles!$B:$B,0)),0))</f>
        <v/>
      </c>
      <c r="I55" s="9" t="str">
        <f>IF(OR(E55="",H55=""),"",E55-H55)</f>
        <v/>
      </c>
      <c r="J55" s="4"/>
    </row>
    <row r="56">
      <c r="A56" s="7"/>
      <c r="B56" s="4"/>
      <c r="C56" s="6"/>
      <c r="D56" s="5" t="str">
        <f>IF(B56="","",IFERROR(INDEX(Articles!$E:$E,MATCH(B56,Articles!$B:$B,0)),""))</f>
        <v/>
      </c>
      <c r="E56" s="9" t="str">
        <f>IF(OR(C56="",D56=""),"",C56*D56)</f>
        <v/>
      </c>
      <c r="F56" s="4"/>
      <c r="G56" s="4"/>
      <c r="H56" s="9" t="str">
        <f>IF(OR(B56="",C56=""),"",C56*IFERROR(INDEX(Articles!$D:$D,MATCH(B56,Articles!$B:$B,0)),0))</f>
        <v/>
      </c>
      <c r="I56" s="9" t="str">
        <f>IF(OR(E56="",H56=""),"",E56-H56)</f>
        <v/>
      </c>
      <c r="J56" s="4"/>
    </row>
    <row r="57">
      <c r="A57" s="7"/>
      <c r="B57" s="4"/>
      <c r="C57" s="6"/>
      <c r="D57" s="5" t="str">
        <f>IF(B57="","",IFERROR(INDEX(Articles!$E:$E,MATCH(B57,Articles!$B:$B,0)),""))</f>
        <v/>
      </c>
      <c r="E57" s="9" t="str">
        <f>IF(OR(C57="",D57=""),"",C57*D57)</f>
        <v/>
      </c>
      <c r="F57" s="4"/>
      <c r="G57" s="4"/>
      <c r="H57" s="9" t="str">
        <f>IF(OR(B57="",C57=""),"",C57*IFERROR(INDEX(Articles!$D:$D,MATCH(B57,Articles!$B:$B,0)),0))</f>
        <v/>
      </c>
      <c r="I57" s="9" t="str">
        <f>IF(OR(E57="",H57=""),"",E57-H57)</f>
        <v/>
      </c>
      <c r="J57" s="4"/>
    </row>
    <row r="58">
      <c r="A58" s="7"/>
      <c r="B58" s="4"/>
      <c r="C58" s="6"/>
      <c r="D58" s="5" t="str">
        <f>IF(B58="","",IFERROR(INDEX(Articles!$E:$E,MATCH(B58,Articles!$B:$B,0)),""))</f>
        <v/>
      </c>
      <c r="E58" s="9" t="str">
        <f>IF(OR(C58="",D58=""),"",C58*D58)</f>
        <v/>
      </c>
      <c r="F58" s="4"/>
      <c r="G58" s="4"/>
      <c r="H58" s="9" t="str">
        <f>IF(OR(B58="",C58=""),"",C58*IFERROR(INDEX(Articles!$D:$D,MATCH(B58,Articles!$B:$B,0)),0))</f>
        <v/>
      </c>
      <c r="I58" s="9" t="str">
        <f>IF(OR(E58="",H58=""),"",E58-H58)</f>
        <v/>
      </c>
      <c r="J58" s="4"/>
    </row>
    <row r="59">
      <c r="A59" s="7"/>
      <c r="B59" s="4"/>
      <c r="C59" s="6"/>
      <c r="D59" s="5" t="str">
        <f>IF(B59="","",IFERROR(INDEX(Articles!$E:$E,MATCH(B59,Articles!$B:$B,0)),""))</f>
        <v/>
      </c>
      <c r="E59" s="9" t="str">
        <f>IF(OR(C59="",D59=""),"",C59*D59)</f>
        <v/>
      </c>
      <c r="F59" s="4"/>
      <c r="G59" s="4"/>
      <c r="H59" s="9" t="str">
        <f>IF(OR(B59="",C59=""),"",C59*IFERROR(INDEX(Articles!$D:$D,MATCH(B59,Articles!$B:$B,0)),0))</f>
        <v/>
      </c>
      <c r="I59" s="9" t="str">
        <f>IF(OR(E59="",H59=""),"",E59-H59)</f>
        <v/>
      </c>
      <c r="J59" s="4"/>
    </row>
    <row r="60">
      <c r="A60" s="7"/>
      <c r="B60" s="4"/>
      <c r="C60" s="6"/>
      <c r="D60" s="5" t="str">
        <f>IF(B60="","",IFERROR(INDEX(Articles!$E:$E,MATCH(B60,Articles!$B:$B,0)),""))</f>
        <v/>
      </c>
      <c r="E60" s="9" t="str">
        <f>IF(OR(C60="",D60=""),"",C60*D60)</f>
        <v/>
      </c>
      <c r="F60" s="4"/>
      <c r="G60" s="4"/>
      <c r="H60" s="9" t="str">
        <f>IF(OR(B60="",C60=""),"",C60*IFERROR(INDEX(Articles!$D:$D,MATCH(B60,Articles!$B:$B,0)),0))</f>
        <v/>
      </c>
      <c r="I60" s="9" t="str">
        <f>IF(OR(E60="",H60=""),"",E60-H60)</f>
        <v/>
      </c>
      <c r="J60" s="4"/>
    </row>
    <row r="61">
      <c r="A61" s="7"/>
      <c r="B61" s="4"/>
      <c r="C61" s="6"/>
      <c r="D61" s="5" t="str">
        <f>IF(B61="","",IFERROR(INDEX(Articles!$E:$E,MATCH(B61,Articles!$B:$B,0)),""))</f>
        <v/>
      </c>
      <c r="E61" s="9" t="str">
        <f>IF(OR(C61="",D61=""),"",C61*D61)</f>
        <v/>
      </c>
      <c r="F61" s="4"/>
      <c r="G61" s="4"/>
      <c r="H61" s="9" t="str">
        <f>IF(OR(B61="",C61=""),"",C61*IFERROR(INDEX(Articles!$D:$D,MATCH(B61,Articles!$B:$B,0)),0))</f>
        <v/>
      </c>
      <c r="I61" s="9" t="str">
        <f>IF(OR(E61="",H61=""),"",E61-H61)</f>
        <v/>
      </c>
      <c r="J61" s="4"/>
    </row>
    <row r="62">
      <c r="A62" s="7"/>
      <c r="B62" s="4"/>
      <c r="C62" s="6"/>
      <c r="D62" s="5" t="str">
        <f>IF(B62="","",IFERROR(INDEX(Articles!$E:$E,MATCH(B62,Articles!$B:$B,0)),""))</f>
        <v/>
      </c>
      <c r="E62" s="9" t="str">
        <f>IF(OR(C62="",D62=""),"",C62*D62)</f>
        <v/>
      </c>
      <c r="F62" s="4"/>
      <c r="G62" s="4"/>
      <c r="H62" s="9" t="str">
        <f>IF(OR(B62="",C62=""),"",C62*IFERROR(INDEX(Articles!$D:$D,MATCH(B62,Articles!$B:$B,0)),0))</f>
        <v/>
      </c>
      <c r="I62" s="9" t="str">
        <f>IF(OR(E62="",H62=""),"",E62-H62)</f>
        <v/>
      </c>
      <c r="J62" s="4"/>
    </row>
    <row r="63">
      <c r="A63" s="7"/>
      <c r="B63" s="4"/>
      <c r="C63" s="6"/>
      <c r="D63" s="5" t="str">
        <f>IF(B63="","",IFERROR(INDEX(Articles!$E:$E,MATCH(B63,Articles!$B:$B,0)),""))</f>
        <v/>
      </c>
      <c r="E63" s="9" t="str">
        <f>IF(OR(C63="",D63=""),"",C63*D63)</f>
        <v/>
      </c>
      <c r="F63" s="4"/>
      <c r="G63" s="4"/>
      <c r="H63" s="9" t="str">
        <f>IF(OR(B63="",C63=""),"",C63*IFERROR(INDEX(Articles!$D:$D,MATCH(B63,Articles!$B:$B,0)),0))</f>
        <v/>
      </c>
      <c r="I63" s="9" t="str">
        <f>IF(OR(E63="",H63=""),"",E63-H63)</f>
        <v/>
      </c>
      <c r="J63" s="4"/>
    </row>
    <row r="64">
      <c r="A64" s="7"/>
      <c r="B64" s="4"/>
      <c r="C64" s="6"/>
      <c r="D64" s="5" t="str">
        <f>IF(B64="","",IFERROR(INDEX(Articles!$E:$E,MATCH(B64,Articles!$B:$B,0)),""))</f>
        <v/>
      </c>
      <c r="E64" s="9" t="str">
        <f>IF(OR(C64="",D64=""),"",C64*D64)</f>
        <v/>
      </c>
      <c r="F64" s="4"/>
      <c r="G64" s="4"/>
      <c r="H64" s="9" t="str">
        <f>IF(OR(B64="",C64=""),"",C64*IFERROR(INDEX(Articles!$D:$D,MATCH(B64,Articles!$B:$B,0)),0))</f>
        <v/>
      </c>
      <c r="I64" s="9" t="str">
        <f>IF(OR(E64="",H64=""),"",E64-H64)</f>
        <v/>
      </c>
      <c r="J64" s="4"/>
    </row>
    <row r="65">
      <c r="A65" s="7"/>
      <c r="B65" s="4"/>
      <c r="C65" s="6"/>
      <c r="D65" s="5" t="str">
        <f>IF(B65="","",IFERROR(INDEX(Articles!$E:$E,MATCH(B65,Articles!$B:$B,0)),""))</f>
        <v/>
      </c>
      <c r="E65" s="9" t="str">
        <f>IF(OR(C65="",D65=""),"",C65*D65)</f>
        <v/>
      </c>
      <c r="F65" s="4"/>
      <c r="G65" s="4"/>
      <c r="H65" s="9" t="str">
        <f>IF(OR(B65="",C65=""),"",C65*IFERROR(INDEX(Articles!$D:$D,MATCH(B65,Articles!$B:$B,0)),0))</f>
        <v/>
      </c>
      <c r="I65" s="9" t="str">
        <f>IF(OR(E65="",H65=""),"",E65-H65)</f>
        <v/>
      </c>
      <c r="J65" s="4"/>
    </row>
    <row r="66">
      <c r="A66" s="7"/>
      <c r="B66" s="4"/>
      <c r="C66" s="6"/>
      <c r="D66" s="5" t="str">
        <f>IF(B66="","",IFERROR(INDEX(Articles!$E:$E,MATCH(B66,Articles!$B:$B,0)),""))</f>
        <v/>
      </c>
      <c r="E66" s="9" t="str">
        <f>IF(OR(C66="",D66=""),"",C66*D66)</f>
        <v/>
      </c>
      <c r="F66" s="4"/>
      <c r="G66" s="4"/>
      <c r="H66" s="9" t="str">
        <f>IF(OR(B66="",C66=""),"",C66*IFERROR(INDEX(Articles!$D:$D,MATCH(B66,Articles!$B:$B,0)),0))</f>
        <v/>
      </c>
      <c r="I66" s="9" t="str">
        <f>IF(OR(E66="",H66=""),"",E66-H66)</f>
        <v/>
      </c>
      <c r="J66" s="4"/>
    </row>
    <row r="67">
      <c r="A67" s="7"/>
      <c r="B67" s="4"/>
      <c r="C67" s="6"/>
      <c r="D67" s="5" t="str">
        <f>IF(B67="","",IFERROR(INDEX(Articles!$E:$E,MATCH(B67,Articles!$B:$B,0)),""))</f>
        <v/>
      </c>
      <c r="E67" s="9" t="str">
        <f>IF(OR(C67="",D67=""),"",C67*D67)</f>
        <v/>
      </c>
      <c r="F67" s="4"/>
      <c r="G67" s="4"/>
      <c r="H67" s="9" t="str">
        <f>IF(OR(B67="",C67=""),"",C67*IFERROR(INDEX(Articles!$D:$D,MATCH(B67,Articles!$B:$B,0)),0))</f>
        <v/>
      </c>
      <c r="I67" s="9" t="str">
        <f>IF(OR(E67="",H67=""),"",E67-H67)</f>
        <v/>
      </c>
      <c r="J67" s="4"/>
    </row>
    <row r="68">
      <c r="A68" s="7"/>
      <c r="B68" s="4"/>
      <c r="C68" s="6"/>
      <c r="D68" s="5" t="str">
        <f>IF(B68="","",IFERROR(INDEX(Articles!$E:$E,MATCH(B68,Articles!$B:$B,0)),""))</f>
        <v/>
      </c>
      <c r="E68" s="9" t="str">
        <f>IF(OR(C68="",D68=""),"",C68*D68)</f>
        <v/>
      </c>
      <c r="F68" s="4"/>
      <c r="G68" s="4"/>
      <c r="H68" s="9" t="str">
        <f>IF(OR(B68="",C68=""),"",C68*IFERROR(INDEX(Articles!$D:$D,MATCH(B68,Articles!$B:$B,0)),0))</f>
        <v/>
      </c>
      <c r="I68" s="9" t="str">
        <f>IF(OR(E68="",H68=""),"",E68-H68)</f>
        <v/>
      </c>
      <c r="J68" s="4"/>
    </row>
    <row r="69">
      <c r="A69" s="7"/>
      <c r="B69" s="4"/>
      <c r="C69" s="6"/>
      <c r="D69" s="5" t="str">
        <f>IF(B69="","",IFERROR(INDEX(Articles!$E:$E,MATCH(B69,Articles!$B:$B,0)),""))</f>
        <v/>
      </c>
      <c r="E69" s="9" t="str">
        <f>IF(OR(C69="",D69=""),"",C69*D69)</f>
        <v/>
      </c>
      <c r="F69" s="4"/>
      <c r="G69" s="4"/>
      <c r="H69" s="9" t="str">
        <f>IF(OR(B69="",C69=""),"",C69*IFERROR(INDEX(Articles!$D:$D,MATCH(B69,Articles!$B:$B,0)),0))</f>
        <v/>
      </c>
      <c r="I69" s="9" t="str">
        <f>IF(OR(E69="",H69=""),"",E69-H69)</f>
        <v/>
      </c>
      <c r="J69" s="4"/>
    </row>
    <row r="70">
      <c r="A70" s="7"/>
      <c r="B70" s="4"/>
      <c r="C70" s="6"/>
      <c r="D70" s="5" t="str">
        <f>IF(B70="","",IFERROR(INDEX(Articles!$E:$E,MATCH(B70,Articles!$B:$B,0)),""))</f>
        <v/>
      </c>
      <c r="E70" s="9" t="str">
        <f>IF(OR(C70="",D70=""),"",C70*D70)</f>
        <v/>
      </c>
      <c r="F70" s="4"/>
      <c r="G70" s="4"/>
      <c r="H70" s="9" t="str">
        <f>IF(OR(B70="",C70=""),"",C70*IFERROR(INDEX(Articles!$D:$D,MATCH(B70,Articles!$B:$B,0)),0))</f>
        <v/>
      </c>
      <c r="I70" s="9" t="str">
        <f>IF(OR(E70="",H70=""),"",E70-H70)</f>
        <v/>
      </c>
      <c r="J70" s="4"/>
    </row>
    <row r="71">
      <c r="A71" s="7"/>
      <c r="B71" s="4"/>
      <c r="C71" s="6"/>
      <c r="D71" s="5" t="str">
        <f>IF(B71="","",IFERROR(INDEX(Articles!$E:$E,MATCH(B71,Articles!$B:$B,0)),""))</f>
        <v/>
      </c>
      <c r="E71" s="9" t="str">
        <f>IF(OR(C71="",D71=""),"",C71*D71)</f>
        <v/>
      </c>
      <c r="F71" s="4"/>
      <c r="G71" s="4"/>
      <c r="H71" s="9" t="str">
        <f>IF(OR(B71="",C71=""),"",C71*IFERROR(INDEX(Articles!$D:$D,MATCH(B71,Articles!$B:$B,0)),0))</f>
        <v/>
      </c>
      <c r="I71" s="9" t="str">
        <f>IF(OR(E71="",H71=""),"",E71-H71)</f>
        <v/>
      </c>
      <c r="J71" s="4"/>
    </row>
    <row r="72">
      <c r="A72" s="7"/>
      <c r="B72" s="4"/>
      <c r="C72" s="6"/>
      <c r="D72" s="5" t="str">
        <f>IF(B72="","",IFERROR(INDEX(Articles!$E:$E,MATCH(B72,Articles!$B:$B,0)),""))</f>
        <v/>
      </c>
      <c r="E72" s="9" t="str">
        <f>IF(OR(C72="",D72=""),"",C72*D72)</f>
        <v/>
      </c>
      <c r="F72" s="4"/>
      <c r="G72" s="4"/>
      <c r="H72" s="9" t="str">
        <f>IF(OR(B72="",C72=""),"",C72*IFERROR(INDEX(Articles!$D:$D,MATCH(B72,Articles!$B:$B,0)),0))</f>
        <v/>
      </c>
      <c r="I72" s="9" t="str">
        <f>IF(OR(E72="",H72=""),"",E72-H72)</f>
        <v/>
      </c>
      <c r="J72" s="4"/>
    </row>
    <row r="73">
      <c r="A73" s="7"/>
      <c r="B73" s="4"/>
      <c r="C73" s="6"/>
      <c r="D73" s="5" t="str">
        <f>IF(B73="","",IFERROR(INDEX(Articles!$E:$E,MATCH(B73,Articles!$B:$B,0)),""))</f>
        <v/>
      </c>
      <c r="E73" s="9" t="str">
        <f>IF(OR(C73="",D73=""),"",C73*D73)</f>
        <v/>
      </c>
      <c r="F73" s="4"/>
      <c r="G73" s="4"/>
      <c r="H73" s="9" t="str">
        <f>IF(OR(B73="",C73=""),"",C73*IFERROR(INDEX(Articles!$D:$D,MATCH(B73,Articles!$B:$B,0)),0))</f>
        <v/>
      </c>
      <c r="I73" s="9" t="str">
        <f>IF(OR(E73="",H73=""),"",E73-H73)</f>
        <v/>
      </c>
      <c r="J73" s="4"/>
    </row>
    <row r="74">
      <c r="A74" s="7"/>
      <c r="B74" s="4"/>
      <c r="C74" s="6"/>
      <c r="D74" s="5" t="str">
        <f>IF(B74="","",IFERROR(INDEX(Articles!$E:$E,MATCH(B74,Articles!$B:$B,0)),""))</f>
        <v/>
      </c>
      <c r="E74" s="9" t="str">
        <f>IF(OR(C74="",D74=""),"",C74*D74)</f>
        <v/>
      </c>
      <c r="F74" s="4"/>
      <c r="G74" s="4"/>
      <c r="H74" s="9" t="str">
        <f>IF(OR(B74="",C74=""),"",C74*IFERROR(INDEX(Articles!$D:$D,MATCH(B74,Articles!$B:$B,0)),0))</f>
        <v/>
      </c>
      <c r="I74" s="9" t="str">
        <f>IF(OR(E74="",H74=""),"",E74-H74)</f>
        <v/>
      </c>
      <c r="J74" s="4"/>
    </row>
    <row r="75">
      <c r="A75" s="7"/>
      <c r="B75" s="4"/>
      <c r="C75" s="6"/>
      <c r="D75" s="5" t="str">
        <f>IF(B75="","",IFERROR(INDEX(Articles!$E:$E,MATCH(B75,Articles!$B:$B,0)),""))</f>
        <v/>
      </c>
      <c r="E75" s="9" t="str">
        <f>IF(OR(C75="",D75=""),"",C75*D75)</f>
        <v/>
      </c>
      <c r="F75" s="4"/>
      <c r="G75" s="4"/>
      <c r="H75" s="9" t="str">
        <f>IF(OR(B75="",C75=""),"",C75*IFERROR(INDEX(Articles!$D:$D,MATCH(B75,Articles!$B:$B,0)),0))</f>
        <v/>
      </c>
      <c r="I75" s="9" t="str">
        <f>IF(OR(E75="",H75=""),"",E75-H75)</f>
        <v/>
      </c>
      <c r="J75" s="4"/>
    </row>
    <row r="76">
      <c r="A76" s="7"/>
      <c r="B76" s="4"/>
      <c r="C76" s="6"/>
      <c r="D76" s="5" t="str">
        <f>IF(B76="","",IFERROR(INDEX(Articles!$E:$E,MATCH(B76,Articles!$B:$B,0)),""))</f>
        <v/>
      </c>
      <c r="E76" s="9" t="str">
        <f>IF(OR(C76="",D76=""),"",C76*D76)</f>
        <v/>
      </c>
      <c r="F76" s="4"/>
      <c r="G76" s="4"/>
      <c r="H76" s="9" t="str">
        <f>IF(OR(B76="",C76=""),"",C76*IFERROR(INDEX(Articles!$D:$D,MATCH(B76,Articles!$B:$B,0)),0))</f>
        <v/>
      </c>
      <c r="I76" s="9" t="str">
        <f>IF(OR(E76="",H76=""),"",E76-H76)</f>
        <v/>
      </c>
      <c r="J76" s="4"/>
    </row>
    <row r="77">
      <c r="A77" s="7"/>
      <c r="B77" s="4"/>
      <c r="C77" s="6"/>
      <c r="D77" s="5" t="str">
        <f>IF(B77="","",IFERROR(INDEX(Articles!$E:$E,MATCH(B77,Articles!$B:$B,0)),""))</f>
        <v/>
      </c>
      <c r="E77" s="9" t="str">
        <f>IF(OR(C77="",D77=""),"",C77*D77)</f>
        <v/>
      </c>
      <c r="F77" s="4"/>
      <c r="G77" s="4"/>
      <c r="H77" s="9" t="str">
        <f>IF(OR(B77="",C77=""),"",C77*IFERROR(INDEX(Articles!$D:$D,MATCH(B77,Articles!$B:$B,0)),0))</f>
        <v/>
      </c>
      <c r="I77" s="9" t="str">
        <f>IF(OR(E77="",H77=""),"",E77-H77)</f>
        <v/>
      </c>
      <c r="J77" s="4"/>
    </row>
    <row r="78">
      <c r="A78" s="7"/>
      <c r="B78" s="4"/>
      <c r="C78" s="6"/>
      <c r="D78" s="5" t="str">
        <f>IF(B78="","",IFERROR(INDEX(Articles!$E:$E,MATCH(B78,Articles!$B:$B,0)),""))</f>
        <v/>
      </c>
      <c r="E78" s="9" t="str">
        <f>IF(OR(C78="",D78=""),"",C78*D78)</f>
        <v/>
      </c>
      <c r="F78" s="4"/>
      <c r="G78" s="4"/>
      <c r="H78" s="9" t="str">
        <f>IF(OR(B78="",C78=""),"",C78*IFERROR(INDEX(Articles!$D:$D,MATCH(B78,Articles!$B:$B,0)),0))</f>
        <v/>
      </c>
      <c r="I78" s="9" t="str">
        <f>IF(OR(E78="",H78=""),"",E78-H78)</f>
        <v/>
      </c>
      <c r="J78" s="4"/>
    </row>
    <row r="79">
      <c r="A79" s="7"/>
      <c r="B79" s="4"/>
      <c r="C79" s="6"/>
      <c r="D79" s="5" t="str">
        <f>IF(B79="","",IFERROR(INDEX(Articles!$E:$E,MATCH(B79,Articles!$B:$B,0)),""))</f>
        <v/>
      </c>
      <c r="E79" s="9" t="str">
        <f>IF(OR(C79="",D79=""),"",C79*D79)</f>
        <v/>
      </c>
      <c r="F79" s="4"/>
      <c r="G79" s="4"/>
      <c r="H79" s="9" t="str">
        <f>IF(OR(B79="",C79=""),"",C79*IFERROR(INDEX(Articles!$D:$D,MATCH(B79,Articles!$B:$B,0)),0))</f>
        <v/>
      </c>
      <c r="I79" s="9" t="str">
        <f>IF(OR(E79="",H79=""),"",E79-H79)</f>
        <v/>
      </c>
      <c r="J79" s="4"/>
    </row>
    <row r="80">
      <c r="A80" s="7"/>
      <c r="B80" s="4"/>
      <c r="C80" s="6"/>
      <c r="D80" s="5" t="str">
        <f>IF(B80="","",IFERROR(INDEX(Articles!$E:$E,MATCH(B80,Articles!$B:$B,0)),""))</f>
        <v/>
      </c>
      <c r="E80" s="9" t="str">
        <f>IF(OR(C80="",D80=""),"",C80*D80)</f>
        <v/>
      </c>
      <c r="F80" s="4"/>
      <c r="G80" s="4"/>
      <c r="H80" s="9" t="str">
        <f>IF(OR(B80="",C80=""),"",C80*IFERROR(INDEX(Articles!$D:$D,MATCH(B80,Articles!$B:$B,0)),0))</f>
        <v/>
      </c>
      <c r="I80" s="9" t="str">
        <f>IF(OR(E80="",H80=""),"",E80-H80)</f>
        <v/>
      </c>
      <c r="J80" s="4"/>
    </row>
    <row r="81">
      <c r="A81" s="7"/>
      <c r="B81" s="4"/>
      <c r="C81" s="6"/>
      <c r="D81" s="5" t="str">
        <f>IF(B81="","",IFERROR(INDEX(Articles!$E:$E,MATCH(B81,Articles!$B:$B,0)),""))</f>
        <v/>
      </c>
      <c r="E81" s="9" t="str">
        <f>IF(OR(C81="",D81=""),"",C81*D81)</f>
        <v/>
      </c>
      <c r="F81" s="4"/>
      <c r="G81" s="4"/>
      <c r="H81" s="9" t="str">
        <f>IF(OR(B81="",C81=""),"",C81*IFERROR(INDEX(Articles!$D:$D,MATCH(B81,Articles!$B:$B,0)),0))</f>
        <v/>
      </c>
      <c r="I81" s="9" t="str">
        <f>IF(OR(E81="",H81=""),"",E81-H81)</f>
        <v/>
      </c>
      <c r="J81" s="4"/>
    </row>
    <row r="82">
      <c r="A82" s="7"/>
      <c r="B82" s="4"/>
      <c r="C82" s="6"/>
      <c r="D82" s="5" t="str">
        <f>IF(B82="","",IFERROR(INDEX(Articles!$E:$E,MATCH(B82,Articles!$B:$B,0)),""))</f>
        <v/>
      </c>
      <c r="E82" s="9" t="str">
        <f>IF(OR(C82="",D82=""),"",C82*D82)</f>
        <v/>
      </c>
      <c r="F82" s="4"/>
      <c r="G82" s="4"/>
      <c r="H82" s="9" t="str">
        <f>IF(OR(B82="",C82=""),"",C82*IFERROR(INDEX(Articles!$D:$D,MATCH(B82,Articles!$B:$B,0)),0))</f>
        <v/>
      </c>
      <c r="I82" s="9" t="str">
        <f>IF(OR(E82="",H82=""),"",E82-H82)</f>
        <v/>
      </c>
      <c r="J82" s="4"/>
    </row>
    <row r="83">
      <c r="A83" s="7"/>
      <c r="B83" s="4"/>
      <c r="C83" s="6"/>
      <c r="D83" s="5" t="str">
        <f>IF(B83="","",IFERROR(INDEX(Articles!$E:$E,MATCH(B83,Articles!$B:$B,0)),""))</f>
        <v/>
      </c>
      <c r="E83" s="9" t="str">
        <f>IF(OR(C83="",D83=""),"",C83*D83)</f>
        <v/>
      </c>
      <c r="F83" s="4"/>
      <c r="G83" s="4"/>
      <c r="H83" s="9" t="str">
        <f>IF(OR(B83="",C83=""),"",C83*IFERROR(INDEX(Articles!$D:$D,MATCH(B83,Articles!$B:$B,0)),0))</f>
        <v/>
      </c>
      <c r="I83" s="9" t="str">
        <f>IF(OR(E83="",H83=""),"",E83-H83)</f>
        <v/>
      </c>
      <c r="J83" s="4"/>
    </row>
    <row r="84">
      <c r="A84" s="7"/>
      <c r="B84" s="4"/>
      <c r="C84" s="6"/>
      <c r="D84" s="5" t="str">
        <f>IF(B84="","",IFERROR(INDEX(Articles!$E:$E,MATCH(B84,Articles!$B:$B,0)),""))</f>
        <v/>
      </c>
      <c r="E84" s="9" t="str">
        <f>IF(OR(C84="",D84=""),"",C84*D84)</f>
        <v/>
      </c>
      <c r="F84" s="4"/>
      <c r="G84" s="4"/>
      <c r="H84" s="9" t="str">
        <f>IF(OR(B84="",C84=""),"",C84*IFERROR(INDEX(Articles!$D:$D,MATCH(B84,Articles!$B:$B,0)),0))</f>
        <v/>
      </c>
      <c r="I84" s="9" t="str">
        <f>IF(OR(E84="",H84=""),"",E84-H84)</f>
        <v/>
      </c>
      <c r="J84" s="4"/>
    </row>
    <row r="85">
      <c r="A85" s="7"/>
      <c r="B85" s="4"/>
      <c r="C85" s="6"/>
      <c r="D85" s="5" t="str">
        <f>IF(B85="","",IFERROR(INDEX(Articles!$E:$E,MATCH(B85,Articles!$B:$B,0)),""))</f>
        <v/>
      </c>
      <c r="E85" s="9" t="str">
        <f>IF(OR(C85="",D85=""),"",C85*D85)</f>
        <v/>
      </c>
      <c r="F85" s="4"/>
      <c r="G85" s="4"/>
      <c r="H85" s="9" t="str">
        <f>IF(OR(B85="",C85=""),"",C85*IFERROR(INDEX(Articles!$D:$D,MATCH(B85,Articles!$B:$B,0)),0))</f>
        <v/>
      </c>
      <c r="I85" s="9" t="str">
        <f>IF(OR(E85="",H85=""),"",E85-H85)</f>
        <v/>
      </c>
      <c r="J85" s="4"/>
    </row>
    <row r="86">
      <c r="A86" s="7"/>
      <c r="B86" s="4"/>
      <c r="C86" s="6"/>
      <c r="D86" s="5" t="str">
        <f>IF(B86="","",IFERROR(INDEX(Articles!$E:$E,MATCH(B86,Articles!$B:$B,0)),""))</f>
        <v/>
      </c>
      <c r="E86" s="9" t="str">
        <f>IF(OR(C86="",D86=""),"",C86*D86)</f>
        <v/>
      </c>
      <c r="F86" s="4"/>
      <c r="G86" s="4"/>
      <c r="H86" s="9" t="str">
        <f>IF(OR(B86="",C86=""),"",C86*IFERROR(INDEX(Articles!$D:$D,MATCH(B86,Articles!$B:$B,0)),0))</f>
        <v/>
      </c>
      <c r="I86" s="9" t="str">
        <f>IF(OR(E86="",H86=""),"",E86-H86)</f>
        <v/>
      </c>
      <c r="J86" s="4"/>
    </row>
    <row r="87">
      <c r="A87" s="7"/>
      <c r="B87" s="4"/>
      <c r="C87" s="6"/>
      <c r="D87" s="5" t="str">
        <f>IF(B87="","",IFERROR(INDEX(Articles!$E:$E,MATCH(B87,Articles!$B:$B,0)),""))</f>
        <v/>
      </c>
      <c r="E87" s="9" t="str">
        <f>IF(OR(C87="",D87=""),"",C87*D87)</f>
        <v/>
      </c>
      <c r="F87" s="4"/>
      <c r="G87" s="4"/>
      <c r="H87" s="9" t="str">
        <f>IF(OR(B87="",C87=""),"",C87*IFERROR(INDEX(Articles!$D:$D,MATCH(B87,Articles!$B:$B,0)),0))</f>
        <v/>
      </c>
      <c r="I87" s="9" t="str">
        <f>IF(OR(E87="",H87=""),"",E87-H87)</f>
        <v/>
      </c>
      <c r="J87" s="4"/>
    </row>
    <row r="88">
      <c r="A88" s="7"/>
      <c r="B88" s="4"/>
      <c r="C88" s="6"/>
      <c r="D88" s="5" t="str">
        <f>IF(B88="","",IFERROR(INDEX(Articles!$E:$E,MATCH(B88,Articles!$B:$B,0)),""))</f>
        <v/>
      </c>
      <c r="E88" s="9" t="str">
        <f>IF(OR(C88="",D88=""),"",C88*D88)</f>
        <v/>
      </c>
      <c r="F88" s="4"/>
      <c r="G88" s="4"/>
      <c r="H88" s="9" t="str">
        <f>IF(OR(B88="",C88=""),"",C88*IFERROR(INDEX(Articles!$D:$D,MATCH(B88,Articles!$B:$B,0)),0))</f>
        <v/>
      </c>
      <c r="I88" s="9" t="str">
        <f>IF(OR(E88="",H88=""),"",E88-H88)</f>
        <v/>
      </c>
      <c r="J88" s="4"/>
    </row>
    <row r="89">
      <c r="A89" s="7"/>
      <c r="B89" s="4"/>
      <c r="C89" s="6"/>
      <c r="D89" s="5" t="str">
        <f>IF(B89="","",IFERROR(INDEX(Articles!$E:$E,MATCH(B89,Articles!$B:$B,0)),""))</f>
        <v/>
      </c>
      <c r="E89" s="9" t="str">
        <f>IF(OR(C89="",D89=""),"",C89*D89)</f>
        <v/>
      </c>
      <c r="F89" s="4"/>
      <c r="G89" s="4"/>
      <c r="H89" s="9" t="str">
        <f>IF(OR(B89="",C89=""),"",C89*IFERROR(INDEX(Articles!$D:$D,MATCH(B89,Articles!$B:$B,0)),0))</f>
        <v/>
      </c>
      <c r="I89" s="9" t="str">
        <f>IF(OR(E89="",H89=""),"",E89-H89)</f>
        <v/>
      </c>
      <c r="J89" s="4"/>
    </row>
    <row r="90">
      <c r="A90" s="7"/>
      <c r="B90" s="4"/>
      <c r="C90" s="6"/>
      <c r="D90" s="5" t="str">
        <f>IF(B90="","",IFERROR(INDEX(Articles!$E:$E,MATCH(B90,Articles!$B:$B,0)),""))</f>
        <v/>
      </c>
      <c r="E90" s="9" t="str">
        <f>IF(OR(C90="",D90=""),"",C90*D90)</f>
        <v/>
      </c>
      <c r="F90" s="4"/>
      <c r="G90" s="4"/>
      <c r="H90" s="9" t="str">
        <f>IF(OR(B90="",C90=""),"",C90*IFERROR(INDEX(Articles!$D:$D,MATCH(B90,Articles!$B:$B,0)),0))</f>
        <v/>
      </c>
      <c r="I90" s="9" t="str">
        <f>IF(OR(E90="",H90=""),"",E90-H90)</f>
        <v/>
      </c>
      <c r="J90" s="4"/>
    </row>
    <row r="91">
      <c r="A91" s="7"/>
      <c r="B91" s="4"/>
      <c r="C91" s="6"/>
      <c r="D91" s="5" t="str">
        <f>IF(B91="","",IFERROR(INDEX(Articles!$E:$E,MATCH(B91,Articles!$B:$B,0)),""))</f>
        <v/>
      </c>
      <c r="E91" s="9" t="str">
        <f>IF(OR(C91="",D91=""),"",C91*D91)</f>
        <v/>
      </c>
      <c r="F91" s="4"/>
      <c r="G91" s="4"/>
      <c r="H91" s="9" t="str">
        <f>IF(OR(B91="",C91=""),"",C91*IFERROR(INDEX(Articles!$D:$D,MATCH(B91,Articles!$B:$B,0)),0))</f>
        <v/>
      </c>
      <c r="I91" s="9" t="str">
        <f>IF(OR(E91="",H91=""),"",E91-H91)</f>
        <v/>
      </c>
      <c r="J91" s="4"/>
    </row>
    <row r="92">
      <c r="A92" s="7"/>
      <c r="B92" s="4"/>
      <c r="C92" s="6"/>
      <c r="D92" s="5" t="str">
        <f>IF(B92="","",IFERROR(INDEX(Articles!$E:$E,MATCH(B92,Articles!$B:$B,0)),""))</f>
        <v/>
      </c>
      <c r="E92" s="9" t="str">
        <f>IF(OR(C92="",D92=""),"",C92*D92)</f>
        <v/>
      </c>
      <c r="F92" s="4"/>
      <c r="G92" s="4"/>
      <c r="H92" s="9" t="str">
        <f>IF(OR(B92="",C92=""),"",C92*IFERROR(INDEX(Articles!$D:$D,MATCH(B92,Articles!$B:$B,0)),0))</f>
        <v/>
      </c>
      <c r="I92" s="9" t="str">
        <f>IF(OR(E92="",H92=""),"",E92-H92)</f>
        <v/>
      </c>
      <c r="J92" s="4"/>
    </row>
    <row r="93">
      <c r="A93" s="7"/>
      <c r="B93" s="4"/>
      <c r="C93" s="6"/>
      <c r="D93" s="5" t="str">
        <f>IF(B93="","",IFERROR(INDEX(Articles!$E:$E,MATCH(B93,Articles!$B:$B,0)),""))</f>
        <v/>
      </c>
      <c r="E93" s="9" t="str">
        <f>IF(OR(C93="",D93=""),"",C93*D93)</f>
        <v/>
      </c>
      <c r="F93" s="4"/>
      <c r="G93" s="4"/>
      <c r="H93" s="9" t="str">
        <f>IF(OR(B93="",C93=""),"",C93*IFERROR(INDEX(Articles!$D:$D,MATCH(B93,Articles!$B:$B,0)),0))</f>
        <v/>
      </c>
      <c r="I93" s="9" t="str">
        <f>IF(OR(E93="",H93=""),"",E93-H93)</f>
        <v/>
      </c>
      <c r="J93" s="4"/>
    </row>
    <row r="94">
      <c r="A94" s="7"/>
      <c r="B94" s="4"/>
      <c r="C94" s="6"/>
      <c r="D94" s="5" t="str">
        <f>IF(B94="","",IFERROR(INDEX(Articles!$E:$E,MATCH(B94,Articles!$B:$B,0)),""))</f>
        <v/>
      </c>
      <c r="E94" s="9" t="str">
        <f>IF(OR(C94="",D94=""),"",C94*D94)</f>
        <v/>
      </c>
      <c r="F94" s="4"/>
      <c r="G94" s="4"/>
      <c r="H94" s="9" t="str">
        <f>IF(OR(B94="",C94=""),"",C94*IFERROR(INDEX(Articles!$D:$D,MATCH(B94,Articles!$B:$B,0)),0))</f>
        <v/>
      </c>
      <c r="I94" s="9" t="str">
        <f>IF(OR(E94="",H94=""),"",E94-H94)</f>
        <v/>
      </c>
      <c r="J94" s="4"/>
    </row>
    <row r="95">
      <c r="A95" s="7"/>
      <c r="B95" s="4"/>
      <c r="C95" s="6"/>
      <c r="D95" s="5" t="str">
        <f>IF(B95="","",IFERROR(INDEX(Articles!$E:$E,MATCH(B95,Articles!$B:$B,0)),""))</f>
        <v/>
      </c>
      <c r="E95" s="9" t="str">
        <f>IF(OR(C95="",D95=""),"",C95*D95)</f>
        <v/>
      </c>
      <c r="F95" s="4"/>
      <c r="G95" s="4"/>
      <c r="H95" s="9" t="str">
        <f>IF(OR(B95="",C95=""),"",C95*IFERROR(INDEX(Articles!$D:$D,MATCH(B95,Articles!$B:$B,0)),0))</f>
        <v/>
      </c>
      <c r="I95" s="9" t="str">
        <f>IF(OR(E95="",H95=""),"",E95-H95)</f>
        <v/>
      </c>
      <c r="J95" s="4"/>
    </row>
    <row r="96">
      <c r="A96" s="7"/>
      <c r="B96" s="4"/>
      <c r="C96" s="6"/>
      <c r="D96" s="5" t="str">
        <f>IF(B96="","",IFERROR(INDEX(Articles!$E:$E,MATCH(B96,Articles!$B:$B,0)),""))</f>
        <v/>
      </c>
      <c r="E96" s="9" t="str">
        <f>IF(OR(C96="",D96=""),"",C96*D96)</f>
        <v/>
      </c>
      <c r="F96" s="4"/>
      <c r="G96" s="4"/>
      <c r="H96" s="9" t="str">
        <f>IF(OR(B96="",C96=""),"",C96*IFERROR(INDEX(Articles!$D:$D,MATCH(B96,Articles!$B:$B,0)),0))</f>
        <v/>
      </c>
      <c r="I96" s="9" t="str">
        <f>IF(OR(E96="",H96=""),"",E96-H96)</f>
        <v/>
      </c>
      <c r="J96" s="4"/>
    </row>
    <row r="97">
      <c r="A97" s="7"/>
      <c r="B97" s="4"/>
      <c r="C97" s="6"/>
      <c r="D97" s="5" t="str">
        <f>IF(B97="","",IFERROR(INDEX(Articles!$E:$E,MATCH(B97,Articles!$B:$B,0)),""))</f>
        <v/>
      </c>
      <c r="E97" s="9" t="str">
        <f>IF(OR(C97="",D97=""),"",C97*D97)</f>
        <v/>
      </c>
      <c r="F97" s="4"/>
      <c r="G97" s="4"/>
      <c r="H97" s="9" t="str">
        <f>IF(OR(B97="",C97=""),"",C97*IFERROR(INDEX(Articles!$D:$D,MATCH(B97,Articles!$B:$B,0)),0))</f>
        <v/>
      </c>
      <c r="I97" s="9" t="str">
        <f>IF(OR(E97="",H97=""),"",E97-H97)</f>
        <v/>
      </c>
      <c r="J97" s="4"/>
    </row>
    <row r="98">
      <c r="A98" s="7"/>
      <c r="B98" s="4"/>
      <c r="C98" s="6"/>
      <c r="D98" s="5" t="str">
        <f>IF(B98="","",IFERROR(INDEX(Articles!$E:$E,MATCH(B98,Articles!$B:$B,0)),""))</f>
        <v/>
      </c>
      <c r="E98" s="9" t="str">
        <f>IF(OR(C98="",D98=""),"",C98*D98)</f>
        <v/>
      </c>
      <c r="F98" s="4"/>
      <c r="G98" s="4"/>
      <c r="H98" s="9" t="str">
        <f>IF(OR(B98="",C98=""),"",C98*IFERROR(INDEX(Articles!$D:$D,MATCH(B98,Articles!$B:$B,0)),0))</f>
        <v/>
      </c>
      <c r="I98" s="9" t="str">
        <f>IF(OR(E98="",H98=""),"",E98-H98)</f>
        <v/>
      </c>
      <c r="J98" s="4"/>
    </row>
    <row r="99">
      <c r="A99" s="7"/>
      <c r="B99" s="4"/>
      <c r="C99" s="6"/>
      <c r="D99" s="5" t="str">
        <f>IF(B99="","",IFERROR(INDEX(Articles!$E:$E,MATCH(B99,Articles!$B:$B,0)),""))</f>
        <v/>
      </c>
      <c r="E99" s="9" t="str">
        <f>IF(OR(C99="",D99=""),"",C99*D99)</f>
        <v/>
      </c>
      <c r="F99" s="4"/>
      <c r="G99" s="4"/>
      <c r="H99" s="9" t="str">
        <f>IF(OR(B99="",C99=""),"",C99*IFERROR(INDEX(Articles!$D:$D,MATCH(B99,Articles!$B:$B,0)),0))</f>
        <v/>
      </c>
      <c r="I99" s="9" t="str">
        <f>IF(OR(E99="",H99=""),"",E99-H99)</f>
        <v/>
      </c>
      <c r="J99" s="4"/>
    </row>
    <row r="100">
      <c r="A100" s="7"/>
      <c r="B100" s="4"/>
      <c r="C100" s="6"/>
      <c r="D100" s="5" t="str">
        <f>IF(B100="","",IFERROR(INDEX(Articles!$E:$E,MATCH(B100,Articles!$B:$B,0)),""))</f>
        <v/>
      </c>
      <c r="E100" s="9" t="str">
        <f>IF(OR(C100="",D100=""),"",C100*D100)</f>
        <v/>
      </c>
      <c r="F100" s="4"/>
      <c r="G100" s="4"/>
      <c r="H100" s="9" t="str">
        <f>IF(OR(B100="",C100=""),"",C100*IFERROR(INDEX(Articles!$D:$D,MATCH(B100,Articles!$B:$B,0)),0))</f>
        <v/>
      </c>
      <c r="I100" s="9" t="str">
        <f>IF(OR(E100="",H100=""),"",E100-H100)</f>
        <v/>
      </c>
      <c r="J100" s="4"/>
    </row>
    <row r="101">
      <c r="A101" s="7"/>
      <c r="B101" s="4"/>
      <c r="C101" s="6"/>
      <c r="D101" s="5" t="str">
        <f>IF(B101="","",IFERROR(INDEX(Articles!$E:$E,MATCH(B101,Articles!$B:$B,0)),""))</f>
        <v/>
      </c>
      <c r="E101" s="9" t="str">
        <f>IF(OR(C101="",D101=""),"",C101*D101)</f>
        <v/>
      </c>
      <c r="F101" s="4"/>
      <c r="G101" s="4"/>
      <c r="H101" s="9" t="str">
        <f>IF(OR(B101="",C101=""),"",C101*IFERROR(INDEX(Articles!$D:$D,MATCH(B101,Articles!$B:$B,0)),0))</f>
        <v/>
      </c>
      <c r="I101" s="9" t="str">
        <f>IF(OR(E101="",H101=""),"",E101-H101)</f>
        <v/>
      </c>
      <c r="J101" s="4"/>
    </row>
    <row r="102">
      <c r="A102" s="7"/>
      <c r="B102" s="4"/>
      <c r="C102" s="6"/>
      <c r="D102" s="5" t="str">
        <f>IF(B102="","",IFERROR(INDEX(Articles!$E:$E,MATCH(B102,Articles!$B:$B,0)),""))</f>
        <v/>
      </c>
      <c r="E102" s="9" t="str">
        <f>IF(OR(C102="",D102=""),"",C102*D102)</f>
        <v/>
      </c>
      <c r="F102" s="4"/>
      <c r="G102" s="4"/>
      <c r="H102" s="9" t="str">
        <f>IF(OR(B102="",C102=""),"",C102*IFERROR(INDEX(Articles!$D:$D,MATCH(B102,Articles!$B:$B,0)),0))</f>
        <v/>
      </c>
      <c r="I102" s="9" t="str">
        <f>IF(OR(E102="",H102=""),"",E102-H102)</f>
        <v/>
      </c>
      <c r="J102" s="4"/>
    </row>
    <row r="103">
      <c r="A103" s="7"/>
      <c r="B103" s="4"/>
      <c r="C103" s="6"/>
      <c r="D103" s="5" t="str">
        <f>IF(B103="","",IFERROR(INDEX(Articles!$E:$E,MATCH(B103,Articles!$B:$B,0)),""))</f>
        <v/>
      </c>
      <c r="E103" s="9" t="str">
        <f>IF(OR(C103="",D103=""),"",C103*D103)</f>
        <v/>
      </c>
      <c r="F103" s="4"/>
      <c r="G103" s="4"/>
      <c r="H103" s="9" t="str">
        <f>IF(OR(B103="",C103=""),"",C103*IFERROR(INDEX(Articles!$D:$D,MATCH(B103,Articles!$B:$B,0)),0))</f>
        <v/>
      </c>
      <c r="I103" s="9" t="str">
        <f>IF(OR(E103="",H103=""),"",E103-H103)</f>
        <v/>
      </c>
      <c r="J103" s="4"/>
    </row>
    <row r="104">
      <c r="A104" s="7"/>
      <c r="B104" s="4"/>
      <c r="C104" s="6"/>
      <c r="D104" s="5" t="str">
        <f>IF(B104="","",IFERROR(INDEX(Articles!$E:$E,MATCH(B104,Articles!$B:$B,0)),""))</f>
        <v/>
      </c>
      <c r="E104" s="9" t="str">
        <f>IF(OR(C104="",D104=""),"",C104*D104)</f>
        <v/>
      </c>
      <c r="F104" s="4"/>
      <c r="G104" s="4"/>
      <c r="H104" s="9" t="str">
        <f>IF(OR(B104="",C104=""),"",C104*IFERROR(INDEX(Articles!$D:$D,MATCH(B104,Articles!$B:$B,0)),0))</f>
        <v/>
      </c>
      <c r="I104" s="9" t="str">
        <f>IF(OR(E104="",H104=""),"",E104-H104)</f>
        <v/>
      </c>
      <c r="J104" s="4"/>
    </row>
    <row r="105">
      <c r="A105" s="7"/>
      <c r="B105" s="4"/>
      <c r="C105" s="6"/>
      <c r="D105" s="5" t="str">
        <f>IF(B105="","",IFERROR(INDEX(Articles!$E:$E,MATCH(B105,Articles!$B:$B,0)),""))</f>
        <v/>
      </c>
      <c r="E105" s="9" t="str">
        <f>IF(OR(C105="",D105=""),"",C105*D105)</f>
        <v/>
      </c>
      <c r="F105" s="4"/>
      <c r="G105" s="4"/>
      <c r="H105" s="9" t="str">
        <f>IF(OR(B105="",C105=""),"",C105*IFERROR(INDEX(Articles!$D:$D,MATCH(B105,Articles!$B:$B,0)),0))</f>
        <v/>
      </c>
      <c r="I105" s="9" t="str">
        <f>IF(OR(E105="",H105=""),"",E105-H105)</f>
        <v/>
      </c>
      <c r="J105" s="4"/>
    </row>
    <row r="106">
      <c r="A106" s="7"/>
      <c r="B106" s="4"/>
      <c r="C106" s="6"/>
      <c r="D106" s="5" t="str">
        <f>IF(B106="","",IFERROR(INDEX(Articles!$E:$E,MATCH(B106,Articles!$B:$B,0)),""))</f>
        <v/>
      </c>
      <c r="E106" s="9" t="str">
        <f>IF(OR(C106="",D106=""),"",C106*D106)</f>
        <v/>
      </c>
      <c r="F106" s="4"/>
      <c r="G106" s="4"/>
      <c r="H106" s="9" t="str">
        <f>IF(OR(B106="",C106=""),"",C106*IFERROR(INDEX(Articles!$D:$D,MATCH(B106,Articles!$B:$B,0)),0))</f>
        <v/>
      </c>
      <c r="I106" s="9" t="str">
        <f>IF(OR(E106="",H106=""),"",E106-H106)</f>
        <v/>
      </c>
      <c r="J106" s="4"/>
    </row>
    <row r="107">
      <c r="A107" s="7"/>
      <c r="B107" s="4"/>
      <c r="C107" s="6"/>
      <c r="D107" s="5" t="str">
        <f>IF(B107="","",IFERROR(INDEX(Articles!$E:$E,MATCH(B107,Articles!$B:$B,0)),""))</f>
        <v/>
      </c>
      <c r="E107" s="9" t="str">
        <f>IF(OR(C107="",D107=""),"",C107*D107)</f>
        <v/>
      </c>
      <c r="F107" s="4"/>
      <c r="G107" s="4"/>
      <c r="H107" s="9" t="str">
        <f>IF(OR(B107="",C107=""),"",C107*IFERROR(INDEX(Articles!$D:$D,MATCH(B107,Articles!$B:$B,0)),0))</f>
        <v/>
      </c>
      <c r="I107" s="9" t="str">
        <f>IF(OR(E107="",H107=""),"",E107-H107)</f>
        <v/>
      </c>
      <c r="J107" s="4"/>
    </row>
    <row r="108">
      <c r="A108" s="7"/>
      <c r="B108" s="4"/>
      <c r="C108" s="6"/>
      <c r="D108" s="5" t="str">
        <f>IF(B108="","",IFERROR(INDEX(Articles!$E:$E,MATCH(B108,Articles!$B:$B,0)),""))</f>
        <v/>
      </c>
      <c r="E108" s="9" t="str">
        <f>IF(OR(C108="",D108=""),"",C108*D108)</f>
        <v/>
      </c>
      <c r="F108" s="4"/>
      <c r="G108" s="4"/>
      <c r="H108" s="9" t="str">
        <f>IF(OR(B108="",C108=""),"",C108*IFERROR(INDEX(Articles!$D:$D,MATCH(B108,Articles!$B:$B,0)),0))</f>
        <v/>
      </c>
      <c r="I108" s="9" t="str">
        <f>IF(OR(E108="",H108=""),"",E108-H108)</f>
        <v/>
      </c>
      <c r="J108" s="4"/>
    </row>
    <row r="109">
      <c r="A109" s="7"/>
      <c r="B109" s="4"/>
      <c r="C109" s="6"/>
      <c r="D109" s="5" t="str">
        <f>IF(B109="","",IFERROR(INDEX(Articles!$E:$E,MATCH(B109,Articles!$B:$B,0)),""))</f>
        <v/>
      </c>
      <c r="E109" s="9" t="str">
        <f>IF(OR(C109="",D109=""),"",C109*D109)</f>
        <v/>
      </c>
      <c r="F109" s="4"/>
      <c r="G109" s="4"/>
      <c r="H109" s="9" t="str">
        <f>IF(OR(B109="",C109=""),"",C109*IFERROR(INDEX(Articles!$D:$D,MATCH(B109,Articles!$B:$B,0)),0))</f>
        <v/>
      </c>
      <c r="I109" s="9" t="str">
        <f>IF(OR(E109="",H109=""),"",E109-H109)</f>
        <v/>
      </c>
      <c r="J109" s="4"/>
    </row>
    <row r="110">
      <c r="A110" s="7"/>
      <c r="B110" s="4"/>
      <c r="C110" s="6"/>
      <c r="D110" s="5" t="str">
        <f>IF(B110="","",IFERROR(INDEX(Articles!$E:$E,MATCH(B110,Articles!$B:$B,0)),""))</f>
        <v/>
      </c>
      <c r="E110" s="9" t="str">
        <f>IF(OR(C110="",D110=""),"",C110*D110)</f>
        <v/>
      </c>
      <c r="F110" s="4"/>
      <c r="G110" s="4"/>
      <c r="H110" s="9" t="str">
        <f>IF(OR(B110="",C110=""),"",C110*IFERROR(INDEX(Articles!$D:$D,MATCH(B110,Articles!$B:$B,0)),0))</f>
        <v/>
      </c>
      <c r="I110" s="9" t="str">
        <f>IF(OR(E110="",H110=""),"",E110-H110)</f>
        <v/>
      </c>
      <c r="J110" s="4"/>
    </row>
    <row r="111">
      <c r="A111" s="7"/>
      <c r="B111" s="4"/>
      <c r="C111" s="6"/>
      <c r="D111" s="5" t="str">
        <f>IF(B111="","",IFERROR(INDEX(Articles!$E:$E,MATCH(B111,Articles!$B:$B,0)),""))</f>
        <v/>
      </c>
      <c r="E111" s="9" t="str">
        <f>IF(OR(C111="",D111=""),"",C111*D111)</f>
        <v/>
      </c>
      <c r="F111" s="4"/>
      <c r="G111" s="4"/>
      <c r="H111" s="9" t="str">
        <f>IF(OR(B111="",C111=""),"",C111*IFERROR(INDEX(Articles!$D:$D,MATCH(B111,Articles!$B:$B,0)),0))</f>
        <v/>
      </c>
      <c r="I111" s="9" t="str">
        <f>IF(OR(E111="",H111=""),"",E111-H111)</f>
        <v/>
      </c>
      <c r="J111" s="4"/>
    </row>
    <row r="112">
      <c r="A112" s="7"/>
      <c r="B112" s="4"/>
      <c r="C112" s="6"/>
      <c r="D112" s="5" t="str">
        <f>IF(B112="","",IFERROR(INDEX(Articles!$E:$E,MATCH(B112,Articles!$B:$B,0)),""))</f>
        <v/>
      </c>
      <c r="E112" s="9" t="str">
        <f>IF(OR(C112="",D112=""),"",C112*D112)</f>
        <v/>
      </c>
      <c r="F112" s="4"/>
      <c r="G112" s="4"/>
      <c r="H112" s="9" t="str">
        <f>IF(OR(B112="",C112=""),"",C112*IFERROR(INDEX(Articles!$D:$D,MATCH(B112,Articles!$B:$B,0)),0))</f>
        <v/>
      </c>
      <c r="I112" s="9" t="str">
        <f>IF(OR(E112="",H112=""),"",E112-H112)</f>
        <v/>
      </c>
      <c r="J112" s="4"/>
    </row>
    <row r="113">
      <c r="A113" s="7"/>
      <c r="B113" s="4"/>
      <c r="C113" s="6"/>
      <c r="D113" s="5" t="str">
        <f>IF(B113="","",IFERROR(INDEX(Articles!$E:$E,MATCH(B113,Articles!$B:$B,0)),""))</f>
        <v/>
      </c>
      <c r="E113" s="9" t="str">
        <f>IF(OR(C113="",D113=""),"",C113*D113)</f>
        <v/>
      </c>
      <c r="F113" s="4"/>
      <c r="G113" s="4"/>
      <c r="H113" s="9" t="str">
        <f>IF(OR(B113="",C113=""),"",C113*IFERROR(INDEX(Articles!$D:$D,MATCH(B113,Articles!$B:$B,0)),0))</f>
        <v/>
      </c>
      <c r="I113" s="9" t="str">
        <f>IF(OR(E113="",H113=""),"",E113-H113)</f>
        <v/>
      </c>
      <c r="J113" s="4"/>
    </row>
    <row r="114">
      <c r="A114" s="7"/>
      <c r="B114" s="4"/>
      <c r="C114" s="6"/>
      <c r="D114" s="5" t="str">
        <f>IF(B114="","",IFERROR(INDEX(Articles!$E:$E,MATCH(B114,Articles!$B:$B,0)),""))</f>
        <v/>
      </c>
      <c r="E114" s="9" t="str">
        <f>IF(OR(C114="",D114=""),"",C114*D114)</f>
        <v/>
      </c>
      <c r="F114" s="4"/>
      <c r="G114" s="4"/>
      <c r="H114" s="9" t="str">
        <f>IF(OR(B114="",C114=""),"",C114*IFERROR(INDEX(Articles!$D:$D,MATCH(B114,Articles!$B:$B,0)),0))</f>
        <v/>
      </c>
      <c r="I114" s="9" t="str">
        <f>IF(OR(E114="",H114=""),"",E114-H114)</f>
        <v/>
      </c>
      <c r="J114" s="4"/>
    </row>
    <row r="115">
      <c r="A115" s="7"/>
      <c r="B115" s="4"/>
      <c r="C115" s="6"/>
      <c r="D115" s="5" t="str">
        <f>IF(B115="","",IFERROR(INDEX(Articles!$E:$E,MATCH(B115,Articles!$B:$B,0)),""))</f>
        <v/>
      </c>
      <c r="E115" s="9" t="str">
        <f>IF(OR(C115="",D115=""),"",C115*D115)</f>
        <v/>
      </c>
      <c r="F115" s="4"/>
      <c r="G115" s="4"/>
      <c r="H115" s="9" t="str">
        <f>IF(OR(B115="",C115=""),"",C115*IFERROR(INDEX(Articles!$D:$D,MATCH(B115,Articles!$B:$B,0)),0))</f>
        <v/>
      </c>
      <c r="I115" s="9" t="str">
        <f>IF(OR(E115="",H115=""),"",E115-H115)</f>
        <v/>
      </c>
      <c r="J115" s="4"/>
    </row>
    <row r="116">
      <c r="A116" s="7"/>
      <c r="B116" s="4"/>
      <c r="C116" s="6"/>
      <c r="D116" s="5" t="str">
        <f>IF(B116="","",IFERROR(INDEX(Articles!$E:$E,MATCH(B116,Articles!$B:$B,0)),""))</f>
        <v/>
      </c>
      <c r="E116" s="9" t="str">
        <f>IF(OR(C116="",D116=""),"",C116*D116)</f>
        <v/>
      </c>
      <c r="F116" s="4"/>
      <c r="G116" s="4"/>
      <c r="H116" s="9" t="str">
        <f>IF(OR(B116="",C116=""),"",C116*IFERROR(INDEX(Articles!$D:$D,MATCH(B116,Articles!$B:$B,0)),0))</f>
        <v/>
      </c>
      <c r="I116" s="9" t="str">
        <f>IF(OR(E116="",H116=""),"",E116-H116)</f>
        <v/>
      </c>
      <c r="J116" s="4"/>
    </row>
    <row r="117">
      <c r="A117" s="7"/>
      <c r="B117" s="4"/>
      <c r="C117" s="6"/>
      <c r="D117" s="5" t="str">
        <f>IF(B117="","",IFERROR(INDEX(Articles!$E:$E,MATCH(B117,Articles!$B:$B,0)),""))</f>
        <v/>
      </c>
      <c r="E117" s="9" t="str">
        <f>IF(OR(C117="",D117=""),"",C117*D117)</f>
        <v/>
      </c>
      <c r="F117" s="4"/>
      <c r="G117" s="4"/>
      <c r="H117" s="9" t="str">
        <f>IF(OR(B117="",C117=""),"",C117*IFERROR(INDEX(Articles!$D:$D,MATCH(B117,Articles!$B:$B,0)),0))</f>
        <v/>
      </c>
      <c r="I117" s="9" t="str">
        <f>IF(OR(E117="",H117=""),"",E117-H117)</f>
        <v/>
      </c>
      <c r="J117" s="4"/>
    </row>
    <row r="118">
      <c r="A118" s="7"/>
      <c r="B118" s="4"/>
      <c r="C118" s="6"/>
      <c r="D118" s="5" t="str">
        <f>IF(B118="","",IFERROR(INDEX(Articles!$E:$E,MATCH(B118,Articles!$B:$B,0)),""))</f>
        <v/>
      </c>
      <c r="E118" s="9" t="str">
        <f>IF(OR(C118="",D118=""),"",C118*D118)</f>
        <v/>
      </c>
      <c r="F118" s="4"/>
      <c r="G118" s="4"/>
      <c r="H118" s="9" t="str">
        <f>IF(OR(B118="",C118=""),"",C118*IFERROR(INDEX(Articles!$D:$D,MATCH(B118,Articles!$B:$B,0)),0))</f>
        <v/>
      </c>
      <c r="I118" s="9" t="str">
        <f>IF(OR(E118="",H118=""),"",E118-H118)</f>
        <v/>
      </c>
      <c r="J118" s="4"/>
    </row>
    <row r="119">
      <c r="A119" s="7"/>
      <c r="B119" s="4"/>
      <c r="C119" s="6"/>
      <c r="D119" s="5" t="str">
        <f>IF(B119="","",IFERROR(INDEX(Articles!$E:$E,MATCH(B119,Articles!$B:$B,0)),""))</f>
        <v/>
      </c>
      <c r="E119" s="9" t="str">
        <f>IF(OR(C119="",D119=""),"",C119*D119)</f>
        <v/>
      </c>
      <c r="F119" s="4"/>
      <c r="G119" s="4"/>
      <c r="H119" s="9" t="str">
        <f>IF(OR(B119="",C119=""),"",C119*IFERROR(INDEX(Articles!$D:$D,MATCH(B119,Articles!$B:$B,0)),0))</f>
        <v/>
      </c>
      <c r="I119" s="9" t="str">
        <f>IF(OR(E119="",H119=""),"",E119-H119)</f>
        <v/>
      </c>
      <c r="J119" s="4"/>
    </row>
    <row r="120">
      <c r="A120" s="7"/>
      <c r="B120" s="4"/>
      <c r="C120" s="6"/>
      <c r="D120" s="5" t="str">
        <f>IF(B120="","",IFERROR(INDEX(Articles!$E:$E,MATCH(B120,Articles!$B:$B,0)),""))</f>
        <v/>
      </c>
      <c r="E120" s="9" t="str">
        <f>IF(OR(C120="",D120=""),"",C120*D120)</f>
        <v/>
      </c>
      <c r="F120" s="4"/>
      <c r="G120" s="4"/>
      <c r="H120" s="9" t="str">
        <f>IF(OR(B120="",C120=""),"",C120*IFERROR(INDEX(Articles!$D:$D,MATCH(B120,Articles!$B:$B,0)),0))</f>
        <v/>
      </c>
      <c r="I120" s="9" t="str">
        <f>IF(OR(E120="",H120=""),"",E120-H120)</f>
        <v/>
      </c>
      <c r="J120" s="4"/>
    </row>
    <row r="121">
      <c r="A121" s="7"/>
      <c r="B121" s="4"/>
      <c r="C121" s="6"/>
      <c r="D121" s="5" t="str">
        <f>IF(B121="","",IFERROR(INDEX(Articles!$E:$E,MATCH(B121,Articles!$B:$B,0)),""))</f>
        <v/>
      </c>
      <c r="E121" s="9" t="str">
        <f>IF(OR(C121="",D121=""),"",C121*D121)</f>
        <v/>
      </c>
      <c r="F121" s="4"/>
      <c r="G121" s="4"/>
      <c r="H121" s="9" t="str">
        <f>IF(OR(B121="",C121=""),"",C121*IFERROR(INDEX(Articles!$D:$D,MATCH(B121,Articles!$B:$B,0)),0))</f>
        <v/>
      </c>
      <c r="I121" s="9" t="str">
        <f>IF(OR(E121="",H121=""),"",E121-H121)</f>
        <v/>
      </c>
      <c r="J121" s="4"/>
    </row>
    <row r="122">
      <c r="A122" s="7"/>
      <c r="B122" s="4"/>
      <c r="C122" s="6"/>
      <c r="D122" s="5" t="str">
        <f>IF(B122="","",IFERROR(INDEX(Articles!$E:$E,MATCH(B122,Articles!$B:$B,0)),""))</f>
        <v/>
      </c>
      <c r="E122" s="9" t="str">
        <f>IF(OR(C122="",D122=""),"",C122*D122)</f>
        <v/>
      </c>
      <c r="F122" s="4"/>
      <c r="G122" s="4"/>
      <c r="H122" s="9" t="str">
        <f>IF(OR(B122="",C122=""),"",C122*IFERROR(INDEX(Articles!$D:$D,MATCH(B122,Articles!$B:$B,0)),0))</f>
        <v/>
      </c>
      <c r="I122" s="9" t="str">
        <f>IF(OR(E122="",H122=""),"",E122-H122)</f>
        <v/>
      </c>
      <c r="J122" s="4"/>
    </row>
    <row r="123">
      <c r="A123" s="7"/>
      <c r="B123" s="4"/>
      <c r="C123" s="6"/>
      <c r="D123" s="5" t="str">
        <f>IF(B123="","",IFERROR(INDEX(Articles!$E:$E,MATCH(B123,Articles!$B:$B,0)),""))</f>
        <v/>
      </c>
      <c r="E123" s="9" t="str">
        <f>IF(OR(C123="",D123=""),"",C123*D123)</f>
        <v/>
      </c>
      <c r="F123" s="4"/>
      <c r="G123" s="4"/>
      <c r="H123" s="9" t="str">
        <f>IF(OR(B123="",C123=""),"",C123*IFERROR(INDEX(Articles!$D:$D,MATCH(B123,Articles!$B:$B,0)),0))</f>
        <v/>
      </c>
      <c r="I123" s="9" t="str">
        <f>IF(OR(E123="",H123=""),"",E123-H123)</f>
        <v/>
      </c>
      <c r="J123" s="4"/>
    </row>
    <row r="124">
      <c r="A124" s="7"/>
      <c r="B124" s="4"/>
      <c r="C124" s="6"/>
      <c r="D124" s="5" t="str">
        <f>IF(B124="","",IFERROR(INDEX(Articles!$E:$E,MATCH(B124,Articles!$B:$B,0)),""))</f>
        <v/>
      </c>
      <c r="E124" s="9" t="str">
        <f>IF(OR(C124="",D124=""),"",C124*D124)</f>
        <v/>
      </c>
      <c r="F124" s="4"/>
      <c r="G124" s="4"/>
      <c r="H124" s="9" t="str">
        <f>IF(OR(B124="",C124=""),"",C124*IFERROR(INDEX(Articles!$D:$D,MATCH(B124,Articles!$B:$B,0)),0))</f>
        <v/>
      </c>
      <c r="I124" s="9" t="str">
        <f>IF(OR(E124="",H124=""),"",E124-H124)</f>
        <v/>
      </c>
      <c r="J124" s="4"/>
    </row>
    <row r="125">
      <c r="A125" s="7"/>
      <c r="B125" s="4"/>
      <c r="C125" s="6"/>
      <c r="D125" s="5" t="str">
        <f>IF(B125="","",IFERROR(INDEX(Articles!$E:$E,MATCH(B125,Articles!$B:$B,0)),""))</f>
        <v/>
      </c>
      <c r="E125" s="9" t="str">
        <f>IF(OR(C125="",D125=""),"",C125*D125)</f>
        <v/>
      </c>
      <c r="F125" s="4"/>
      <c r="G125" s="4"/>
      <c r="H125" s="9" t="str">
        <f>IF(OR(B125="",C125=""),"",C125*IFERROR(INDEX(Articles!$D:$D,MATCH(B125,Articles!$B:$B,0)),0))</f>
        <v/>
      </c>
      <c r="I125" s="9" t="str">
        <f>IF(OR(E125="",H125=""),"",E125-H125)</f>
        <v/>
      </c>
      <c r="J125" s="4"/>
    </row>
    <row r="126">
      <c r="A126" s="7"/>
      <c r="B126" s="4"/>
      <c r="C126" s="6"/>
      <c r="D126" s="5" t="str">
        <f>IF(B126="","",IFERROR(INDEX(Articles!$E:$E,MATCH(B126,Articles!$B:$B,0)),""))</f>
        <v/>
      </c>
      <c r="E126" s="9" t="str">
        <f>IF(OR(C126="",D126=""),"",C126*D126)</f>
        <v/>
      </c>
      <c r="F126" s="4"/>
      <c r="G126" s="4"/>
      <c r="H126" s="9" t="str">
        <f>IF(OR(B126="",C126=""),"",C126*IFERROR(INDEX(Articles!$D:$D,MATCH(B126,Articles!$B:$B,0)),0))</f>
        <v/>
      </c>
      <c r="I126" s="9" t="str">
        <f>IF(OR(E126="",H126=""),"",E126-H126)</f>
        <v/>
      </c>
      <c r="J126" s="4"/>
    </row>
    <row r="127">
      <c r="A127" s="7"/>
      <c r="B127" s="4"/>
      <c r="C127" s="6"/>
      <c r="D127" s="5" t="str">
        <f>IF(B127="","",IFERROR(INDEX(Articles!$E:$E,MATCH(B127,Articles!$B:$B,0)),""))</f>
        <v/>
      </c>
      <c r="E127" s="9" t="str">
        <f>IF(OR(C127="",D127=""),"",C127*D127)</f>
        <v/>
      </c>
      <c r="F127" s="4"/>
      <c r="G127" s="4"/>
      <c r="H127" s="9" t="str">
        <f>IF(OR(B127="",C127=""),"",C127*IFERROR(INDEX(Articles!$D:$D,MATCH(B127,Articles!$B:$B,0)),0))</f>
        <v/>
      </c>
      <c r="I127" s="9" t="str">
        <f>IF(OR(E127="",H127=""),"",E127-H127)</f>
        <v/>
      </c>
      <c r="J127" s="4"/>
    </row>
    <row r="128">
      <c r="A128" s="7"/>
      <c r="B128" s="4"/>
      <c r="C128" s="6"/>
      <c r="D128" s="5" t="str">
        <f>IF(B128="","",IFERROR(INDEX(Articles!$E:$E,MATCH(B128,Articles!$B:$B,0)),""))</f>
        <v/>
      </c>
      <c r="E128" s="9" t="str">
        <f>IF(OR(C128="",D128=""),"",C128*D128)</f>
        <v/>
      </c>
      <c r="F128" s="4"/>
      <c r="G128" s="4"/>
      <c r="H128" s="9" t="str">
        <f>IF(OR(B128="",C128=""),"",C128*IFERROR(INDEX(Articles!$D:$D,MATCH(B128,Articles!$B:$B,0)),0))</f>
        <v/>
      </c>
      <c r="I128" s="9" t="str">
        <f>IF(OR(E128="",H128=""),"",E128-H128)</f>
        <v/>
      </c>
      <c r="J128" s="4"/>
    </row>
    <row r="129">
      <c r="A129" s="7"/>
      <c r="B129" s="4"/>
      <c r="C129" s="6"/>
      <c r="D129" s="5" t="str">
        <f>IF(B129="","",IFERROR(INDEX(Articles!$E:$E,MATCH(B129,Articles!$B:$B,0)),""))</f>
        <v/>
      </c>
      <c r="E129" s="9" t="str">
        <f>IF(OR(C129="",D129=""),"",C129*D129)</f>
        <v/>
      </c>
      <c r="F129" s="4"/>
      <c r="G129" s="4"/>
      <c r="H129" s="9" t="str">
        <f>IF(OR(B129="",C129=""),"",C129*IFERROR(INDEX(Articles!$D:$D,MATCH(B129,Articles!$B:$B,0)),0))</f>
        <v/>
      </c>
      <c r="I129" s="9" t="str">
        <f>IF(OR(E129="",H129=""),"",E129-H129)</f>
        <v/>
      </c>
      <c r="J129" s="4"/>
    </row>
    <row r="130">
      <c r="A130" s="7"/>
      <c r="B130" s="4"/>
      <c r="C130" s="6"/>
      <c r="D130" s="5" t="str">
        <f>IF(B130="","",IFERROR(INDEX(Articles!$E:$E,MATCH(B130,Articles!$B:$B,0)),""))</f>
        <v/>
      </c>
      <c r="E130" s="9" t="str">
        <f>IF(OR(C130="",D130=""),"",C130*D130)</f>
        <v/>
      </c>
      <c r="F130" s="4"/>
      <c r="G130" s="4"/>
      <c r="H130" s="9" t="str">
        <f>IF(OR(B130="",C130=""),"",C130*IFERROR(INDEX(Articles!$D:$D,MATCH(B130,Articles!$B:$B,0)),0))</f>
        <v/>
      </c>
      <c r="I130" s="9" t="str">
        <f>IF(OR(E130="",H130=""),"",E130-H130)</f>
        <v/>
      </c>
      <c r="J130" s="4"/>
    </row>
    <row r="131">
      <c r="A131" s="7"/>
      <c r="B131" s="4"/>
      <c r="C131" s="6"/>
      <c r="D131" s="5" t="str">
        <f>IF(B131="","",IFERROR(INDEX(Articles!$E:$E,MATCH(B131,Articles!$B:$B,0)),""))</f>
        <v/>
      </c>
      <c r="E131" s="9" t="str">
        <f>IF(OR(C131="",D131=""),"",C131*D131)</f>
        <v/>
      </c>
      <c r="F131" s="4"/>
      <c r="G131" s="4"/>
      <c r="H131" s="9" t="str">
        <f>IF(OR(B131="",C131=""),"",C131*IFERROR(INDEX(Articles!$D:$D,MATCH(B131,Articles!$B:$B,0)),0))</f>
        <v/>
      </c>
      <c r="I131" s="9" t="str">
        <f>IF(OR(E131="",H131=""),"",E131-H131)</f>
        <v/>
      </c>
      <c r="J131" s="4"/>
    </row>
    <row r="132">
      <c r="A132" s="7"/>
      <c r="B132" s="4"/>
      <c r="C132" s="6"/>
      <c r="D132" s="5" t="str">
        <f>IF(B132="","",IFERROR(INDEX(Articles!$E:$E,MATCH(B132,Articles!$B:$B,0)),""))</f>
        <v/>
      </c>
      <c r="E132" s="9" t="str">
        <f>IF(OR(C132="",D132=""),"",C132*D132)</f>
        <v/>
      </c>
      <c r="F132" s="4"/>
      <c r="G132" s="4"/>
      <c r="H132" s="9" t="str">
        <f>IF(OR(B132="",C132=""),"",C132*IFERROR(INDEX(Articles!$D:$D,MATCH(B132,Articles!$B:$B,0)),0))</f>
        <v/>
      </c>
      <c r="I132" s="9" t="str">
        <f>IF(OR(E132="",H132=""),"",E132-H132)</f>
        <v/>
      </c>
      <c r="J132" s="4"/>
    </row>
    <row r="133">
      <c r="A133" s="7"/>
      <c r="B133" s="4"/>
      <c r="C133" s="6"/>
      <c r="D133" s="5" t="str">
        <f>IF(B133="","",IFERROR(INDEX(Articles!$E:$E,MATCH(B133,Articles!$B:$B,0)),""))</f>
        <v/>
      </c>
      <c r="E133" s="9" t="str">
        <f>IF(OR(C133="",D133=""),"",C133*D133)</f>
        <v/>
      </c>
      <c r="F133" s="4"/>
      <c r="G133" s="4"/>
      <c r="H133" s="9" t="str">
        <f>IF(OR(B133="",C133=""),"",C133*IFERROR(INDEX(Articles!$D:$D,MATCH(B133,Articles!$B:$B,0)),0))</f>
        <v/>
      </c>
      <c r="I133" s="9" t="str">
        <f>IF(OR(E133="",H133=""),"",E133-H133)</f>
        <v/>
      </c>
      <c r="J133" s="4"/>
    </row>
    <row r="134">
      <c r="A134" s="7"/>
      <c r="B134" s="4"/>
      <c r="C134" s="6"/>
      <c r="D134" s="5" t="str">
        <f>IF(B134="","",IFERROR(INDEX(Articles!$E:$E,MATCH(B134,Articles!$B:$B,0)),""))</f>
        <v/>
      </c>
      <c r="E134" s="9" t="str">
        <f>IF(OR(C134="",D134=""),"",C134*D134)</f>
        <v/>
      </c>
      <c r="F134" s="4"/>
      <c r="G134" s="4"/>
      <c r="H134" s="9" t="str">
        <f>IF(OR(B134="",C134=""),"",C134*IFERROR(INDEX(Articles!$D:$D,MATCH(B134,Articles!$B:$B,0)),0))</f>
        <v/>
      </c>
      <c r="I134" s="9" t="str">
        <f>IF(OR(E134="",H134=""),"",E134-H134)</f>
        <v/>
      </c>
      <c r="J134" s="4"/>
    </row>
    <row r="135">
      <c r="A135" s="7"/>
      <c r="B135" s="4"/>
      <c r="C135" s="6"/>
      <c r="D135" s="5" t="str">
        <f>IF(B135="","",IFERROR(INDEX(Articles!$E:$E,MATCH(B135,Articles!$B:$B,0)),""))</f>
        <v/>
      </c>
      <c r="E135" s="9" t="str">
        <f>IF(OR(C135="",D135=""),"",C135*D135)</f>
        <v/>
      </c>
      <c r="F135" s="4"/>
      <c r="G135" s="4"/>
      <c r="H135" s="9" t="str">
        <f>IF(OR(B135="",C135=""),"",C135*IFERROR(INDEX(Articles!$D:$D,MATCH(B135,Articles!$B:$B,0)),0))</f>
        <v/>
      </c>
      <c r="I135" s="9" t="str">
        <f>IF(OR(E135="",H135=""),"",E135-H135)</f>
        <v/>
      </c>
      <c r="J135" s="4"/>
    </row>
    <row r="136">
      <c r="A136" s="7"/>
      <c r="B136" s="4"/>
      <c r="C136" s="6"/>
      <c r="D136" s="5" t="str">
        <f>IF(B136="","",IFERROR(INDEX(Articles!$E:$E,MATCH(B136,Articles!$B:$B,0)),""))</f>
        <v/>
      </c>
      <c r="E136" s="9" t="str">
        <f>IF(OR(C136="",D136=""),"",C136*D136)</f>
        <v/>
      </c>
      <c r="F136" s="4"/>
      <c r="G136" s="4"/>
      <c r="H136" s="9" t="str">
        <f>IF(OR(B136="",C136=""),"",C136*IFERROR(INDEX(Articles!$D:$D,MATCH(B136,Articles!$B:$B,0)),0))</f>
        <v/>
      </c>
      <c r="I136" s="9" t="str">
        <f>IF(OR(E136="",H136=""),"",E136-H136)</f>
        <v/>
      </c>
      <c r="J136" s="4"/>
    </row>
    <row r="137">
      <c r="A137" s="7"/>
      <c r="B137" s="4"/>
      <c r="C137" s="6"/>
      <c r="D137" s="5" t="str">
        <f>IF(B137="","",IFERROR(INDEX(Articles!$E:$E,MATCH(B137,Articles!$B:$B,0)),""))</f>
        <v/>
      </c>
      <c r="E137" s="9" t="str">
        <f>IF(OR(C137="",D137=""),"",C137*D137)</f>
        <v/>
      </c>
      <c r="F137" s="4"/>
      <c r="G137" s="4"/>
      <c r="H137" s="9" t="str">
        <f>IF(OR(B137="",C137=""),"",C137*IFERROR(INDEX(Articles!$D:$D,MATCH(B137,Articles!$B:$B,0)),0))</f>
        <v/>
      </c>
      <c r="I137" s="9" t="str">
        <f>IF(OR(E137="",H137=""),"",E137-H137)</f>
        <v/>
      </c>
      <c r="J137" s="4"/>
    </row>
    <row r="138">
      <c r="A138" s="7"/>
      <c r="B138" s="4"/>
      <c r="C138" s="6"/>
      <c r="D138" s="5" t="str">
        <f>IF(B138="","",IFERROR(INDEX(Articles!$E:$E,MATCH(B138,Articles!$B:$B,0)),""))</f>
        <v/>
      </c>
      <c r="E138" s="9" t="str">
        <f>IF(OR(C138="",D138=""),"",C138*D138)</f>
        <v/>
      </c>
      <c r="F138" s="4"/>
      <c r="G138" s="4"/>
      <c r="H138" s="9" t="str">
        <f>IF(OR(B138="",C138=""),"",C138*IFERROR(INDEX(Articles!$D:$D,MATCH(B138,Articles!$B:$B,0)),0))</f>
        <v/>
      </c>
      <c r="I138" s="9" t="str">
        <f>IF(OR(E138="",H138=""),"",E138-H138)</f>
        <v/>
      </c>
      <c r="J138" s="4"/>
    </row>
    <row r="139">
      <c r="A139" s="7"/>
      <c r="B139" s="4"/>
      <c r="C139" s="6"/>
      <c r="D139" s="5" t="str">
        <f>IF(B139="","",IFERROR(INDEX(Articles!$E:$E,MATCH(B139,Articles!$B:$B,0)),""))</f>
        <v/>
      </c>
      <c r="E139" s="9" t="str">
        <f>IF(OR(C139="",D139=""),"",C139*D139)</f>
        <v/>
      </c>
      <c r="F139" s="4"/>
      <c r="G139" s="4"/>
      <c r="H139" s="9" t="str">
        <f>IF(OR(B139="",C139=""),"",C139*IFERROR(INDEX(Articles!$D:$D,MATCH(B139,Articles!$B:$B,0)),0))</f>
        <v/>
      </c>
      <c r="I139" s="9" t="str">
        <f>IF(OR(E139="",H139=""),"",E139-H139)</f>
        <v/>
      </c>
      <c r="J139" s="4"/>
    </row>
    <row r="140">
      <c r="A140" s="7"/>
      <c r="B140" s="4"/>
      <c r="C140" s="6"/>
      <c r="D140" s="5" t="str">
        <f>IF(B140="","",IFERROR(INDEX(Articles!$E:$E,MATCH(B140,Articles!$B:$B,0)),""))</f>
        <v/>
      </c>
      <c r="E140" s="9" t="str">
        <f>IF(OR(C140="",D140=""),"",C140*D140)</f>
        <v/>
      </c>
      <c r="F140" s="4"/>
      <c r="G140" s="4"/>
      <c r="H140" s="9" t="str">
        <f>IF(OR(B140="",C140=""),"",C140*IFERROR(INDEX(Articles!$D:$D,MATCH(B140,Articles!$B:$B,0)),0))</f>
        <v/>
      </c>
      <c r="I140" s="9" t="str">
        <f>IF(OR(E140="",H140=""),"",E140-H140)</f>
        <v/>
      </c>
      <c r="J140" s="4"/>
    </row>
    <row r="141">
      <c r="A141" s="7"/>
      <c r="B141" s="4"/>
      <c r="C141" s="6"/>
      <c r="D141" s="5" t="str">
        <f>IF(B141="","",IFERROR(INDEX(Articles!$E:$E,MATCH(B141,Articles!$B:$B,0)),""))</f>
        <v/>
      </c>
      <c r="E141" s="9" t="str">
        <f>IF(OR(C141="",D141=""),"",C141*D141)</f>
        <v/>
      </c>
      <c r="F141" s="4"/>
      <c r="G141" s="4"/>
      <c r="H141" s="9" t="str">
        <f>IF(OR(B141="",C141=""),"",C141*IFERROR(INDEX(Articles!$D:$D,MATCH(B141,Articles!$B:$B,0)),0))</f>
        <v/>
      </c>
      <c r="I141" s="9" t="str">
        <f>IF(OR(E141="",H141=""),"",E141-H141)</f>
        <v/>
      </c>
      <c r="J141" s="4"/>
    </row>
    <row r="142">
      <c r="A142" s="7"/>
      <c r="B142" s="4"/>
      <c r="C142" s="6"/>
      <c r="D142" s="5" t="str">
        <f>IF(B142="","",IFERROR(INDEX(Articles!$E:$E,MATCH(B142,Articles!$B:$B,0)),""))</f>
        <v/>
      </c>
      <c r="E142" s="9" t="str">
        <f>IF(OR(C142="",D142=""),"",C142*D142)</f>
        <v/>
      </c>
      <c r="F142" s="4"/>
      <c r="G142" s="4"/>
      <c r="H142" s="9" t="str">
        <f>IF(OR(B142="",C142=""),"",C142*IFERROR(INDEX(Articles!$D:$D,MATCH(B142,Articles!$B:$B,0)),0))</f>
        <v/>
      </c>
      <c r="I142" s="9" t="str">
        <f>IF(OR(E142="",H142=""),"",E142-H142)</f>
        <v/>
      </c>
      <c r="J142" s="4"/>
    </row>
    <row r="143">
      <c r="A143" s="7"/>
      <c r="B143" s="4"/>
      <c r="C143" s="6"/>
      <c r="D143" s="5" t="str">
        <f>IF(B143="","",IFERROR(INDEX(Articles!$E:$E,MATCH(B143,Articles!$B:$B,0)),""))</f>
        <v/>
      </c>
      <c r="E143" s="9" t="str">
        <f>IF(OR(C143="",D143=""),"",C143*D143)</f>
        <v/>
      </c>
      <c r="F143" s="4"/>
      <c r="G143" s="4"/>
      <c r="H143" s="9" t="str">
        <f>IF(OR(B143="",C143=""),"",C143*IFERROR(INDEX(Articles!$D:$D,MATCH(B143,Articles!$B:$B,0)),0))</f>
        <v/>
      </c>
      <c r="I143" s="9" t="str">
        <f>IF(OR(E143="",H143=""),"",E143-H143)</f>
        <v/>
      </c>
      <c r="J143" s="4"/>
    </row>
    <row r="144">
      <c r="A144" s="7"/>
      <c r="B144" s="4"/>
      <c r="C144" s="6"/>
      <c r="D144" s="5" t="str">
        <f>IF(B144="","",IFERROR(INDEX(Articles!$E:$E,MATCH(B144,Articles!$B:$B,0)),""))</f>
        <v/>
      </c>
      <c r="E144" s="9" t="str">
        <f>IF(OR(C144="",D144=""),"",C144*D144)</f>
        <v/>
      </c>
      <c r="F144" s="4"/>
      <c r="G144" s="4"/>
      <c r="H144" s="9" t="str">
        <f>IF(OR(B144="",C144=""),"",C144*IFERROR(INDEX(Articles!$D:$D,MATCH(B144,Articles!$B:$B,0)),0))</f>
        <v/>
      </c>
      <c r="I144" s="9" t="str">
        <f>IF(OR(E144="",H144=""),"",E144-H144)</f>
        <v/>
      </c>
      <c r="J144" s="4"/>
    </row>
    <row r="145">
      <c r="A145" s="7"/>
      <c r="B145" s="4"/>
      <c r="C145" s="6"/>
      <c r="D145" s="5" t="str">
        <f>IF(B145="","",IFERROR(INDEX(Articles!$E:$E,MATCH(B145,Articles!$B:$B,0)),""))</f>
        <v/>
      </c>
      <c r="E145" s="9" t="str">
        <f>IF(OR(C145="",D145=""),"",C145*D145)</f>
        <v/>
      </c>
      <c r="F145" s="4"/>
      <c r="G145" s="4"/>
      <c r="H145" s="9" t="str">
        <f>IF(OR(B145="",C145=""),"",C145*IFERROR(INDEX(Articles!$D:$D,MATCH(B145,Articles!$B:$B,0)),0))</f>
        <v/>
      </c>
      <c r="I145" s="9" t="str">
        <f>IF(OR(E145="",H145=""),"",E145-H145)</f>
        <v/>
      </c>
      <c r="J145" s="4"/>
    </row>
    <row r="146">
      <c r="A146" s="7"/>
      <c r="B146" s="4"/>
      <c r="C146" s="6"/>
      <c r="D146" s="5" t="str">
        <f>IF(B146="","",IFERROR(INDEX(Articles!$E:$E,MATCH(B146,Articles!$B:$B,0)),""))</f>
        <v/>
      </c>
      <c r="E146" s="9" t="str">
        <f>IF(OR(C146="",D146=""),"",C146*D146)</f>
        <v/>
      </c>
      <c r="F146" s="4"/>
      <c r="G146" s="4"/>
      <c r="H146" s="9" t="str">
        <f>IF(OR(B146="",C146=""),"",C146*IFERROR(INDEX(Articles!$D:$D,MATCH(B146,Articles!$B:$B,0)),0))</f>
        <v/>
      </c>
      <c r="I146" s="9" t="str">
        <f>IF(OR(E146="",H146=""),"",E146-H146)</f>
        <v/>
      </c>
      <c r="J146" s="4"/>
    </row>
    <row r="147">
      <c r="A147" s="7"/>
      <c r="B147" s="4"/>
      <c r="C147" s="6"/>
      <c r="D147" s="5" t="str">
        <f>IF(B147="","",IFERROR(INDEX(Articles!$E:$E,MATCH(B147,Articles!$B:$B,0)),""))</f>
        <v/>
      </c>
      <c r="E147" s="9" t="str">
        <f>IF(OR(C147="",D147=""),"",C147*D147)</f>
        <v/>
      </c>
      <c r="F147" s="4"/>
      <c r="G147" s="4"/>
      <c r="H147" s="9" t="str">
        <f>IF(OR(B147="",C147=""),"",C147*IFERROR(INDEX(Articles!$D:$D,MATCH(B147,Articles!$B:$B,0)),0))</f>
        <v/>
      </c>
      <c r="I147" s="9" t="str">
        <f>IF(OR(E147="",H147=""),"",E147-H147)</f>
        <v/>
      </c>
      <c r="J147" s="4"/>
    </row>
    <row r="148">
      <c r="A148" s="7"/>
      <c r="B148" s="4"/>
      <c r="C148" s="6"/>
      <c r="D148" s="5" t="str">
        <f>IF(B148="","",IFERROR(INDEX(Articles!$E:$E,MATCH(B148,Articles!$B:$B,0)),""))</f>
        <v/>
      </c>
      <c r="E148" s="9" t="str">
        <f>IF(OR(C148="",D148=""),"",C148*D148)</f>
        <v/>
      </c>
      <c r="F148" s="4"/>
      <c r="G148" s="4"/>
      <c r="H148" s="9" t="str">
        <f>IF(OR(B148="",C148=""),"",C148*IFERROR(INDEX(Articles!$D:$D,MATCH(B148,Articles!$B:$B,0)),0))</f>
        <v/>
      </c>
      <c r="I148" s="9" t="str">
        <f>IF(OR(E148="",H148=""),"",E148-H148)</f>
        <v/>
      </c>
      <c r="J148" s="4"/>
    </row>
    <row r="149">
      <c r="A149" s="7"/>
      <c r="B149" s="4"/>
      <c r="C149" s="6"/>
      <c r="D149" s="5" t="str">
        <f>IF(B149="","",IFERROR(INDEX(Articles!$E:$E,MATCH(B149,Articles!$B:$B,0)),""))</f>
        <v/>
      </c>
      <c r="E149" s="9" t="str">
        <f>IF(OR(C149="",D149=""),"",C149*D149)</f>
        <v/>
      </c>
      <c r="F149" s="4"/>
      <c r="G149" s="4"/>
      <c r="H149" s="9" t="str">
        <f>IF(OR(B149="",C149=""),"",C149*IFERROR(INDEX(Articles!$D:$D,MATCH(B149,Articles!$B:$B,0)),0))</f>
        <v/>
      </c>
      <c r="I149" s="9" t="str">
        <f>IF(OR(E149="",H149=""),"",E149-H149)</f>
        <v/>
      </c>
      <c r="J149" s="4"/>
    </row>
    <row r="150">
      <c r="A150" s="7"/>
      <c r="B150" s="4"/>
      <c r="C150" s="6"/>
      <c r="D150" s="5" t="str">
        <f>IF(B150="","",IFERROR(INDEX(Articles!$E:$E,MATCH(B150,Articles!$B:$B,0)),""))</f>
        <v/>
      </c>
      <c r="E150" s="9" t="str">
        <f>IF(OR(C150="",D150=""),"",C150*D150)</f>
        <v/>
      </c>
      <c r="F150" s="4"/>
      <c r="G150" s="4"/>
      <c r="H150" s="9" t="str">
        <f>IF(OR(B150="",C150=""),"",C150*IFERROR(INDEX(Articles!$D:$D,MATCH(B150,Articles!$B:$B,0)),0))</f>
        <v/>
      </c>
      <c r="I150" s="9" t="str">
        <f>IF(OR(E150="",H150=""),"",E150-H150)</f>
        <v/>
      </c>
      <c r="J150" s="4"/>
    </row>
    <row r="151">
      <c r="A151" s="7"/>
      <c r="B151" s="4"/>
      <c r="C151" s="6"/>
      <c r="D151" s="5" t="str">
        <f>IF(B151="","",IFERROR(INDEX(Articles!$E:$E,MATCH(B151,Articles!$B:$B,0)),""))</f>
        <v/>
      </c>
      <c r="E151" s="9" t="str">
        <f>IF(OR(C151="",D151=""),"",C151*D151)</f>
        <v/>
      </c>
      <c r="F151" s="4"/>
      <c r="G151" s="4"/>
      <c r="H151" s="9" t="str">
        <f>IF(OR(B151="",C151=""),"",C151*IFERROR(INDEX(Articles!$D:$D,MATCH(B151,Articles!$B:$B,0)),0))</f>
        <v/>
      </c>
      <c r="I151" s="9" t="str">
        <f>IF(OR(E151="",H151=""),"",E151-H151)</f>
        <v/>
      </c>
      <c r="J151" s="4"/>
    </row>
    <row r="152">
      <c r="A152" s="7"/>
      <c r="B152" s="4"/>
      <c r="C152" s="6"/>
      <c r="D152" s="5" t="str">
        <f>IF(B152="","",IFERROR(INDEX(Articles!$E:$E,MATCH(B152,Articles!$B:$B,0)),""))</f>
        <v/>
      </c>
      <c r="E152" s="9" t="str">
        <f>IF(OR(C152="",D152=""),"",C152*D152)</f>
        <v/>
      </c>
      <c r="F152" s="4"/>
      <c r="G152" s="4"/>
      <c r="H152" s="9" t="str">
        <f>IF(OR(B152="",C152=""),"",C152*IFERROR(INDEX(Articles!$D:$D,MATCH(B152,Articles!$B:$B,0)),0))</f>
        <v/>
      </c>
      <c r="I152" s="9" t="str">
        <f>IF(OR(E152="",H152=""),"",E152-H152)</f>
        <v/>
      </c>
      <c r="J152" s="4"/>
    </row>
    <row r="153">
      <c r="A153" s="7"/>
      <c r="B153" s="4"/>
      <c r="C153" s="6"/>
      <c r="D153" s="5" t="str">
        <f>IF(B153="","",IFERROR(INDEX(Articles!$E:$E,MATCH(B153,Articles!$B:$B,0)),""))</f>
        <v/>
      </c>
      <c r="E153" s="9" t="str">
        <f>IF(OR(C153="",D153=""),"",C153*D153)</f>
        <v/>
      </c>
      <c r="F153" s="4"/>
      <c r="G153" s="4"/>
      <c r="H153" s="9" t="str">
        <f>IF(OR(B153="",C153=""),"",C153*IFERROR(INDEX(Articles!$D:$D,MATCH(B153,Articles!$B:$B,0)),0))</f>
        <v/>
      </c>
      <c r="I153" s="9" t="str">
        <f>IF(OR(E153="",H153=""),"",E153-H153)</f>
        <v/>
      </c>
      <c r="J153" s="4"/>
    </row>
    <row r="154">
      <c r="A154" s="7"/>
      <c r="B154" s="4"/>
      <c r="C154" s="6"/>
      <c r="D154" s="5" t="str">
        <f>IF(B154="","",IFERROR(INDEX(Articles!$E:$E,MATCH(B154,Articles!$B:$B,0)),""))</f>
        <v/>
      </c>
      <c r="E154" s="9" t="str">
        <f>IF(OR(C154="",D154=""),"",C154*D154)</f>
        <v/>
      </c>
      <c r="F154" s="4"/>
      <c r="G154" s="4"/>
      <c r="H154" s="9" t="str">
        <f>IF(OR(B154="",C154=""),"",C154*IFERROR(INDEX(Articles!$D:$D,MATCH(B154,Articles!$B:$B,0)),0))</f>
        <v/>
      </c>
      <c r="I154" s="9" t="str">
        <f>IF(OR(E154="",H154=""),"",E154-H154)</f>
        <v/>
      </c>
      <c r="J154" s="4"/>
    </row>
    <row r="155">
      <c r="A155" s="7"/>
      <c r="B155" s="4"/>
      <c r="C155" s="6"/>
      <c r="D155" s="5" t="str">
        <f>IF(B155="","",IFERROR(INDEX(Articles!$E:$E,MATCH(B155,Articles!$B:$B,0)),""))</f>
        <v/>
      </c>
      <c r="E155" s="9" t="str">
        <f>IF(OR(C155="",D155=""),"",C155*D155)</f>
        <v/>
      </c>
      <c r="F155" s="4"/>
      <c r="G155" s="4"/>
      <c r="H155" s="9" t="str">
        <f>IF(OR(B155="",C155=""),"",C155*IFERROR(INDEX(Articles!$D:$D,MATCH(B155,Articles!$B:$B,0)),0))</f>
        <v/>
      </c>
      <c r="I155" s="9" t="str">
        <f>IF(OR(E155="",H155=""),"",E155-H155)</f>
        <v/>
      </c>
      <c r="J155" s="4"/>
    </row>
    <row r="156">
      <c r="A156" s="7"/>
      <c r="B156" s="4"/>
      <c r="C156" s="6"/>
      <c r="D156" s="5" t="str">
        <f>IF(B156="","",IFERROR(INDEX(Articles!$E:$E,MATCH(B156,Articles!$B:$B,0)),""))</f>
        <v/>
      </c>
      <c r="E156" s="9" t="str">
        <f>IF(OR(C156="",D156=""),"",C156*D156)</f>
        <v/>
      </c>
      <c r="F156" s="4"/>
      <c r="G156" s="4"/>
      <c r="H156" s="9" t="str">
        <f>IF(OR(B156="",C156=""),"",C156*IFERROR(INDEX(Articles!$D:$D,MATCH(B156,Articles!$B:$B,0)),0))</f>
        <v/>
      </c>
      <c r="I156" s="9" t="str">
        <f>IF(OR(E156="",H156=""),"",E156-H156)</f>
        <v/>
      </c>
      <c r="J156" s="4"/>
    </row>
    <row r="157">
      <c r="A157" s="7"/>
      <c r="B157" s="4"/>
      <c r="C157" s="6"/>
      <c r="D157" s="5" t="str">
        <f>IF(B157="","",IFERROR(INDEX(Articles!$E:$E,MATCH(B157,Articles!$B:$B,0)),""))</f>
        <v/>
      </c>
      <c r="E157" s="9" t="str">
        <f>IF(OR(C157="",D157=""),"",C157*D157)</f>
        <v/>
      </c>
      <c r="F157" s="4"/>
      <c r="G157" s="4"/>
      <c r="H157" s="9" t="str">
        <f>IF(OR(B157="",C157=""),"",C157*IFERROR(INDEX(Articles!$D:$D,MATCH(B157,Articles!$B:$B,0)),0))</f>
        <v/>
      </c>
      <c r="I157" s="9" t="str">
        <f>IF(OR(E157="",H157=""),"",E157-H157)</f>
        <v/>
      </c>
      <c r="J157" s="4"/>
    </row>
    <row r="158">
      <c r="A158" s="7"/>
      <c r="B158" s="4"/>
      <c r="C158" s="6"/>
      <c r="D158" s="5" t="str">
        <f>IF(B158="","",IFERROR(INDEX(Articles!$E:$E,MATCH(B158,Articles!$B:$B,0)),""))</f>
        <v/>
      </c>
      <c r="E158" s="9" t="str">
        <f>IF(OR(C158="",D158=""),"",C158*D158)</f>
        <v/>
      </c>
      <c r="F158" s="4"/>
      <c r="G158" s="4"/>
      <c r="H158" s="9" t="str">
        <f>IF(OR(B158="",C158=""),"",C158*IFERROR(INDEX(Articles!$D:$D,MATCH(B158,Articles!$B:$B,0)),0))</f>
        <v/>
      </c>
      <c r="I158" s="9" t="str">
        <f>IF(OR(E158="",H158=""),"",E158-H158)</f>
        <v/>
      </c>
      <c r="J158" s="4"/>
    </row>
    <row r="159">
      <c r="A159" s="7"/>
      <c r="B159" s="4"/>
      <c r="C159" s="6"/>
      <c r="D159" s="5" t="str">
        <f>IF(B159="","",IFERROR(INDEX(Articles!$E:$E,MATCH(B159,Articles!$B:$B,0)),""))</f>
        <v/>
      </c>
      <c r="E159" s="9" t="str">
        <f>IF(OR(C159="",D159=""),"",C159*D159)</f>
        <v/>
      </c>
      <c r="F159" s="4"/>
      <c r="G159" s="4"/>
      <c r="H159" s="9" t="str">
        <f>IF(OR(B159="",C159=""),"",C159*IFERROR(INDEX(Articles!$D:$D,MATCH(B159,Articles!$B:$B,0)),0))</f>
        <v/>
      </c>
      <c r="I159" s="9" t="str">
        <f>IF(OR(E159="",H159=""),"",E159-H159)</f>
        <v/>
      </c>
      <c r="J159" s="4"/>
    </row>
    <row r="160">
      <c r="A160" s="7"/>
      <c r="B160" s="4"/>
      <c r="C160" s="6"/>
      <c r="D160" s="5" t="str">
        <f>IF(B160="","",IFERROR(INDEX(Articles!$E:$E,MATCH(B160,Articles!$B:$B,0)),""))</f>
        <v/>
      </c>
      <c r="E160" s="9" t="str">
        <f>IF(OR(C160="",D160=""),"",C160*D160)</f>
        <v/>
      </c>
      <c r="F160" s="4"/>
      <c r="G160" s="4"/>
      <c r="H160" s="9" t="str">
        <f>IF(OR(B160="",C160=""),"",C160*IFERROR(INDEX(Articles!$D:$D,MATCH(B160,Articles!$B:$B,0)),0))</f>
        <v/>
      </c>
      <c r="I160" s="9" t="str">
        <f>IF(OR(E160="",H160=""),"",E160-H160)</f>
        <v/>
      </c>
      <c r="J160" s="4"/>
    </row>
    <row r="161">
      <c r="A161" s="7"/>
      <c r="B161" s="4"/>
      <c r="C161" s="6"/>
      <c r="D161" s="5" t="str">
        <f>IF(B161="","",IFERROR(INDEX(Articles!$E:$E,MATCH(B161,Articles!$B:$B,0)),""))</f>
        <v/>
      </c>
      <c r="E161" s="9" t="str">
        <f>IF(OR(C161="",D161=""),"",C161*D161)</f>
        <v/>
      </c>
      <c r="F161" s="4"/>
      <c r="G161" s="4"/>
      <c r="H161" s="9" t="str">
        <f>IF(OR(B161="",C161=""),"",C161*IFERROR(INDEX(Articles!$D:$D,MATCH(B161,Articles!$B:$B,0)),0))</f>
        <v/>
      </c>
      <c r="I161" s="9" t="str">
        <f>IF(OR(E161="",H161=""),"",E161-H161)</f>
        <v/>
      </c>
      <c r="J161" s="4"/>
    </row>
    <row r="162">
      <c r="A162" s="7"/>
      <c r="B162" s="4"/>
      <c r="C162" s="6"/>
      <c r="D162" s="5" t="str">
        <f>IF(B162="","",IFERROR(INDEX(Articles!$E:$E,MATCH(B162,Articles!$B:$B,0)),""))</f>
        <v/>
      </c>
      <c r="E162" s="9" t="str">
        <f>IF(OR(C162="",D162=""),"",C162*D162)</f>
        <v/>
      </c>
      <c r="F162" s="4"/>
      <c r="G162" s="4"/>
      <c r="H162" s="9" t="str">
        <f>IF(OR(B162="",C162=""),"",C162*IFERROR(INDEX(Articles!$D:$D,MATCH(B162,Articles!$B:$B,0)),0))</f>
        <v/>
      </c>
      <c r="I162" s="9" t="str">
        <f>IF(OR(E162="",H162=""),"",E162-H162)</f>
        <v/>
      </c>
      <c r="J162" s="4"/>
    </row>
    <row r="163">
      <c r="A163" s="7"/>
      <c r="B163" s="4"/>
      <c r="C163" s="6"/>
      <c r="D163" s="5" t="str">
        <f>IF(B163="","",IFERROR(INDEX(Articles!$E:$E,MATCH(B163,Articles!$B:$B,0)),""))</f>
        <v/>
      </c>
      <c r="E163" s="9" t="str">
        <f>IF(OR(C163="",D163=""),"",C163*D163)</f>
        <v/>
      </c>
      <c r="F163" s="4"/>
      <c r="G163" s="4"/>
      <c r="H163" s="9" t="str">
        <f>IF(OR(B163="",C163=""),"",C163*IFERROR(INDEX(Articles!$D:$D,MATCH(B163,Articles!$B:$B,0)),0))</f>
        <v/>
      </c>
      <c r="I163" s="9" t="str">
        <f>IF(OR(E163="",H163=""),"",E163-H163)</f>
        <v/>
      </c>
      <c r="J163" s="4"/>
    </row>
    <row r="164">
      <c r="A164" s="7"/>
      <c r="B164" s="4"/>
      <c r="C164" s="6"/>
      <c r="D164" s="5" t="str">
        <f>IF(B164="","",IFERROR(INDEX(Articles!$E:$E,MATCH(B164,Articles!$B:$B,0)),""))</f>
        <v/>
      </c>
      <c r="E164" s="9" t="str">
        <f>IF(OR(C164="",D164=""),"",C164*D164)</f>
        <v/>
      </c>
      <c r="F164" s="4"/>
      <c r="G164" s="4"/>
      <c r="H164" s="9" t="str">
        <f>IF(OR(B164="",C164=""),"",C164*IFERROR(INDEX(Articles!$D:$D,MATCH(B164,Articles!$B:$B,0)),0))</f>
        <v/>
      </c>
      <c r="I164" s="9" t="str">
        <f>IF(OR(E164="",H164=""),"",E164-H164)</f>
        <v/>
      </c>
      <c r="J164" s="4"/>
    </row>
    <row r="165">
      <c r="A165" s="7"/>
      <c r="B165" s="4"/>
      <c r="C165" s="6"/>
      <c r="D165" s="5" t="str">
        <f>IF(B165="","",IFERROR(INDEX(Articles!$E:$E,MATCH(B165,Articles!$B:$B,0)),""))</f>
        <v/>
      </c>
      <c r="E165" s="9" t="str">
        <f>IF(OR(C165="",D165=""),"",C165*D165)</f>
        <v/>
      </c>
      <c r="F165" s="4"/>
      <c r="G165" s="4"/>
      <c r="H165" s="9" t="str">
        <f>IF(OR(B165="",C165=""),"",C165*IFERROR(INDEX(Articles!$D:$D,MATCH(B165,Articles!$B:$B,0)),0))</f>
        <v/>
      </c>
      <c r="I165" s="9" t="str">
        <f>IF(OR(E165="",H165=""),"",E165-H165)</f>
        <v/>
      </c>
      <c r="J165" s="4"/>
    </row>
    <row r="166">
      <c r="A166" s="7"/>
      <c r="B166" s="4"/>
      <c r="C166" s="6"/>
      <c r="D166" s="5" t="str">
        <f>IF(B166="","",IFERROR(INDEX(Articles!$E:$E,MATCH(B166,Articles!$B:$B,0)),""))</f>
        <v/>
      </c>
      <c r="E166" s="9" t="str">
        <f>IF(OR(C166="",D166=""),"",C166*D166)</f>
        <v/>
      </c>
      <c r="F166" s="4"/>
      <c r="G166" s="4"/>
      <c r="H166" s="9" t="str">
        <f>IF(OR(B166="",C166=""),"",C166*IFERROR(INDEX(Articles!$D:$D,MATCH(B166,Articles!$B:$B,0)),0))</f>
        <v/>
      </c>
      <c r="I166" s="9" t="str">
        <f>IF(OR(E166="",H166=""),"",E166-H166)</f>
        <v/>
      </c>
      <c r="J166" s="4"/>
    </row>
    <row r="167">
      <c r="A167" s="7"/>
      <c r="B167" s="4"/>
      <c r="C167" s="6"/>
      <c r="D167" s="5" t="str">
        <f>IF(B167="","",IFERROR(INDEX(Articles!$E:$E,MATCH(B167,Articles!$B:$B,0)),""))</f>
        <v/>
      </c>
      <c r="E167" s="9" t="str">
        <f>IF(OR(C167="",D167=""),"",C167*D167)</f>
        <v/>
      </c>
      <c r="F167" s="4"/>
      <c r="G167" s="4"/>
      <c r="H167" s="9" t="str">
        <f>IF(OR(B167="",C167=""),"",C167*IFERROR(INDEX(Articles!$D:$D,MATCH(B167,Articles!$B:$B,0)),0))</f>
        <v/>
      </c>
      <c r="I167" s="9" t="str">
        <f>IF(OR(E167="",H167=""),"",E167-H167)</f>
        <v/>
      </c>
      <c r="J167" s="4"/>
    </row>
    <row r="168">
      <c r="A168" s="7"/>
      <c r="B168" s="4"/>
      <c r="C168" s="6"/>
      <c r="D168" s="5" t="str">
        <f>IF(B168="","",IFERROR(INDEX(Articles!$E:$E,MATCH(B168,Articles!$B:$B,0)),""))</f>
        <v/>
      </c>
      <c r="E168" s="9" t="str">
        <f>IF(OR(C168="",D168=""),"",C168*D168)</f>
        <v/>
      </c>
      <c r="F168" s="4"/>
      <c r="G168" s="4"/>
      <c r="H168" s="9" t="str">
        <f>IF(OR(B168="",C168=""),"",C168*IFERROR(INDEX(Articles!$D:$D,MATCH(B168,Articles!$B:$B,0)),0))</f>
        <v/>
      </c>
      <c r="I168" s="9" t="str">
        <f>IF(OR(E168="",H168=""),"",E168-H168)</f>
        <v/>
      </c>
      <c r="J168" s="4"/>
    </row>
    <row r="169">
      <c r="A169" s="7"/>
      <c r="B169" s="4"/>
      <c r="C169" s="6"/>
      <c r="D169" s="5" t="str">
        <f>IF(B169="","",IFERROR(INDEX(Articles!$E:$E,MATCH(B169,Articles!$B:$B,0)),""))</f>
        <v/>
      </c>
      <c r="E169" s="9" t="str">
        <f>IF(OR(C169="",D169=""),"",C169*D169)</f>
        <v/>
      </c>
      <c r="F169" s="4"/>
      <c r="G169" s="4"/>
      <c r="H169" s="9" t="str">
        <f>IF(OR(B169="",C169=""),"",C169*IFERROR(INDEX(Articles!$D:$D,MATCH(B169,Articles!$B:$B,0)),0))</f>
        <v/>
      </c>
      <c r="I169" s="9" t="str">
        <f>IF(OR(E169="",H169=""),"",E169-H169)</f>
        <v/>
      </c>
      <c r="J169" s="4"/>
    </row>
    <row r="170">
      <c r="A170" s="7"/>
      <c r="B170" s="4"/>
      <c r="C170" s="6"/>
      <c r="D170" s="5" t="str">
        <f>IF(B170="","",IFERROR(INDEX(Articles!$E:$E,MATCH(B170,Articles!$B:$B,0)),""))</f>
        <v/>
      </c>
      <c r="E170" s="9" t="str">
        <f>IF(OR(C170="",D170=""),"",C170*D170)</f>
        <v/>
      </c>
      <c r="F170" s="4"/>
      <c r="G170" s="4"/>
      <c r="H170" s="9" t="str">
        <f>IF(OR(B170="",C170=""),"",C170*IFERROR(INDEX(Articles!$D:$D,MATCH(B170,Articles!$B:$B,0)),0))</f>
        <v/>
      </c>
      <c r="I170" s="9" t="str">
        <f>IF(OR(E170="",H170=""),"",E170-H170)</f>
        <v/>
      </c>
      <c r="J170" s="4"/>
    </row>
    <row r="171">
      <c r="A171" s="7"/>
      <c r="B171" s="4"/>
      <c r="C171" s="6"/>
      <c r="D171" s="5" t="str">
        <f>IF(B171="","",IFERROR(INDEX(Articles!$E:$E,MATCH(B171,Articles!$B:$B,0)),""))</f>
        <v/>
      </c>
      <c r="E171" s="9" t="str">
        <f>IF(OR(C171="",D171=""),"",C171*D171)</f>
        <v/>
      </c>
      <c r="F171" s="4"/>
      <c r="G171" s="4"/>
      <c r="H171" s="9" t="str">
        <f>IF(OR(B171="",C171=""),"",C171*IFERROR(INDEX(Articles!$D:$D,MATCH(B171,Articles!$B:$B,0)),0))</f>
        <v/>
      </c>
      <c r="I171" s="9" t="str">
        <f>IF(OR(E171="",H171=""),"",E171-H171)</f>
        <v/>
      </c>
      <c r="J171" s="4"/>
    </row>
    <row r="172">
      <c r="A172" s="7"/>
      <c r="B172" s="4"/>
      <c r="C172" s="6"/>
      <c r="D172" s="5" t="str">
        <f>IF(B172="","",IFERROR(INDEX(Articles!$E:$E,MATCH(B172,Articles!$B:$B,0)),""))</f>
        <v/>
      </c>
      <c r="E172" s="9" t="str">
        <f>IF(OR(C172="",D172=""),"",C172*D172)</f>
        <v/>
      </c>
      <c r="F172" s="4"/>
      <c r="G172" s="4"/>
      <c r="H172" s="9" t="str">
        <f>IF(OR(B172="",C172=""),"",C172*IFERROR(INDEX(Articles!$D:$D,MATCH(B172,Articles!$B:$B,0)),0))</f>
        <v/>
      </c>
      <c r="I172" s="9" t="str">
        <f>IF(OR(E172="",H172=""),"",E172-H172)</f>
        <v/>
      </c>
      <c r="J172" s="4"/>
    </row>
    <row r="173">
      <c r="A173" s="7"/>
      <c r="B173" s="4"/>
      <c r="C173" s="6"/>
      <c r="D173" s="5" t="str">
        <f>IF(B173="","",IFERROR(INDEX(Articles!$E:$E,MATCH(B173,Articles!$B:$B,0)),""))</f>
        <v/>
      </c>
      <c r="E173" s="9" t="str">
        <f>IF(OR(C173="",D173=""),"",C173*D173)</f>
        <v/>
      </c>
      <c r="F173" s="4"/>
      <c r="G173" s="4"/>
      <c r="H173" s="9" t="str">
        <f>IF(OR(B173="",C173=""),"",C173*IFERROR(INDEX(Articles!$D:$D,MATCH(B173,Articles!$B:$B,0)),0))</f>
        <v/>
      </c>
      <c r="I173" s="9" t="str">
        <f>IF(OR(E173="",H173=""),"",E173-H173)</f>
        <v/>
      </c>
      <c r="J173" s="4"/>
    </row>
    <row r="174">
      <c r="A174" s="7"/>
      <c r="B174" s="4"/>
      <c r="C174" s="6"/>
      <c r="D174" s="5" t="str">
        <f>IF(B174="","",IFERROR(INDEX(Articles!$E:$E,MATCH(B174,Articles!$B:$B,0)),""))</f>
        <v/>
      </c>
      <c r="E174" s="9" t="str">
        <f>IF(OR(C174="",D174=""),"",C174*D174)</f>
        <v/>
      </c>
      <c r="F174" s="4"/>
      <c r="G174" s="4"/>
      <c r="H174" s="9" t="str">
        <f>IF(OR(B174="",C174=""),"",C174*IFERROR(INDEX(Articles!$D:$D,MATCH(B174,Articles!$B:$B,0)),0))</f>
        <v/>
      </c>
      <c r="I174" s="9" t="str">
        <f>IF(OR(E174="",H174=""),"",E174-H174)</f>
        <v/>
      </c>
      <c r="J174" s="4"/>
    </row>
    <row r="175">
      <c r="A175" s="7"/>
      <c r="B175" s="4"/>
      <c r="C175" s="6"/>
      <c r="D175" s="5" t="str">
        <f>IF(B175="","",IFERROR(INDEX(Articles!$E:$E,MATCH(B175,Articles!$B:$B,0)),""))</f>
        <v/>
      </c>
      <c r="E175" s="9" t="str">
        <f>IF(OR(C175="",D175=""),"",C175*D175)</f>
        <v/>
      </c>
      <c r="F175" s="4"/>
      <c r="G175" s="4"/>
      <c r="H175" s="9" t="str">
        <f>IF(OR(B175="",C175=""),"",C175*IFERROR(INDEX(Articles!$D:$D,MATCH(B175,Articles!$B:$B,0)),0))</f>
        <v/>
      </c>
      <c r="I175" s="9" t="str">
        <f>IF(OR(E175="",H175=""),"",E175-H175)</f>
        <v/>
      </c>
      <c r="J175" s="4"/>
    </row>
    <row r="176">
      <c r="A176" s="7"/>
      <c r="B176" s="4"/>
      <c r="C176" s="6"/>
      <c r="D176" s="5" t="str">
        <f>IF(B176="","",IFERROR(INDEX(Articles!$E:$E,MATCH(B176,Articles!$B:$B,0)),""))</f>
        <v/>
      </c>
      <c r="E176" s="9" t="str">
        <f>IF(OR(C176="",D176=""),"",C176*D176)</f>
        <v/>
      </c>
      <c r="F176" s="4"/>
      <c r="G176" s="4"/>
      <c r="H176" s="9" t="str">
        <f>IF(OR(B176="",C176=""),"",C176*IFERROR(INDEX(Articles!$D:$D,MATCH(B176,Articles!$B:$B,0)),0))</f>
        <v/>
      </c>
      <c r="I176" s="9" t="str">
        <f>IF(OR(E176="",H176=""),"",E176-H176)</f>
        <v/>
      </c>
      <c r="J176" s="4"/>
    </row>
    <row r="177">
      <c r="A177" s="7"/>
      <c r="B177" s="4"/>
      <c r="C177" s="6"/>
      <c r="D177" s="5" t="str">
        <f>IF(B177="","",IFERROR(INDEX(Articles!$E:$E,MATCH(B177,Articles!$B:$B,0)),""))</f>
        <v/>
      </c>
      <c r="E177" s="9" t="str">
        <f>IF(OR(C177="",D177=""),"",C177*D177)</f>
        <v/>
      </c>
      <c r="F177" s="4"/>
      <c r="G177" s="4"/>
      <c r="H177" s="9" t="str">
        <f>IF(OR(B177="",C177=""),"",C177*IFERROR(INDEX(Articles!$D:$D,MATCH(B177,Articles!$B:$B,0)),0))</f>
        <v/>
      </c>
      <c r="I177" s="9" t="str">
        <f>IF(OR(E177="",H177=""),"",E177-H177)</f>
        <v/>
      </c>
      <c r="J177" s="4"/>
    </row>
    <row r="178">
      <c r="A178" s="7"/>
      <c r="B178" s="4"/>
      <c r="C178" s="6"/>
      <c r="D178" s="5" t="str">
        <f>IF(B178="","",IFERROR(INDEX(Articles!$E:$E,MATCH(B178,Articles!$B:$B,0)),""))</f>
        <v/>
      </c>
      <c r="E178" s="9" t="str">
        <f>IF(OR(C178="",D178=""),"",C178*D178)</f>
        <v/>
      </c>
      <c r="F178" s="4"/>
      <c r="G178" s="4"/>
      <c r="H178" s="9" t="str">
        <f>IF(OR(B178="",C178=""),"",C178*IFERROR(INDEX(Articles!$D:$D,MATCH(B178,Articles!$B:$B,0)),0))</f>
        <v/>
      </c>
      <c r="I178" s="9" t="str">
        <f>IF(OR(E178="",H178=""),"",E178-H178)</f>
        <v/>
      </c>
      <c r="J178" s="4"/>
    </row>
    <row r="179">
      <c r="A179" s="7"/>
      <c r="B179" s="4"/>
      <c r="C179" s="6"/>
      <c r="D179" s="5" t="str">
        <f>IF(B179="","",IFERROR(INDEX(Articles!$E:$E,MATCH(B179,Articles!$B:$B,0)),""))</f>
        <v/>
      </c>
      <c r="E179" s="9" t="str">
        <f>IF(OR(C179="",D179=""),"",C179*D179)</f>
        <v/>
      </c>
      <c r="F179" s="4"/>
      <c r="G179" s="4"/>
      <c r="H179" s="9" t="str">
        <f>IF(OR(B179="",C179=""),"",C179*IFERROR(INDEX(Articles!$D:$D,MATCH(B179,Articles!$B:$B,0)),0))</f>
        <v/>
      </c>
      <c r="I179" s="9" t="str">
        <f>IF(OR(E179="",H179=""),"",E179-H179)</f>
        <v/>
      </c>
      <c r="J179" s="4"/>
    </row>
    <row r="180">
      <c r="A180" s="7"/>
      <c r="B180" s="4"/>
      <c r="C180" s="6"/>
      <c r="D180" s="5" t="str">
        <f>IF(B180="","",IFERROR(INDEX(Articles!$E:$E,MATCH(B180,Articles!$B:$B,0)),""))</f>
        <v/>
      </c>
      <c r="E180" s="9" t="str">
        <f>IF(OR(C180="",D180=""),"",C180*D180)</f>
        <v/>
      </c>
      <c r="F180" s="4"/>
      <c r="G180" s="4"/>
      <c r="H180" s="9" t="str">
        <f>IF(OR(B180="",C180=""),"",C180*IFERROR(INDEX(Articles!$D:$D,MATCH(B180,Articles!$B:$B,0)),0))</f>
        <v/>
      </c>
      <c r="I180" s="9" t="str">
        <f>IF(OR(E180="",H180=""),"",E180-H180)</f>
        <v/>
      </c>
      <c r="J180" s="4"/>
    </row>
    <row r="181">
      <c r="A181" s="7"/>
      <c r="B181" s="4"/>
      <c r="C181" s="6"/>
      <c r="D181" s="5" t="str">
        <f>IF(B181="","",IFERROR(INDEX(Articles!$E:$E,MATCH(B181,Articles!$B:$B,0)),""))</f>
        <v/>
      </c>
      <c r="E181" s="9" t="str">
        <f>IF(OR(C181="",D181=""),"",C181*D181)</f>
        <v/>
      </c>
      <c r="F181" s="4"/>
      <c r="G181" s="4"/>
      <c r="H181" s="9" t="str">
        <f>IF(OR(B181="",C181=""),"",C181*IFERROR(INDEX(Articles!$D:$D,MATCH(B181,Articles!$B:$B,0)),0))</f>
        <v/>
      </c>
      <c r="I181" s="9" t="str">
        <f>IF(OR(E181="",H181=""),"",E181-H181)</f>
        <v/>
      </c>
      <c r="J181" s="4"/>
    </row>
    <row r="182">
      <c r="A182" s="7"/>
      <c r="B182" s="4"/>
      <c r="C182" s="6"/>
      <c r="D182" s="5" t="str">
        <f>IF(B182="","",IFERROR(INDEX(Articles!$E:$E,MATCH(B182,Articles!$B:$B,0)),""))</f>
        <v/>
      </c>
      <c r="E182" s="9" t="str">
        <f>IF(OR(C182="",D182=""),"",C182*D182)</f>
        <v/>
      </c>
      <c r="F182" s="4"/>
      <c r="G182" s="4"/>
      <c r="H182" s="9" t="str">
        <f>IF(OR(B182="",C182=""),"",C182*IFERROR(INDEX(Articles!$D:$D,MATCH(B182,Articles!$B:$B,0)),0))</f>
        <v/>
      </c>
      <c r="I182" s="9" t="str">
        <f>IF(OR(E182="",H182=""),"",E182-H182)</f>
        <v/>
      </c>
      <c r="J182" s="4"/>
    </row>
    <row r="183">
      <c r="A183" s="7"/>
      <c r="B183" s="4"/>
      <c r="C183" s="6"/>
      <c r="D183" s="5" t="str">
        <f>IF(B183="","",IFERROR(INDEX(Articles!$E:$E,MATCH(B183,Articles!$B:$B,0)),""))</f>
        <v/>
      </c>
      <c r="E183" s="9" t="str">
        <f>IF(OR(C183="",D183=""),"",C183*D183)</f>
        <v/>
      </c>
      <c r="F183" s="4"/>
      <c r="G183" s="4"/>
      <c r="H183" s="9" t="str">
        <f>IF(OR(B183="",C183=""),"",C183*IFERROR(INDEX(Articles!$D:$D,MATCH(B183,Articles!$B:$B,0)),0))</f>
        <v/>
      </c>
      <c r="I183" s="9" t="str">
        <f>IF(OR(E183="",H183=""),"",E183-H183)</f>
        <v/>
      </c>
      <c r="J183" s="4"/>
    </row>
    <row r="184">
      <c r="A184" s="7"/>
      <c r="B184" s="4"/>
      <c r="C184" s="6"/>
      <c r="D184" s="5" t="str">
        <f>IF(B184="","",IFERROR(INDEX(Articles!$E:$E,MATCH(B184,Articles!$B:$B,0)),""))</f>
        <v/>
      </c>
      <c r="E184" s="9" t="str">
        <f>IF(OR(C184="",D184=""),"",C184*D184)</f>
        <v/>
      </c>
      <c r="F184" s="4"/>
      <c r="G184" s="4"/>
      <c r="H184" s="9" t="str">
        <f>IF(OR(B184="",C184=""),"",C184*IFERROR(INDEX(Articles!$D:$D,MATCH(B184,Articles!$B:$B,0)),0))</f>
        <v/>
      </c>
      <c r="I184" s="9" t="str">
        <f>IF(OR(E184="",H184=""),"",E184-H184)</f>
        <v/>
      </c>
      <c r="J184" s="4"/>
    </row>
    <row r="185">
      <c r="A185" s="7"/>
      <c r="B185" s="4"/>
      <c r="C185" s="6"/>
      <c r="D185" s="5" t="str">
        <f>IF(B185="","",IFERROR(INDEX(Articles!$E:$E,MATCH(B185,Articles!$B:$B,0)),""))</f>
        <v/>
      </c>
      <c r="E185" s="9" t="str">
        <f>IF(OR(C185="",D185=""),"",C185*D185)</f>
        <v/>
      </c>
      <c r="F185" s="4"/>
      <c r="G185" s="4"/>
      <c r="H185" s="9" t="str">
        <f>IF(OR(B185="",C185=""),"",C185*IFERROR(INDEX(Articles!$D:$D,MATCH(B185,Articles!$B:$B,0)),0))</f>
        <v/>
      </c>
      <c r="I185" s="9" t="str">
        <f>IF(OR(E185="",H185=""),"",E185-H185)</f>
        <v/>
      </c>
      <c r="J185" s="4"/>
    </row>
    <row r="186">
      <c r="A186" s="7"/>
      <c r="B186" s="4"/>
      <c r="C186" s="6"/>
      <c r="D186" s="5" t="str">
        <f>IF(B186="","",IFERROR(INDEX(Articles!$E:$E,MATCH(B186,Articles!$B:$B,0)),""))</f>
        <v/>
      </c>
      <c r="E186" s="9" t="str">
        <f>IF(OR(C186="",D186=""),"",C186*D186)</f>
        <v/>
      </c>
      <c r="F186" s="4"/>
      <c r="G186" s="4"/>
      <c r="H186" s="9" t="str">
        <f>IF(OR(B186="",C186=""),"",C186*IFERROR(INDEX(Articles!$D:$D,MATCH(B186,Articles!$B:$B,0)),0))</f>
        <v/>
      </c>
      <c r="I186" s="9" t="str">
        <f>IF(OR(E186="",H186=""),"",E186-H186)</f>
        <v/>
      </c>
      <c r="J186" s="4"/>
    </row>
    <row r="187">
      <c r="A187" s="7"/>
      <c r="B187" s="4"/>
      <c r="C187" s="6"/>
      <c r="D187" s="5" t="str">
        <f>IF(B187="","",IFERROR(INDEX(Articles!$E:$E,MATCH(B187,Articles!$B:$B,0)),""))</f>
        <v/>
      </c>
      <c r="E187" s="9" t="str">
        <f>IF(OR(C187="",D187=""),"",C187*D187)</f>
        <v/>
      </c>
      <c r="F187" s="4"/>
      <c r="G187" s="4"/>
      <c r="H187" s="9" t="str">
        <f>IF(OR(B187="",C187=""),"",C187*IFERROR(INDEX(Articles!$D:$D,MATCH(B187,Articles!$B:$B,0)),0))</f>
        <v/>
      </c>
      <c r="I187" s="9" t="str">
        <f>IF(OR(E187="",H187=""),"",E187-H187)</f>
        <v/>
      </c>
      <c r="J187" s="4"/>
    </row>
    <row r="188">
      <c r="A188" s="7"/>
      <c r="B188" s="4"/>
      <c r="C188" s="6"/>
      <c r="D188" s="5" t="str">
        <f>IF(B188="","",IFERROR(INDEX(Articles!$E:$E,MATCH(B188,Articles!$B:$B,0)),""))</f>
        <v/>
      </c>
      <c r="E188" s="9" t="str">
        <f>IF(OR(C188="",D188=""),"",C188*D188)</f>
        <v/>
      </c>
      <c r="F188" s="4"/>
      <c r="G188" s="4"/>
      <c r="H188" s="9" t="str">
        <f>IF(OR(B188="",C188=""),"",C188*IFERROR(INDEX(Articles!$D:$D,MATCH(B188,Articles!$B:$B,0)),0))</f>
        <v/>
      </c>
      <c r="I188" s="9" t="str">
        <f>IF(OR(E188="",H188=""),"",E188-H188)</f>
        <v/>
      </c>
      <c r="J188" s="4"/>
    </row>
    <row r="189">
      <c r="A189" s="7"/>
      <c r="B189" s="4"/>
      <c r="C189" s="6"/>
      <c r="D189" s="5" t="str">
        <f>IF(B189="","",IFERROR(INDEX(Articles!$E:$E,MATCH(B189,Articles!$B:$B,0)),""))</f>
        <v/>
      </c>
      <c r="E189" s="9" t="str">
        <f>IF(OR(C189="",D189=""),"",C189*D189)</f>
        <v/>
      </c>
      <c r="F189" s="4"/>
      <c r="G189" s="4"/>
      <c r="H189" s="9" t="str">
        <f>IF(OR(B189="",C189=""),"",C189*IFERROR(INDEX(Articles!$D:$D,MATCH(B189,Articles!$B:$B,0)),0))</f>
        <v/>
      </c>
      <c r="I189" s="9" t="str">
        <f>IF(OR(E189="",H189=""),"",E189-H189)</f>
        <v/>
      </c>
      <c r="J189" s="4"/>
    </row>
    <row r="190">
      <c r="A190" s="7"/>
      <c r="B190" s="4"/>
      <c r="C190" s="6"/>
      <c r="D190" s="5" t="str">
        <f>IF(B190="","",IFERROR(INDEX(Articles!$E:$E,MATCH(B190,Articles!$B:$B,0)),""))</f>
        <v/>
      </c>
      <c r="E190" s="9" t="str">
        <f>IF(OR(C190="",D190=""),"",C190*D190)</f>
        <v/>
      </c>
      <c r="F190" s="4"/>
      <c r="G190" s="4"/>
      <c r="H190" s="9" t="str">
        <f>IF(OR(B190="",C190=""),"",C190*IFERROR(INDEX(Articles!$D:$D,MATCH(B190,Articles!$B:$B,0)),0))</f>
        <v/>
      </c>
      <c r="I190" s="9" t="str">
        <f>IF(OR(E190="",H190=""),"",E190-H190)</f>
        <v/>
      </c>
      <c r="J190" s="4"/>
    </row>
    <row r="191">
      <c r="A191" s="7"/>
      <c r="B191" s="4"/>
      <c r="C191" s="6"/>
      <c r="D191" s="5" t="str">
        <f>IF(B191="","",IFERROR(INDEX(Articles!$E:$E,MATCH(B191,Articles!$B:$B,0)),""))</f>
        <v/>
      </c>
      <c r="E191" s="9" t="str">
        <f>IF(OR(C191="",D191=""),"",C191*D191)</f>
        <v/>
      </c>
      <c r="F191" s="4"/>
      <c r="G191" s="4"/>
      <c r="H191" s="9" t="str">
        <f>IF(OR(B191="",C191=""),"",C191*IFERROR(INDEX(Articles!$D:$D,MATCH(B191,Articles!$B:$B,0)),0))</f>
        <v/>
      </c>
      <c r="I191" s="9" t="str">
        <f>IF(OR(E191="",H191=""),"",E191-H191)</f>
        <v/>
      </c>
      <c r="J191" s="4"/>
    </row>
    <row r="192">
      <c r="A192" s="7"/>
      <c r="B192" s="4"/>
      <c r="C192" s="6"/>
      <c r="D192" s="5" t="str">
        <f>IF(B192="","",IFERROR(INDEX(Articles!$E:$E,MATCH(B192,Articles!$B:$B,0)),""))</f>
        <v/>
      </c>
      <c r="E192" s="9" t="str">
        <f>IF(OR(C192="",D192=""),"",C192*D192)</f>
        <v/>
      </c>
      <c r="F192" s="4"/>
      <c r="G192" s="4"/>
      <c r="H192" s="9" t="str">
        <f>IF(OR(B192="",C192=""),"",C192*IFERROR(INDEX(Articles!$D:$D,MATCH(B192,Articles!$B:$B,0)),0))</f>
        <v/>
      </c>
      <c r="I192" s="9" t="str">
        <f>IF(OR(E192="",H192=""),"",E192-H192)</f>
        <v/>
      </c>
      <c r="J192" s="4"/>
    </row>
    <row r="193">
      <c r="A193" s="7"/>
      <c r="B193" s="4"/>
      <c r="C193" s="6"/>
      <c r="D193" s="5" t="str">
        <f>IF(B193="","",IFERROR(INDEX(Articles!$E:$E,MATCH(B193,Articles!$B:$B,0)),""))</f>
        <v/>
      </c>
      <c r="E193" s="9" t="str">
        <f>IF(OR(C193="",D193=""),"",C193*D193)</f>
        <v/>
      </c>
      <c r="F193" s="4"/>
      <c r="G193" s="4"/>
      <c r="H193" s="9" t="str">
        <f>IF(OR(B193="",C193=""),"",C193*IFERROR(INDEX(Articles!$D:$D,MATCH(B193,Articles!$B:$B,0)),0))</f>
        <v/>
      </c>
      <c r="I193" s="9" t="str">
        <f>IF(OR(E193="",H193=""),"",E193-H193)</f>
        <v/>
      </c>
      <c r="J193" s="4"/>
    </row>
    <row r="194">
      <c r="A194" s="7"/>
      <c r="B194" s="4"/>
      <c r="C194" s="6"/>
      <c r="D194" s="5" t="str">
        <f>IF(B194="","",IFERROR(INDEX(Articles!$E:$E,MATCH(B194,Articles!$B:$B,0)),""))</f>
        <v/>
      </c>
      <c r="E194" s="9" t="str">
        <f>IF(OR(C194="",D194=""),"",C194*D194)</f>
        <v/>
      </c>
      <c r="F194" s="4"/>
      <c r="G194" s="4"/>
      <c r="H194" s="9" t="str">
        <f>IF(OR(B194="",C194=""),"",C194*IFERROR(INDEX(Articles!$D:$D,MATCH(B194,Articles!$B:$B,0)),0))</f>
        <v/>
      </c>
      <c r="I194" s="9" t="str">
        <f>IF(OR(E194="",H194=""),"",E194-H194)</f>
        <v/>
      </c>
      <c r="J194" s="4"/>
    </row>
    <row r="195">
      <c r="A195" s="7"/>
      <c r="B195" s="4"/>
      <c r="C195" s="6"/>
      <c r="D195" s="5" t="str">
        <f>IF(B195="","",IFERROR(INDEX(Articles!$E:$E,MATCH(B195,Articles!$B:$B,0)),""))</f>
        <v/>
      </c>
      <c r="E195" s="9" t="str">
        <f>IF(OR(C195="",D195=""),"",C195*D195)</f>
        <v/>
      </c>
      <c r="F195" s="4"/>
      <c r="G195" s="4"/>
      <c r="H195" s="9" t="str">
        <f>IF(OR(B195="",C195=""),"",C195*IFERROR(INDEX(Articles!$D:$D,MATCH(B195,Articles!$B:$B,0)),0))</f>
        <v/>
      </c>
      <c r="I195" s="9" t="str">
        <f>IF(OR(E195="",H195=""),"",E195-H195)</f>
        <v/>
      </c>
      <c r="J195" s="4"/>
    </row>
    <row r="196">
      <c r="A196" s="7"/>
      <c r="B196" s="4"/>
      <c r="C196" s="6"/>
      <c r="D196" s="5" t="str">
        <f>IF(B196="","",IFERROR(INDEX(Articles!$E:$E,MATCH(B196,Articles!$B:$B,0)),""))</f>
        <v/>
      </c>
      <c r="E196" s="9" t="str">
        <f>IF(OR(C196="",D196=""),"",C196*D196)</f>
        <v/>
      </c>
      <c r="F196" s="4"/>
      <c r="G196" s="4"/>
      <c r="H196" s="9" t="str">
        <f>IF(OR(B196="",C196=""),"",C196*IFERROR(INDEX(Articles!$D:$D,MATCH(B196,Articles!$B:$B,0)),0))</f>
        <v/>
      </c>
      <c r="I196" s="9" t="str">
        <f>IF(OR(E196="",H196=""),"",E196-H196)</f>
        <v/>
      </c>
      <c r="J196" s="4"/>
    </row>
    <row r="197">
      <c r="A197" s="7"/>
      <c r="B197" s="4"/>
      <c r="C197" s="6"/>
      <c r="D197" s="5" t="str">
        <f>IF(B197="","",IFERROR(INDEX(Articles!$E:$E,MATCH(B197,Articles!$B:$B,0)),""))</f>
        <v/>
      </c>
      <c r="E197" s="9" t="str">
        <f>IF(OR(C197="",D197=""),"",C197*D197)</f>
        <v/>
      </c>
      <c r="F197" s="4"/>
      <c r="G197" s="4"/>
      <c r="H197" s="9" t="str">
        <f>IF(OR(B197="",C197=""),"",C197*IFERROR(INDEX(Articles!$D:$D,MATCH(B197,Articles!$B:$B,0)),0))</f>
        <v/>
      </c>
      <c r="I197" s="9" t="str">
        <f>IF(OR(E197="",H197=""),"",E197-H197)</f>
        <v/>
      </c>
      <c r="J197" s="4"/>
    </row>
    <row r="198">
      <c r="A198" s="7"/>
      <c r="B198" s="4"/>
      <c r="C198" s="6"/>
      <c r="D198" s="5" t="str">
        <f>IF(B198="","",IFERROR(INDEX(Articles!$E:$E,MATCH(B198,Articles!$B:$B,0)),""))</f>
        <v/>
      </c>
      <c r="E198" s="9" t="str">
        <f>IF(OR(C198="",D198=""),"",C198*D198)</f>
        <v/>
      </c>
      <c r="F198" s="4"/>
      <c r="G198" s="4"/>
      <c r="H198" s="9" t="str">
        <f>IF(OR(B198="",C198=""),"",C198*IFERROR(INDEX(Articles!$D:$D,MATCH(B198,Articles!$B:$B,0)),0))</f>
        <v/>
      </c>
      <c r="I198" s="9" t="str">
        <f>IF(OR(E198="",H198=""),"",E198-H198)</f>
        <v/>
      </c>
      <c r="J198" s="4"/>
    </row>
    <row r="199">
      <c r="A199" s="7"/>
      <c r="B199" s="4"/>
      <c r="C199" s="6"/>
      <c r="D199" s="5" t="str">
        <f>IF(B199="","",IFERROR(INDEX(Articles!$E:$E,MATCH(B199,Articles!$B:$B,0)),""))</f>
        <v/>
      </c>
      <c r="E199" s="9" t="str">
        <f>IF(OR(C199="",D199=""),"",C199*D199)</f>
        <v/>
      </c>
      <c r="F199" s="4"/>
      <c r="G199" s="4"/>
      <c r="H199" s="9" t="str">
        <f>IF(OR(B199="",C199=""),"",C199*IFERROR(INDEX(Articles!$D:$D,MATCH(B199,Articles!$B:$B,0)),0))</f>
        <v/>
      </c>
      <c r="I199" s="9" t="str">
        <f>IF(OR(E199="",H199=""),"",E199-H199)</f>
        <v/>
      </c>
      <c r="J199" s="4"/>
    </row>
    <row r="200">
      <c r="A200" s="7"/>
      <c r="B200" s="4"/>
      <c r="C200" s="6"/>
      <c r="D200" s="5" t="str">
        <f>IF(B200="","",IFERROR(INDEX(Articles!$E:$E,MATCH(B200,Articles!$B:$B,0)),""))</f>
        <v/>
      </c>
      <c r="E200" s="9" t="str">
        <f>IF(OR(C200="",D200=""),"",C200*D200)</f>
        <v/>
      </c>
      <c r="F200" s="4"/>
      <c r="G200" s="4"/>
      <c r="H200" s="9" t="str">
        <f>IF(OR(B200="",C200=""),"",C200*IFERROR(INDEX(Articles!$D:$D,MATCH(B200,Articles!$B:$B,0)),0))</f>
        <v/>
      </c>
      <c r="I200" s="9" t="str">
        <f>IF(OR(E200="",H200=""),"",E200-H200)</f>
        <v/>
      </c>
      <c r="J200" s="4"/>
    </row>
    <row r="201">
      <c r="A201" s="7"/>
      <c r="B201" s="4"/>
      <c r="C201" s="6"/>
      <c r="D201" s="5" t="str">
        <f>IF(B201="","",IFERROR(INDEX(Articles!$E:$E,MATCH(B201,Articles!$B:$B,0)),""))</f>
        <v/>
      </c>
      <c r="E201" s="9" t="str">
        <f>IF(OR(C201="",D201=""),"",C201*D201)</f>
        <v/>
      </c>
      <c r="F201" s="4"/>
      <c r="G201" s="4"/>
      <c r="H201" s="9" t="str">
        <f>IF(OR(B201="",C201=""),"",C201*IFERROR(INDEX(Articles!$D:$D,MATCH(B201,Articles!$B:$B,0)),0))</f>
        <v/>
      </c>
      <c r="I201" s="9" t="str">
        <f>IF(OR(E201="",H201=""),"",E201-H201)</f>
        <v/>
      </c>
      <c r="J201" s="4"/>
    </row>
    <row r="202">
      <c r="A202" s="7"/>
      <c r="B202" s="4"/>
      <c r="C202" s="6"/>
      <c r="D202" s="5" t="str">
        <f>IF(B202="","",IFERROR(INDEX(Articles!$E:$E,MATCH(B202,Articles!$B:$B,0)),""))</f>
        <v/>
      </c>
      <c r="E202" s="9" t="str">
        <f>IF(OR(C202="",D202=""),"",C202*D202)</f>
        <v/>
      </c>
      <c r="F202" s="4"/>
      <c r="G202" s="4"/>
      <c r="H202" s="9" t="str">
        <f>IF(OR(B202="",C202=""),"",C202*IFERROR(INDEX(Articles!$D:$D,MATCH(B202,Articles!$B:$B,0)),0))</f>
        <v/>
      </c>
      <c r="I202" s="9" t="str">
        <f>IF(OR(E202="",H202=""),"",E202-H202)</f>
        <v/>
      </c>
      <c r="J202" s="4"/>
    </row>
    <row r="203">
      <c r="A203" s="7"/>
      <c r="B203" s="4"/>
      <c r="C203" s="6"/>
      <c r="D203" s="5" t="str">
        <f>IF(B203="","",IFERROR(INDEX(Articles!$E:$E,MATCH(B203,Articles!$B:$B,0)),""))</f>
        <v/>
      </c>
      <c r="E203" s="9" t="str">
        <f>IF(OR(C203="",D203=""),"",C203*D203)</f>
        <v/>
      </c>
      <c r="F203" s="4"/>
      <c r="G203" s="4"/>
      <c r="H203" s="9" t="str">
        <f>IF(OR(B203="",C203=""),"",C203*IFERROR(INDEX(Articles!$D:$D,MATCH(B203,Articles!$B:$B,0)),0))</f>
        <v/>
      </c>
      <c r="I203" s="9" t="str">
        <f>IF(OR(E203="",H203=""),"",E203-H203)</f>
        <v/>
      </c>
      <c r="J203" s="4"/>
    </row>
    <row r="204">
      <c r="A204" s="7"/>
      <c r="B204" s="4"/>
      <c r="C204" s="6"/>
      <c r="D204" s="5" t="str">
        <f>IF(B204="","",IFERROR(INDEX(Articles!$E:$E,MATCH(B204,Articles!$B:$B,0)),""))</f>
        <v/>
      </c>
      <c r="E204" s="9" t="str">
        <f>IF(OR(C204="",D204=""),"",C204*D204)</f>
        <v/>
      </c>
      <c r="F204" s="4"/>
      <c r="G204" s="4"/>
      <c r="H204" s="9" t="str">
        <f>IF(OR(B204="",C204=""),"",C204*IFERROR(INDEX(Articles!$D:$D,MATCH(B204,Articles!$B:$B,0)),0))</f>
        <v/>
      </c>
      <c r="I204" s="9" t="str">
        <f>IF(OR(E204="",H204=""),"",E204-H204)</f>
        <v/>
      </c>
      <c r="J204" s="4"/>
    </row>
    <row r="205">
      <c r="A205" s="7"/>
      <c r="B205" s="4"/>
      <c r="C205" s="6"/>
      <c r="D205" s="5" t="str">
        <f>IF(B205="","",IFERROR(INDEX(Articles!$E:$E,MATCH(B205,Articles!$B:$B,0)),""))</f>
        <v/>
      </c>
      <c r="E205" s="9" t="str">
        <f>IF(OR(C205="",D205=""),"",C205*D205)</f>
        <v/>
      </c>
      <c r="F205" s="4"/>
      <c r="G205" s="4"/>
      <c r="H205" s="9" t="str">
        <f>IF(OR(B205="",C205=""),"",C205*IFERROR(INDEX(Articles!$D:$D,MATCH(B205,Articles!$B:$B,0)),0))</f>
        <v/>
      </c>
      <c r="I205" s="9" t="str">
        <f>IF(OR(E205="",H205=""),"",E205-H205)</f>
        <v/>
      </c>
      <c r="J205" s="4"/>
    </row>
    <row r="206">
      <c r="A206" s="7"/>
      <c r="B206" s="4"/>
      <c r="C206" s="6"/>
      <c r="D206" s="5" t="str">
        <f>IF(B206="","",IFERROR(INDEX(Articles!$E:$E,MATCH(B206,Articles!$B:$B,0)),""))</f>
        <v/>
      </c>
      <c r="E206" s="9" t="str">
        <f>IF(OR(C206="",D206=""),"",C206*D206)</f>
        <v/>
      </c>
      <c r="F206" s="4"/>
      <c r="G206" s="4"/>
      <c r="H206" s="9" t="str">
        <f>IF(OR(B206="",C206=""),"",C206*IFERROR(INDEX(Articles!$D:$D,MATCH(B206,Articles!$B:$B,0)),0))</f>
        <v/>
      </c>
      <c r="I206" s="9" t="str">
        <f>IF(OR(E206="",H206=""),"",E206-H206)</f>
        <v/>
      </c>
      <c r="J206" s="4"/>
    </row>
    <row r="207">
      <c r="A207" s="7"/>
      <c r="B207" s="4"/>
      <c r="C207" s="6"/>
      <c r="D207" s="5" t="str">
        <f>IF(B207="","",IFERROR(INDEX(Articles!$E:$E,MATCH(B207,Articles!$B:$B,0)),""))</f>
        <v/>
      </c>
      <c r="E207" s="9" t="str">
        <f>IF(OR(C207="",D207=""),"",C207*D207)</f>
        <v/>
      </c>
      <c r="F207" s="4"/>
      <c r="G207" s="4"/>
      <c r="H207" s="9" t="str">
        <f>IF(OR(B207="",C207=""),"",C207*IFERROR(INDEX(Articles!$D:$D,MATCH(B207,Articles!$B:$B,0)),0))</f>
        <v/>
      </c>
      <c r="I207" s="9" t="str">
        <f>IF(OR(E207="",H207=""),"",E207-H207)</f>
        <v/>
      </c>
      <c r="J207" s="4"/>
    </row>
    <row r="208">
      <c r="A208" s="7"/>
      <c r="B208" s="4"/>
      <c r="C208" s="6"/>
      <c r="D208" s="5" t="str">
        <f>IF(B208="","",IFERROR(INDEX(Articles!$E:$E,MATCH(B208,Articles!$B:$B,0)),""))</f>
        <v/>
      </c>
      <c r="E208" s="9" t="str">
        <f>IF(OR(C208="",D208=""),"",C208*D208)</f>
        <v/>
      </c>
      <c r="F208" s="4"/>
      <c r="G208" s="4"/>
      <c r="H208" s="9" t="str">
        <f>IF(OR(B208="",C208=""),"",C208*IFERROR(INDEX(Articles!$D:$D,MATCH(B208,Articles!$B:$B,0)),0))</f>
        <v/>
      </c>
      <c r="I208" s="9" t="str">
        <f>IF(OR(E208="",H208=""),"",E208-H208)</f>
        <v/>
      </c>
      <c r="J208" s="4"/>
    </row>
    <row r="209">
      <c r="A209" s="7"/>
      <c r="B209" s="4"/>
      <c r="C209" s="6"/>
      <c r="D209" s="5" t="str">
        <f>IF(B209="","",IFERROR(INDEX(Articles!$E:$E,MATCH(B209,Articles!$B:$B,0)),""))</f>
        <v/>
      </c>
      <c r="E209" s="9" t="str">
        <f>IF(OR(C209="",D209=""),"",C209*D209)</f>
        <v/>
      </c>
      <c r="F209" s="4"/>
      <c r="G209" s="4"/>
      <c r="H209" s="9" t="str">
        <f>IF(OR(B209="",C209=""),"",C209*IFERROR(INDEX(Articles!$D:$D,MATCH(B209,Articles!$B:$B,0)),0))</f>
        <v/>
      </c>
      <c r="I209" s="9" t="str">
        <f>IF(OR(E209="",H209=""),"",E209-H209)</f>
        <v/>
      </c>
      <c r="J209" s="4"/>
    </row>
    <row r="210">
      <c r="A210" s="7"/>
      <c r="B210" s="4"/>
      <c r="C210" s="6"/>
      <c r="D210" s="5" t="str">
        <f>IF(B210="","",IFERROR(INDEX(Articles!$E:$E,MATCH(B210,Articles!$B:$B,0)),""))</f>
        <v/>
      </c>
      <c r="E210" s="9" t="str">
        <f>IF(OR(C210="",D210=""),"",C210*D210)</f>
        <v/>
      </c>
      <c r="F210" s="4"/>
      <c r="G210" s="4"/>
      <c r="H210" s="9" t="str">
        <f>IF(OR(B210="",C210=""),"",C210*IFERROR(INDEX(Articles!$D:$D,MATCH(B210,Articles!$B:$B,0)),0))</f>
        <v/>
      </c>
      <c r="I210" s="9" t="str">
        <f>IF(OR(E210="",H210=""),"",E210-H210)</f>
        <v/>
      </c>
      <c r="J210" s="4"/>
    </row>
    <row r="211">
      <c r="A211" s="7"/>
      <c r="B211" s="4"/>
      <c r="C211" s="6"/>
      <c r="D211" s="5" t="str">
        <f>IF(B211="","",IFERROR(INDEX(Articles!$E:$E,MATCH(B211,Articles!$B:$B,0)),""))</f>
        <v/>
      </c>
      <c r="E211" s="9" t="str">
        <f>IF(OR(C211="",D211=""),"",C211*D211)</f>
        <v/>
      </c>
      <c r="F211" s="4"/>
      <c r="G211" s="4"/>
      <c r="H211" s="9" t="str">
        <f>IF(OR(B211="",C211=""),"",C211*IFERROR(INDEX(Articles!$D:$D,MATCH(B211,Articles!$B:$B,0)),0))</f>
        <v/>
      </c>
      <c r="I211" s="9" t="str">
        <f>IF(OR(E211="",H211=""),"",E211-H211)</f>
        <v/>
      </c>
      <c r="J211" s="4"/>
    </row>
    <row r="212">
      <c r="A212" s="7"/>
      <c r="B212" s="4"/>
      <c r="C212" s="6"/>
      <c r="D212" s="5" t="str">
        <f>IF(B212="","",IFERROR(INDEX(Articles!$E:$E,MATCH(B212,Articles!$B:$B,0)),""))</f>
        <v/>
      </c>
      <c r="E212" s="9" t="str">
        <f>IF(OR(C212="",D212=""),"",C212*D212)</f>
        <v/>
      </c>
      <c r="F212" s="4"/>
      <c r="G212" s="4"/>
      <c r="H212" s="9" t="str">
        <f>IF(OR(B212="",C212=""),"",C212*IFERROR(INDEX(Articles!$D:$D,MATCH(B212,Articles!$B:$B,0)),0))</f>
        <v/>
      </c>
      <c r="I212" s="9" t="str">
        <f>IF(OR(E212="",H212=""),"",E212-H212)</f>
        <v/>
      </c>
      <c r="J212" s="4"/>
    </row>
    <row r="213">
      <c r="A213" s="7"/>
      <c r="B213" s="4"/>
      <c r="C213" s="6"/>
      <c r="D213" s="5" t="str">
        <f>IF(B213="","",IFERROR(INDEX(Articles!$E:$E,MATCH(B213,Articles!$B:$B,0)),""))</f>
        <v/>
      </c>
      <c r="E213" s="9" t="str">
        <f>IF(OR(C213="",D213=""),"",C213*D213)</f>
        <v/>
      </c>
      <c r="F213" s="4"/>
      <c r="G213" s="4"/>
      <c r="H213" s="9" t="str">
        <f>IF(OR(B213="",C213=""),"",C213*IFERROR(INDEX(Articles!$D:$D,MATCH(B213,Articles!$B:$B,0)),0))</f>
        <v/>
      </c>
      <c r="I213" s="9" t="str">
        <f>IF(OR(E213="",H213=""),"",E213-H213)</f>
        <v/>
      </c>
      <c r="J213" s="4"/>
    </row>
    <row r="214">
      <c r="A214" s="7"/>
      <c r="B214" s="4"/>
      <c r="C214" s="6"/>
      <c r="D214" s="5" t="str">
        <f>IF(B214="","",IFERROR(INDEX(Articles!$E:$E,MATCH(B214,Articles!$B:$B,0)),""))</f>
        <v/>
      </c>
      <c r="E214" s="9" t="str">
        <f>IF(OR(C214="",D214=""),"",C214*D214)</f>
        <v/>
      </c>
      <c r="F214" s="4"/>
      <c r="G214" s="4"/>
      <c r="H214" s="9" t="str">
        <f>IF(OR(B214="",C214=""),"",C214*IFERROR(INDEX(Articles!$D:$D,MATCH(B214,Articles!$B:$B,0)),0))</f>
        <v/>
      </c>
      <c r="I214" s="9" t="str">
        <f>IF(OR(E214="",H214=""),"",E214-H214)</f>
        <v/>
      </c>
      <c r="J214" s="4"/>
    </row>
    <row r="215">
      <c r="A215" s="7"/>
      <c r="B215" s="4"/>
      <c r="C215" s="6"/>
      <c r="D215" s="5" t="str">
        <f>IF(B215="","",IFERROR(INDEX(Articles!$E:$E,MATCH(B215,Articles!$B:$B,0)),""))</f>
        <v/>
      </c>
      <c r="E215" s="9" t="str">
        <f>IF(OR(C215="",D215=""),"",C215*D215)</f>
        <v/>
      </c>
      <c r="F215" s="4"/>
      <c r="G215" s="4"/>
      <c r="H215" s="9" t="str">
        <f>IF(OR(B215="",C215=""),"",C215*IFERROR(INDEX(Articles!$D:$D,MATCH(B215,Articles!$B:$B,0)),0))</f>
        <v/>
      </c>
      <c r="I215" s="9" t="str">
        <f>IF(OR(E215="",H215=""),"",E215-H215)</f>
        <v/>
      </c>
      <c r="J215" s="4"/>
    </row>
    <row r="216">
      <c r="A216" s="7"/>
      <c r="B216" s="4"/>
      <c r="C216" s="6"/>
      <c r="D216" s="5" t="str">
        <f>IF(B216="","",IFERROR(INDEX(Articles!$E:$E,MATCH(B216,Articles!$B:$B,0)),""))</f>
        <v/>
      </c>
      <c r="E216" s="9" t="str">
        <f>IF(OR(C216="",D216=""),"",C216*D216)</f>
        <v/>
      </c>
      <c r="F216" s="4"/>
      <c r="G216" s="4"/>
      <c r="H216" s="9" t="str">
        <f>IF(OR(B216="",C216=""),"",C216*IFERROR(INDEX(Articles!$D:$D,MATCH(B216,Articles!$B:$B,0)),0))</f>
        <v/>
      </c>
      <c r="I216" s="9" t="str">
        <f>IF(OR(E216="",H216=""),"",E216-H216)</f>
        <v/>
      </c>
      <c r="J216" s="4"/>
    </row>
    <row r="217">
      <c r="A217" s="7"/>
      <c r="B217" s="4"/>
      <c r="C217" s="6"/>
      <c r="D217" s="5" t="str">
        <f>IF(B217="","",IFERROR(INDEX(Articles!$E:$E,MATCH(B217,Articles!$B:$B,0)),""))</f>
        <v/>
      </c>
      <c r="E217" s="9" t="str">
        <f>IF(OR(C217="",D217=""),"",C217*D217)</f>
        <v/>
      </c>
      <c r="F217" s="4"/>
      <c r="G217" s="4"/>
      <c r="H217" s="9" t="str">
        <f>IF(OR(B217="",C217=""),"",C217*IFERROR(INDEX(Articles!$D:$D,MATCH(B217,Articles!$B:$B,0)),0))</f>
        <v/>
      </c>
      <c r="I217" s="9" t="str">
        <f>IF(OR(E217="",H217=""),"",E217-H217)</f>
        <v/>
      </c>
      <c r="J217" s="4"/>
    </row>
    <row r="218">
      <c r="A218" s="7"/>
      <c r="B218" s="4"/>
      <c r="C218" s="6"/>
      <c r="D218" s="5" t="str">
        <f>IF(B218="","",IFERROR(INDEX(Articles!$E:$E,MATCH(B218,Articles!$B:$B,0)),""))</f>
        <v/>
      </c>
      <c r="E218" s="9" t="str">
        <f>IF(OR(C218="",D218=""),"",C218*D218)</f>
        <v/>
      </c>
      <c r="F218" s="4"/>
      <c r="G218" s="4"/>
      <c r="H218" s="9" t="str">
        <f>IF(OR(B218="",C218=""),"",C218*IFERROR(INDEX(Articles!$D:$D,MATCH(B218,Articles!$B:$B,0)),0))</f>
        <v/>
      </c>
      <c r="I218" s="9" t="str">
        <f>IF(OR(E218="",H218=""),"",E218-H218)</f>
        <v/>
      </c>
      <c r="J218" s="4"/>
    </row>
    <row r="219">
      <c r="A219" s="7"/>
      <c r="B219" s="4"/>
      <c r="C219" s="6"/>
      <c r="D219" s="5" t="str">
        <f>IF(B219="","",IFERROR(INDEX(Articles!$E:$E,MATCH(B219,Articles!$B:$B,0)),""))</f>
        <v/>
      </c>
      <c r="E219" s="9" t="str">
        <f>IF(OR(C219="",D219=""),"",C219*D219)</f>
        <v/>
      </c>
      <c r="F219" s="4"/>
      <c r="G219" s="4"/>
      <c r="H219" s="9" t="str">
        <f>IF(OR(B219="",C219=""),"",C219*IFERROR(INDEX(Articles!$D:$D,MATCH(B219,Articles!$B:$B,0)),0))</f>
        <v/>
      </c>
      <c r="I219" s="9" t="str">
        <f>IF(OR(E219="",H219=""),"",E219-H219)</f>
        <v/>
      </c>
      <c r="J219" s="4"/>
    </row>
    <row r="220">
      <c r="A220" s="7"/>
      <c r="B220" s="4"/>
      <c r="C220" s="6"/>
      <c r="D220" s="5" t="str">
        <f>IF(B220="","",IFERROR(INDEX(Articles!$E:$E,MATCH(B220,Articles!$B:$B,0)),""))</f>
        <v/>
      </c>
      <c r="E220" s="9" t="str">
        <f>IF(OR(C220="",D220=""),"",C220*D220)</f>
        <v/>
      </c>
      <c r="F220" s="4"/>
      <c r="G220" s="4"/>
      <c r="H220" s="9" t="str">
        <f>IF(OR(B220="",C220=""),"",C220*IFERROR(INDEX(Articles!$D:$D,MATCH(B220,Articles!$B:$B,0)),0))</f>
        <v/>
      </c>
      <c r="I220" s="9" t="str">
        <f>IF(OR(E220="",H220=""),"",E220-H220)</f>
        <v/>
      </c>
      <c r="J220" s="4"/>
    </row>
    <row r="221">
      <c r="A221" s="7"/>
      <c r="B221" s="4"/>
      <c r="C221" s="6"/>
      <c r="D221" s="5" t="str">
        <f>IF(B221="","",IFERROR(INDEX(Articles!$E:$E,MATCH(B221,Articles!$B:$B,0)),""))</f>
        <v/>
      </c>
      <c r="E221" s="9" t="str">
        <f>IF(OR(C221="",D221=""),"",C221*D221)</f>
        <v/>
      </c>
      <c r="F221" s="4"/>
      <c r="G221" s="4"/>
      <c r="H221" s="9" t="str">
        <f>IF(OR(B221="",C221=""),"",C221*IFERROR(INDEX(Articles!$D:$D,MATCH(B221,Articles!$B:$B,0)),0))</f>
        <v/>
      </c>
      <c r="I221" s="9" t="str">
        <f>IF(OR(E221="",H221=""),"",E221-H221)</f>
        <v/>
      </c>
      <c r="J221" s="4"/>
    </row>
    <row r="222">
      <c r="A222" s="7"/>
      <c r="B222" s="4"/>
      <c r="C222" s="6"/>
      <c r="D222" s="5" t="str">
        <f>IF(B222="","",IFERROR(INDEX(Articles!$E:$E,MATCH(B222,Articles!$B:$B,0)),""))</f>
        <v/>
      </c>
      <c r="E222" s="9" t="str">
        <f>IF(OR(C222="",D222=""),"",C222*D222)</f>
        <v/>
      </c>
      <c r="F222" s="4"/>
      <c r="G222" s="4"/>
      <c r="H222" s="9" t="str">
        <f>IF(OR(B222="",C222=""),"",C222*IFERROR(INDEX(Articles!$D:$D,MATCH(B222,Articles!$B:$B,0)),0))</f>
        <v/>
      </c>
      <c r="I222" s="9" t="str">
        <f>IF(OR(E222="",H222=""),"",E222-H222)</f>
        <v/>
      </c>
      <c r="J222" s="4"/>
    </row>
    <row r="223">
      <c r="A223" s="7"/>
      <c r="B223" s="4"/>
      <c r="C223" s="6"/>
      <c r="D223" s="5" t="str">
        <f>IF(B223="","",IFERROR(INDEX(Articles!$E:$E,MATCH(B223,Articles!$B:$B,0)),""))</f>
        <v/>
      </c>
      <c r="E223" s="9" t="str">
        <f>IF(OR(C223="",D223=""),"",C223*D223)</f>
        <v/>
      </c>
      <c r="F223" s="4"/>
      <c r="G223" s="4"/>
      <c r="H223" s="9" t="str">
        <f>IF(OR(B223="",C223=""),"",C223*IFERROR(INDEX(Articles!$D:$D,MATCH(B223,Articles!$B:$B,0)),0))</f>
        <v/>
      </c>
      <c r="I223" s="9" t="str">
        <f>IF(OR(E223="",H223=""),"",E223-H223)</f>
        <v/>
      </c>
      <c r="J223" s="4"/>
    </row>
    <row r="224">
      <c r="A224" s="7"/>
      <c r="B224" s="4"/>
      <c r="C224" s="6"/>
      <c r="D224" s="5" t="str">
        <f>IF(B224="","",IFERROR(INDEX(Articles!$E:$E,MATCH(B224,Articles!$B:$B,0)),""))</f>
        <v/>
      </c>
      <c r="E224" s="9" t="str">
        <f>IF(OR(C224="",D224=""),"",C224*D224)</f>
        <v/>
      </c>
      <c r="F224" s="4"/>
      <c r="G224" s="4"/>
      <c r="H224" s="9" t="str">
        <f>IF(OR(B224="",C224=""),"",C224*IFERROR(INDEX(Articles!$D:$D,MATCH(B224,Articles!$B:$B,0)),0))</f>
        <v/>
      </c>
      <c r="I224" s="9" t="str">
        <f>IF(OR(E224="",H224=""),"",E224-H224)</f>
        <v/>
      </c>
      <c r="J224" s="4"/>
    </row>
    <row r="225">
      <c r="A225" s="7"/>
      <c r="B225" s="4"/>
      <c r="C225" s="6"/>
      <c r="D225" s="5" t="str">
        <f>IF(B225="","",IFERROR(INDEX(Articles!$E:$E,MATCH(B225,Articles!$B:$B,0)),""))</f>
        <v/>
      </c>
      <c r="E225" s="9" t="str">
        <f>IF(OR(C225="",D225=""),"",C225*D225)</f>
        <v/>
      </c>
      <c r="F225" s="4"/>
      <c r="G225" s="4"/>
      <c r="H225" s="9" t="str">
        <f>IF(OR(B225="",C225=""),"",C225*IFERROR(INDEX(Articles!$D:$D,MATCH(B225,Articles!$B:$B,0)),0))</f>
        <v/>
      </c>
      <c r="I225" s="9" t="str">
        <f>IF(OR(E225="",H225=""),"",E225-H225)</f>
        <v/>
      </c>
      <c r="J225" s="4"/>
    </row>
    <row r="226">
      <c r="A226" s="7"/>
      <c r="B226" s="4"/>
      <c r="C226" s="6"/>
      <c r="D226" s="5" t="str">
        <f>IF(B226="","",IFERROR(INDEX(Articles!$E:$E,MATCH(B226,Articles!$B:$B,0)),""))</f>
        <v/>
      </c>
      <c r="E226" s="9" t="str">
        <f>IF(OR(C226="",D226=""),"",C226*D226)</f>
        <v/>
      </c>
      <c r="F226" s="4"/>
      <c r="G226" s="4"/>
      <c r="H226" s="9" t="str">
        <f>IF(OR(B226="",C226=""),"",C226*IFERROR(INDEX(Articles!$D:$D,MATCH(B226,Articles!$B:$B,0)),0))</f>
        <v/>
      </c>
      <c r="I226" s="9" t="str">
        <f>IF(OR(E226="",H226=""),"",E226-H226)</f>
        <v/>
      </c>
      <c r="J226" s="4"/>
    </row>
    <row r="227">
      <c r="A227" s="7"/>
      <c r="B227" s="4"/>
      <c r="C227" s="6"/>
      <c r="D227" s="5" t="str">
        <f>IF(B227="","",IFERROR(INDEX(Articles!$E:$E,MATCH(B227,Articles!$B:$B,0)),""))</f>
        <v/>
      </c>
      <c r="E227" s="9" t="str">
        <f>IF(OR(C227="",D227=""),"",C227*D227)</f>
        <v/>
      </c>
      <c r="F227" s="4"/>
      <c r="G227" s="4"/>
      <c r="H227" s="9" t="str">
        <f>IF(OR(B227="",C227=""),"",C227*IFERROR(INDEX(Articles!$D:$D,MATCH(B227,Articles!$B:$B,0)),0))</f>
        <v/>
      </c>
      <c r="I227" s="9" t="str">
        <f>IF(OR(E227="",H227=""),"",E227-H227)</f>
        <v/>
      </c>
      <c r="J227" s="4"/>
    </row>
    <row r="228">
      <c r="A228" s="7"/>
      <c r="B228" s="4"/>
      <c r="C228" s="6"/>
      <c r="D228" s="5" t="str">
        <f>IF(B228="","",IFERROR(INDEX(Articles!$E:$E,MATCH(B228,Articles!$B:$B,0)),""))</f>
        <v/>
      </c>
      <c r="E228" s="9" t="str">
        <f>IF(OR(C228="",D228=""),"",C228*D228)</f>
        <v/>
      </c>
      <c r="F228" s="4"/>
      <c r="G228" s="4"/>
      <c r="H228" s="9" t="str">
        <f>IF(OR(B228="",C228=""),"",C228*IFERROR(INDEX(Articles!$D:$D,MATCH(B228,Articles!$B:$B,0)),0))</f>
        <v/>
      </c>
      <c r="I228" s="9" t="str">
        <f>IF(OR(E228="",H228=""),"",E228-H228)</f>
        <v/>
      </c>
      <c r="J228" s="4"/>
    </row>
    <row r="229">
      <c r="A229" s="7"/>
      <c r="B229" s="4"/>
      <c r="C229" s="6"/>
      <c r="D229" s="5" t="str">
        <f>IF(B229="","",IFERROR(INDEX(Articles!$E:$E,MATCH(B229,Articles!$B:$B,0)),""))</f>
        <v/>
      </c>
      <c r="E229" s="9" t="str">
        <f>IF(OR(C229="",D229=""),"",C229*D229)</f>
        <v/>
      </c>
      <c r="F229" s="4"/>
      <c r="G229" s="4"/>
      <c r="H229" s="9" t="str">
        <f>IF(OR(B229="",C229=""),"",C229*IFERROR(INDEX(Articles!$D:$D,MATCH(B229,Articles!$B:$B,0)),0))</f>
        <v/>
      </c>
      <c r="I229" s="9" t="str">
        <f>IF(OR(E229="",H229=""),"",E229-H229)</f>
        <v/>
      </c>
      <c r="J229" s="4"/>
    </row>
    <row r="230">
      <c r="A230" s="7"/>
      <c r="B230" s="4"/>
      <c r="C230" s="6"/>
      <c r="D230" s="5" t="str">
        <f>IF(B230="","",IFERROR(INDEX(Articles!$E:$E,MATCH(B230,Articles!$B:$B,0)),""))</f>
        <v/>
      </c>
      <c r="E230" s="9" t="str">
        <f>IF(OR(C230="",D230=""),"",C230*D230)</f>
        <v/>
      </c>
      <c r="F230" s="4"/>
      <c r="G230" s="4"/>
      <c r="H230" s="9" t="str">
        <f>IF(OR(B230="",C230=""),"",C230*IFERROR(INDEX(Articles!$D:$D,MATCH(B230,Articles!$B:$B,0)),0))</f>
        <v/>
      </c>
      <c r="I230" s="9" t="str">
        <f>IF(OR(E230="",H230=""),"",E230-H230)</f>
        <v/>
      </c>
      <c r="J230" s="4"/>
    </row>
    <row r="231">
      <c r="A231" s="7"/>
      <c r="B231" s="4"/>
      <c r="C231" s="6"/>
      <c r="D231" s="5" t="str">
        <f>IF(B231="","",IFERROR(INDEX(Articles!$E:$E,MATCH(B231,Articles!$B:$B,0)),""))</f>
        <v/>
      </c>
      <c r="E231" s="9" t="str">
        <f>IF(OR(C231="",D231=""),"",C231*D231)</f>
        <v/>
      </c>
      <c r="F231" s="4"/>
      <c r="G231" s="4"/>
      <c r="H231" s="9" t="str">
        <f>IF(OR(B231="",C231=""),"",C231*IFERROR(INDEX(Articles!$D:$D,MATCH(B231,Articles!$B:$B,0)),0))</f>
        <v/>
      </c>
      <c r="I231" s="9" t="str">
        <f>IF(OR(E231="",H231=""),"",E231-H231)</f>
        <v/>
      </c>
      <c r="J231" s="4"/>
    </row>
    <row r="232">
      <c r="A232" s="7"/>
      <c r="B232" s="4"/>
      <c r="C232" s="6"/>
      <c r="D232" s="5" t="str">
        <f>IF(B232="","",IFERROR(INDEX(Articles!$E:$E,MATCH(B232,Articles!$B:$B,0)),""))</f>
        <v/>
      </c>
      <c r="E232" s="9" t="str">
        <f>IF(OR(C232="",D232=""),"",C232*D232)</f>
        <v/>
      </c>
      <c r="F232" s="4"/>
      <c r="G232" s="4"/>
      <c r="H232" s="9" t="str">
        <f>IF(OR(B232="",C232=""),"",C232*IFERROR(INDEX(Articles!$D:$D,MATCH(B232,Articles!$B:$B,0)),0))</f>
        <v/>
      </c>
      <c r="I232" s="9" t="str">
        <f>IF(OR(E232="",H232=""),"",E232-H232)</f>
        <v/>
      </c>
      <c r="J232" s="4"/>
    </row>
    <row r="233">
      <c r="A233" s="7"/>
      <c r="B233" s="4"/>
      <c r="C233" s="6"/>
      <c r="D233" s="5" t="str">
        <f>IF(B233="","",IFERROR(INDEX(Articles!$E:$E,MATCH(B233,Articles!$B:$B,0)),""))</f>
        <v/>
      </c>
      <c r="E233" s="9" t="str">
        <f>IF(OR(C233="",D233=""),"",C233*D233)</f>
        <v/>
      </c>
      <c r="F233" s="4"/>
      <c r="G233" s="4"/>
      <c r="H233" s="9" t="str">
        <f>IF(OR(B233="",C233=""),"",C233*IFERROR(INDEX(Articles!$D:$D,MATCH(B233,Articles!$B:$B,0)),0))</f>
        <v/>
      </c>
      <c r="I233" s="9" t="str">
        <f>IF(OR(E233="",H233=""),"",E233-H233)</f>
        <v/>
      </c>
      <c r="J233" s="4"/>
    </row>
    <row r="234">
      <c r="A234" s="7"/>
      <c r="B234" s="4"/>
      <c r="C234" s="6"/>
      <c r="D234" s="5" t="str">
        <f>IF(B234="","",IFERROR(INDEX(Articles!$E:$E,MATCH(B234,Articles!$B:$B,0)),""))</f>
        <v/>
      </c>
      <c r="E234" s="9" t="str">
        <f>IF(OR(C234="",D234=""),"",C234*D234)</f>
        <v/>
      </c>
      <c r="F234" s="4"/>
      <c r="G234" s="4"/>
      <c r="H234" s="9" t="str">
        <f>IF(OR(B234="",C234=""),"",C234*IFERROR(INDEX(Articles!$D:$D,MATCH(B234,Articles!$B:$B,0)),0))</f>
        <v/>
      </c>
      <c r="I234" s="9" t="str">
        <f>IF(OR(E234="",H234=""),"",E234-H234)</f>
        <v/>
      </c>
      <c r="J234" s="4"/>
    </row>
    <row r="235">
      <c r="A235" s="7"/>
      <c r="B235" s="4"/>
      <c r="C235" s="6"/>
      <c r="D235" s="5" t="str">
        <f>IF(B235="","",IFERROR(INDEX(Articles!$E:$E,MATCH(B235,Articles!$B:$B,0)),""))</f>
        <v/>
      </c>
      <c r="E235" s="9" t="str">
        <f>IF(OR(C235="",D235=""),"",C235*D235)</f>
        <v/>
      </c>
      <c r="F235" s="4"/>
      <c r="G235" s="4"/>
      <c r="H235" s="9" t="str">
        <f>IF(OR(B235="",C235=""),"",C235*IFERROR(INDEX(Articles!$D:$D,MATCH(B235,Articles!$B:$B,0)),0))</f>
        <v/>
      </c>
      <c r="I235" s="9" t="str">
        <f>IF(OR(E235="",H235=""),"",E235-H235)</f>
        <v/>
      </c>
      <c r="J235" s="4"/>
    </row>
    <row r="236">
      <c r="A236" s="7"/>
      <c r="B236" s="4"/>
      <c r="C236" s="6"/>
      <c r="D236" s="5" t="str">
        <f>IF(B236="","",IFERROR(INDEX(Articles!$E:$E,MATCH(B236,Articles!$B:$B,0)),""))</f>
        <v/>
      </c>
      <c r="E236" s="9" t="str">
        <f>IF(OR(C236="",D236=""),"",C236*D236)</f>
        <v/>
      </c>
      <c r="F236" s="4"/>
      <c r="G236" s="4"/>
      <c r="H236" s="9" t="str">
        <f>IF(OR(B236="",C236=""),"",C236*IFERROR(INDEX(Articles!$D:$D,MATCH(B236,Articles!$B:$B,0)),0))</f>
        <v/>
      </c>
      <c r="I236" s="9" t="str">
        <f>IF(OR(E236="",H236=""),"",E236-H236)</f>
        <v/>
      </c>
      <c r="J236" s="4"/>
    </row>
    <row r="237">
      <c r="A237" s="7"/>
      <c r="B237" s="4"/>
      <c r="C237" s="6"/>
      <c r="D237" s="5" t="str">
        <f>IF(B237="","",IFERROR(INDEX(Articles!$E:$E,MATCH(B237,Articles!$B:$B,0)),""))</f>
        <v/>
      </c>
      <c r="E237" s="9" t="str">
        <f>IF(OR(C237="",D237=""),"",C237*D237)</f>
        <v/>
      </c>
      <c r="F237" s="4"/>
      <c r="G237" s="4"/>
      <c r="H237" s="9" t="str">
        <f>IF(OR(B237="",C237=""),"",C237*IFERROR(INDEX(Articles!$D:$D,MATCH(B237,Articles!$B:$B,0)),0))</f>
        <v/>
      </c>
      <c r="I237" s="9" t="str">
        <f>IF(OR(E237="",H237=""),"",E237-H237)</f>
        <v/>
      </c>
      <c r="J237" s="4"/>
    </row>
    <row r="238">
      <c r="A238" s="7"/>
      <c r="B238" s="4"/>
      <c r="C238" s="6"/>
      <c r="D238" s="5" t="str">
        <f>IF(B238="","",IFERROR(INDEX(Articles!$E:$E,MATCH(B238,Articles!$B:$B,0)),""))</f>
        <v/>
      </c>
      <c r="E238" s="9" t="str">
        <f>IF(OR(C238="",D238=""),"",C238*D238)</f>
        <v/>
      </c>
      <c r="F238" s="4"/>
      <c r="G238" s="4"/>
      <c r="H238" s="9" t="str">
        <f>IF(OR(B238="",C238=""),"",C238*IFERROR(INDEX(Articles!$D:$D,MATCH(B238,Articles!$B:$B,0)),0))</f>
        <v/>
      </c>
      <c r="I238" s="9" t="str">
        <f>IF(OR(E238="",H238=""),"",E238-H238)</f>
        <v/>
      </c>
      <c r="J238" s="4"/>
    </row>
    <row r="239">
      <c r="A239" s="7"/>
      <c r="B239" s="4"/>
      <c r="C239" s="6"/>
      <c r="D239" s="5" t="str">
        <f>IF(B239="","",IFERROR(INDEX(Articles!$E:$E,MATCH(B239,Articles!$B:$B,0)),""))</f>
        <v/>
      </c>
      <c r="E239" s="9" t="str">
        <f>IF(OR(C239="",D239=""),"",C239*D239)</f>
        <v/>
      </c>
      <c r="F239" s="4"/>
      <c r="G239" s="4"/>
      <c r="H239" s="9" t="str">
        <f>IF(OR(B239="",C239=""),"",C239*IFERROR(INDEX(Articles!$D:$D,MATCH(B239,Articles!$B:$B,0)),0))</f>
        <v/>
      </c>
      <c r="I239" s="9" t="str">
        <f>IF(OR(E239="",H239=""),"",E239-H239)</f>
        <v/>
      </c>
      <c r="J239" s="4"/>
    </row>
    <row r="240">
      <c r="A240" s="7"/>
      <c r="B240" s="4"/>
      <c r="C240" s="6"/>
      <c r="D240" s="5" t="str">
        <f>IF(B240="","",IFERROR(INDEX(Articles!$E:$E,MATCH(B240,Articles!$B:$B,0)),""))</f>
        <v/>
      </c>
      <c r="E240" s="9" t="str">
        <f>IF(OR(C240="",D240=""),"",C240*D240)</f>
        <v/>
      </c>
      <c r="F240" s="4"/>
      <c r="G240" s="4"/>
      <c r="H240" s="9" t="str">
        <f>IF(OR(B240="",C240=""),"",C240*IFERROR(INDEX(Articles!$D:$D,MATCH(B240,Articles!$B:$B,0)),0))</f>
        <v/>
      </c>
      <c r="I240" s="9" t="str">
        <f>IF(OR(E240="",H240=""),"",E240-H240)</f>
        <v/>
      </c>
      <c r="J240" s="4"/>
    </row>
    <row r="241">
      <c r="A241" s="7"/>
      <c r="B241" s="4"/>
      <c r="C241" s="6"/>
      <c r="D241" s="5" t="str">
        <f>IF(B241="","",IFERROR(INDEX(Articles!$E:$E,MATCH(B241,Articles!$B:$B,0)),""))</f>
        <v/>
      </c>
      <c r="E241" s="9" t="str">
        <f>IF(OR(C241="",D241=""),"",C241*D241)</f>
        <v/>
      </c>
      <c r="F241" s="4"/>
      <c r="G241" s="4"/>
      <c r="H241" s="9" t="str">
        <f>IF(OR(B241="",C241=""),"",C241*IFERROR(INDEX(Articles!$D:$D,MATCH(B241,Articles!$B:$B,0)),0))</f>
        <v/>
      </c>
      <c r="I241" s="9" t="str">
        <f>IF(OR(E241="",H241=""),"",E241-H241)</f>
        <v/>
      </c>
      <c r="J241" s="4"/>
    </row>
    <row r="242">
      <c r="A242" s="7"/>
      <c r="B242" s="4"/>
      <c r="C242" s="6"/>
      <c r="D242" s="5" t="str">
        <f>IF(B242="","",IFERROR(INDEX(Articles!$E:$E,MATCH(B242,Articles!$B:$B,0)),""))</f>
        <v/>
      </c>
      <c r="E242" s="9" t="str">
        <f>IF(OR(C242="",D242=""),"",C242*D242)</f>
        <v/>
      </c>
      <c r="F242" s="4"/>
      <c r="G242" s="4"/>
      <c r="H242" s="9" t="str">
        <f>IF(OR(B242="",C242=""),"",C242*IFERROR(INDEX(Articles!$D:$D,MATCH(B242,Articles!$B:$B,0)),0))</f>
        <v/>
      </c>
      <c r="I242" s="9" t="str">
        <f>IF(OR(E242="",H242=""),"",E242-H242)</f>
        <v/>
      </c>
      <c r="J242" s="4"/>
    </row>
    <row r="243">
      <c r="A243" s="7"/>
      <c r="B243" s="4"/>
      <c r="C243" s="6"/>
      <c r="D243" s="5" t="str">
        <f>IF(B243="","",IFERROR(INDEX(Articles!$E:$E,MATCH(B243,Articles!$B:$B,0)),""))</f>
        <v/>
      </c>
      <c r="E243" s="9" t="str">
        <f>IF(OR(C243="",D243=""),"",C243*D243)</f>
        <v/>
      </c>
      <c r="F243" s="4"/>
      <c r="G243" s="4"/>
      <c r="H243" s="9" t="str">
        <f>IF(OR(B243="",C243=""),"",C243*IFERROR(INDEX(Articles!$D:$D,MATCH(B243,Articles!$B:$B,0)),0))</f>
        <v/>
      </c>
      <c r="I243" s="9" t="str">
        <f>IF(OR(E243="",H243=""),"",E243-H243)</f>
        <v/>
      </c>
      <c r="J243" s="4"/>
    </row>
    <row r="244">
      <c r="A244" s="7"/>
      <c r="B244" s="4"/>
      <c r="C244" s="6"/>
      <c r="D244" s="5" t="str">
        <f>IF(B244="","",IFERROR(INDEX(Articles!$E:$E,MATCH(B244,Articles!$B:$B,0)),""))</f>
        <v/>
      </c>
      <c r="E244" s="9" t="str">
        <f>IF(OR(C244="",D244=""),"",C244*D244)</f>
        <v/>
      </c>
      <c r="F244" s="4"/>
      <c r="G244" s="4"/>
      <c r="H244" s="9" t="str">
        <f>IF(OR(B244="",C244=""),"",C244*IFERROR(INDEX(Articles!$D:$D,MATCH(B244,Articles!$B:$B,0)),0))</f>
        <v/>
      </c>
      <c r="I244" s="9" t="str">
        <f>IF(OR(E244="",H244=""),"",E244-H244)</f>
        <v/>
      </c>
      <c r="J244" s="4"/>
    </row>
    <row r="245">
      <c r="A245" s="7"/>
      <c r="B245" s="4"/>
      <c r="C245" s="6"/>
      <c r="D245" s="5" t="str">
        <f>IF(B245="","",IFERROR(INDEX(Articles!$E:$E,MATCH(B245,Articles!$B:$B,0)),""))</f>
        <v/>
      </c>
      <c r="E245" s="9" t="str">
        <f>IF(OR(C245="",D245=""),"",C245*D245)</f>
        <v/>
      </c>
      <c r="F245" s="4"/>
      <c r="G245" s="4"/>
      <c r="H245" s="9" t="str">
        <f>IF(OR(B245="",C245=""),"",C245*IFERROR(INDEX(Articles!$D:$D,MATCH(B245,Articles!$B:$B,0)),0))</f>
        <v/>
      </c>
      <c r="I245" s="9" t="str">
        <f>IF(OR(E245="",H245=""),"",E245-H245)</f>
        <v/>
      </c>
      <c r="J245" s="4"/>
    </row>
    <row r="246">
      <c r="A246" s="7"/>
      <c r="B246" s="4"/>
      <c r="C246" s="6"/>
      <c r="D246" s="5" t="str">
        <f>IF(B246="","",IFERROR(INDEX(Articles!$E:$E,MATCH(B246,Articles!$B:$B,0)),""))</f>
        <v/>
      </c>
      <c r="E246" s="9" t="str">
        <f>IF(OR(C246="",D246=""),"",C246*D246)</f>
        <v/>
      </c>
      <c r="F246" s="4"/>
      <c r="G246" s="4"/>
      <c r="H246" s="9" t="str">
        <f>IF(OR(B246="",C246=""),"",C246*IFERROR(INDEX(Articles!$D:$D,MATCH(B246,Articles!$B:$B,0)),0))</f>
        <v/>
      </c>
      <c r="I246" s="9" t="str">
        <f>IF(OR(E246="",H246=""),"",E246-H246)</f>
        <v/>
      </c>
      <c r="J246" s="4"/>
    </row>
    <row r="247">
      <c r="A247" s="7"/>
      <c r="B247" s="4"/>
      <c r="C247" s="6"/>
      <c r="D247" s="5" t="str">
        <f>IF(B247="","",IFERROR(INDEX(Articles!$E:$E,MATCH(B247,Articles!$B:$B,0)),""))</f>
        <v/>
      </c>
      <c r="E247" s="9" t="str">
        <f>IF(OR(C247="",D247=""),"",C247*D247)</f>
        <v/>
      </c>
      <c r="F247" s="4"/>
      <c r="G247" s="4"/>
      <c r="H247" s="9" t="str">
        <f>IF(OR(B247="",C247=""),"",C247*IFERROR(INDEX(Articles!$D:$D,MATCH(B247,Articles!$B:$B,0)),0))</f>
        <v/>
      </c>
      <c r="I247" s="9" t="str">
        <f>IF(OR(E247="",H247=""),"",E247-H247)</f>
        <v/>
      </c>
      <c r="J247" s="4"/>
    </row>
    <row r="248">
      <c r="A248" s="7"/>
      <c r="B248" s="4"/>
      <c r="C248" s="6"/>
      <c r="D248" s="5" t="str">
        <f>IF(B248="","",IFERROR(INDEX(Articles!$E:$E,MATCH(B248,Articles!$B:$B,0)),""))</f>
        <v/>
      </c>
      <c r="E248" s="9" t="str">
        <f>IF(OR(C248="",D248=""),"",C248*D248)</f>
        <v/>
      </c>
      <c r="F248" s="4"/>
      <c r="G248" s="4"/>
      <c r="H248" s="9" t="str">
        <f>IF(OR(B248="",C248=""),"",C248*IFERROR(INDEX(Articles!$D:$D,MATCH(B248,Articles!$B:$B,0)),0))</f>
        <v/>
      </c>
      <c r="I248" s="9" t="str">
        <f>IF(OR(E248="",H248=""),"",E248-H248)</f>
        <v/>
      </c>
      <c r="J248" s="4"/>
    </row>
    <row r="249">
      <c r="A249" s="7"/>
      <c r="B249" s="4"/>
      <c r="C249" s="6"/>
      <c r="D249" s="5" t="str">
        <f>IF(B249="","",IFERROR(INDEX(Articles!$E:$E,MATCH(B249,Articles!$B:$B,0)),""))</f>
        <v/>
      </c>
      <c r="E249" s="9" t="str">
        <f>IF(OR(C249="",D249=""),"",C249*D249)</f>
        <v/>
      </c>
      <c r="F249" s="4"/>
      <c r="G249" s="4"/>
      <c r="H249" s="9" t="str">
        <f>IF(OR(B249="",C249=""),"",C249*IFERROR(INDEX(Articles!$D:$D,MATCH(B249,Articles!$B:$B,0)),0))</f>
        <v/>
      </c>
      <c r="I249" s="9" t="str">
        <f>IF(OR(E249="",H249=""),"",E249-H249)</f>
        <v/>
      </c>
      <c r="J249" s="4"/>
    </row>
    <row r="250">
      <c r="A250" s="7"/>
      <c r="B250" s="4"/>
      <c r="C250" s="6"/>
      <c r="D250" s="5" t="str">
        <f>IF(B250="","",IFERROR(INDEX(Articles!$E:$E,MATCH(B250,Articles!$B:$B,0)),""))</f>
        <v/>
      </c>
      <c r="E250" s="9" t="str">
        <f>IF(OR(C250="",D250=""),"",C250*D250)</f>
        <v/>
      </c>
      <c r="F250" s="4"/>
      <c r="G250" s="4"/>
      <c r="H250" s="9" t="str">
        <f>IF(OR(B250="",C250=""),"",C250*IFERROR(INDEX(Articles!$D:$D,MATCH(B250,Articles!$B:$B,0)),0))</f>
        <v/>
      </c>
      <c r="I250" s="9" t="str">
        <f>IF(OR(E250="",H250=""),"",E250-H250)</f>
        <v/>
      </c>
      <c r="J250" s="4"/>
    </row>
    <row r="251">
      <c r="A251" s="7"/>
      <c r="B251" s="4"/>
      <c r="C251" s="6"/>
      <c r="D251" s="5" t="str">
        <f>IF(B251="","",IFERROR(INDEX(Articles!$E:$E,MATCH(B251,Articles!$B:$B,0)),""))</f>
        <v/>
      </c>
      <c r="E251" s="9" t="str">
        <f>IF(OR(C251="",D251=""),"",C251*D251)</f>
        <v/>
      </c>
      <c r="F251" s="4"/>
      <c r="G251" s="4"/>
      <c r="H251" s="9" t="str">
        <f>IF(OR(B251="",C251=""),"",C251*IFERROR(INDEX(Articles!$D:$D,MATCH(B251,Articles!$B:$B,0)),0))</f>
        <v/>
      </c>
      <c r="I251" s="9" t="str">
        <f>IF(OR(E251="",H251=""),"",E251-H251)</f>
        <v/>
      </c>
      <c r="J251" s="4"/>
    </row>
    <row r="252">
      <c r="A252" s="7"/>
      <c r="B252" s="4"/>
      <c r="C252" s="6"/>
      <c r="D252" s="5" t="str">
        <f>IF(B252="","",IFERROR(INDEX(Articles!$E:$E,MATCH(B252,Articles!$B:$B,0)),""))</f>
        <v/>
      </c>
      <c r="E252" s="9" t="str">
        <f>IF(OR(C252="",D252=""),"",C252*D252)</f>
        <v/>
      </c>
      <c r="F252" s="4"/>
      <c r="G252" s="4"/>
      <c r="H252" s="9" t="str">
        <f>IF(OR(B252="",C252=""),"",C252*IFERROR(INDEX(Articles!$D:$D,MATCH(B252,Articles!$B:$B,0)),0))</f>
        <v/>
      </c>
      <c r="I252" s="9" t="str">
        <f>IF(OR(E252="",H252=""),"",E252-H252)</f>
        <v/>
      </c>
      <c r="J252" s="4"/>
    </row>
    <row r="253">
      <c r="A253" s="7"/>
      <c r="B253" s="4"/>
      <c r="C253" s="6"/>
      <c r="D253" s="5" t="str">
        <f>IF(B253="","",IFERROR(INDEX(Articles!$E:$E,MATCH(B253,Articles!$B:$B,0)),""))</f>
        <v/>
      </c>
      <c r="E253" s="9" t="str">
        <f>IF(OR(C253="",D253=""),"",C253*D253)</f>
        <v/>
      </c>
      <c r="F253" s="4"/>
      <c r="G253" s="4"/>
      <c r="H253" s="9" t="str">
        <f>IF(OR(B253="",C253=""),"",C253*IFERROR(INDEX(Articles!$D:$D,MATCH(B253,Articles!$B:$B,0)),0))</f>
        <v/>
      </c>
      <c r="I253" s="9" t="str">
        <f>IF(OR(E253="",H253=""),"",E253-H253)</f>
        <v/>
      </c>
      <c r="J253" s="4"/>
    </row>
    <row r="254">
      <c r="A254" s="7"/>
      <c r="B254" s="4"/>
      <c r="C254" s="6"/>
      <c r="D254" s="5" t="str">
        <f>IF(B254="","",IFERROR(INDEX(Articles!$E:$E,MATCH(B254,Articles!$B:$B,0)),""))</f>
        <v/>
      </c>
      <c r="E254" s="9" t="str">
        <f>IF(OR(C254="",D254=""),"",C254*D254)</f>
        <v/>
      </c>
      <c r="F254" s="4"/>
      <c r="G254" s="4"/>
      <c r="H254" s="9" t="str">
        <f>IF(OR(B254="",C254=""),"",C254*IFERROR(INDEX(Articles!$D:$D,MATCH(B254,Articles!$B:$B,0)),0))</f>
        <v/>
      </c>
      <c r="I254" s="9" t="str">
        <f>IF(OR(E254="",H254=""),"",E254-H254)</f>
        <v/>
      </c>
      <c r="J254" s="4"/>
    </row>
    <row r="255">
      <c r="A255" s="7"/>
      <c r="B255" s="4"/>
      <c r="C255" s="6"/>
      <c r="D255" s="5" t="str">
        <f>IF(B255="","",IFERROR(INDEX(Articles!$E:$E,MATCH(B255,Articles!$B:$B,0)),""))</f>
        <v/>
      </c>
      <c r="E255" s="9" t="str">
        <f>IF(OR(C255="",D255=""),"",C255*D255)</f>
        <v/>
      </c>
      <c r="F255" s="4"/>
      <c r="G255" s="4"/>
      <c r="H255" s="9" t="str">
        <f>IF(OR(B255="",C255=""),"",C255*IFERROR(INDEX(Articles!$D:$D,MATCH(B255,Articles!$B:$B,0)),0))</f>
        <v/>
      </c>
      <c r="I255" s="9" t="str">
        <f>IF(OR(E255="",H255=""),"",E255-H255)</f>
        <v/>
      </c>
      <c r="J255" s="4"/>
    </row>
    <row r="256">
      <c r="A256" s="7"/>
      <c r="B256" s="4"/>
      <c r="C256" s="6"/>
      <c r="D256" s="5" t="str">
        <f>IF(B256="","",IFERROR(INDEX(Articles!$E:$E,MATCH(B256,Articles!$B:$B,0)),""))</f>
        <v/>
      </c>
      <c r="E256" s="9" t="str">
        <f>IF(OR(C256="",D256=""),"",C256*D256)</f>
        <v/>
      </c>
      <c r="F256" s="4"/>
      <c r="G256" s="4"/>
      <c r="H256" s="9" t="str">
        <f>IF(OR(B256="",C256=""),"",C256*IFERROR(INDEX(Articles!$D:$D,MATCH(B256,Articles!$B:$B,0)),0))</f>
        <v/>
      </c>
      <c r="I256" s="9" t="str">
        <f>IF(OR(E256="",H256=""),"",E256-H256)</f>
        <v/>
      </c>
      <c r="J256" s="4"/>
    </row>
    <row r="257">
      <c r="A257" s="7"/>
      <c r="B257" s="4"/>
      <c r="C257" s="6"/>
      <c r="D257" s="5" t="str">
        <f>IF(B257="","",IFERROR(INDEX(Articles!$E:$E,MATCH(B257,Articles!$B:$B,0)),""))</f>
        <v/>
      </c>
      <c r="E257" s="9" t="str">
        <f>IF(OR(C257="",D257=""),"",C257*D257)</f>
        <v/>
      </c>
      <c r="F257" s="4"/>
      <c r="G257" s="4"/>
      <c r="H257" s="9" t="str">
        <f>IF(OR(B257="",C257=""),"",C257*IFERROR(INDEX(Articles!$D:$D,MATCH(B257,Articles!$B:$B,0)),0))</f>
        <v/>
      </c>
      <c r="I257" s="9" t="str">
        <f>IF(OR(E257="",H257=""),"",E257-H257)</f>
        <v/>
      </c>
      <c r="J257" s="4"/>
    </row>
    <row r="258">
      <c r="A258" s="7"/>
      <c r="B258" s="4"/>
      <c r="C258" s="6"/>
      <c r="D258" s="5" t="str">
        <f>IF(B258="","",IFERROR(INDEX(Articles!$E:$E,MATCH(B258,Articles!$B:$B,0)),""))</f>
        <v/>
      </c>
      <c r="E258" s="9" t="str">
        <f>IF(OR(C258="",D258=""),"",C258*D258)</f>
        <v/>
      </c>
      <c r="F258" s="4"/>
      <c r="G258" s="4"/>
      <c r="H258" s="9" t="str">
        <f>IF(OR(B258="",C258=""),"",C258*IFERROR(INDEX(Articles!$D:$D,MATCH(B258,Articles!$B:$B,0)),0))</f>
        <v/>
      </c>
      <c r="I258" s="9" t="str">
        <f>IF(OR(E258="",H258=""),"",E258-H258)</f>
        <v/>
      </c>
      <c r="J258" s="4"/>
    </row>
    <row r="259">
      <c r="A259" s="7"/>
      <c r="B259" s="4"/>
      <c r="C259" s="6"/>
      <c r="D259" s="5" t="str">
        <f>IF(B259="","",IFERROR(INDEX(Articles!$E:$E,MATCH(B259,Articles!$B:$B,0)),""))</f>
        <v/>
      </c>
      <c r="E259" s="9" t="str">
        <f>IF(OR(C259="",D259=""),"",C259*D259)</f>
        <v/>
      </c>
      <c r="F259" s="4"/>
      <c r="G259" s="4"/>
      <c r="H259" s="9" t="str">
        <f>IF(OR(B259="",C259=""),"",C259*IFERROR(INDEX(Articles!$D:$D,MATCH(B259,Articles!$B:$B,0)),0))</f>
        <v/>
      </c>
      <c r="I259" s="9" t="str">
        <f>IF(OR(E259="",H259=""),"",E259-H259)</f>
        <v/>
      </c>
      <c r="J259" s="4"/>
    </row>
    <row r="260">
      <c r="A260" s="7"/>
      <c r="B260" s="4"/>
      <c r="C260" s="6"/>
      <c r="D260" s="5" t="str">
        <f>IF(B260="","",IFERROR(INDEX(Articles!$E:$E,MATCH(B260,Articles!$B:$B,0)),""))</f>
        <v/>
      </c>
      <c r="E260" s="9" t="str">
        <f>IF(OR(C260="",D260=""),"",C260*D260)</f>
        <v/>
      </c>
      <c r="F260" s="4"/>
      <c r="G260" s="4"/>
      <c r="H260" s="9" t="str">
        <f>IF(OR(B260="",C260=""),"",C260*IFERROR(INDEX(Articles!$D:$D,MATCH(B260,Articles!$B:$B,0)),0))</f>
        <v/>
      </c>
      <c r="I260" s="9" t="str">
        <f>IF(OR(E260="",H260=""),"",E260-H260)</f>
        <v/>
      </c>
      <c r="J260" s="4"/>
    </row>
    <row r="261">
      <c r="A261" s="7"/>
      <c r="B261" s="4"/>
      <c r="C261" s="6"/>
      <c r="D261" s="5" t="str">
        <f>IF(B261="","",IFERROR(INDEX(Articles!$E:$E,MATCH(B261,Articles!$B:$B,0)),""))</f>
        <v/>
      </c>
      <c r="E261" s="9" t="str">
        <f>IF(OR(C261="",D261=""),"",C261*D261)</f>
        <v/>
      </c>
      <c r="F261" s="4"/>
      <c r="G261" s="4"/>
      <c r="H261" s="9" t="str">
        <f>IF(OR(B261="",C261=""),"",C261*IFERROR(INDEX(Articles!$D:$D,MATCH(B261,Articles!$B:$B,0)),0))</f>
        <v/>
      </c>
      <c r="I261" s="9" t="str">
        <f>IF(OR(E261="",H261=""),"",E261-H261)</f>
        <v/>
      </c>
      <c r="J261" s="4"/>
    </row>
    <row r="262">
      <c r="A262" s="7"/>
      <c r="B262" s="4"/>
      <c r="C262" s="6"/>
      <c r="D262" s="5" t="str">
        <f>IF(B262="","",IFERROR(INDEX(Articles!$E:$E,MATCH(B262,Articles!$B:$B,0)),""))</f>
        <v/>
      </c>
      <c r="E262" s="9" t="str">
        <f>IF(OR(C262="",D262=""),"",C262*D262)</f>
        <v/>
      </c>
      <c r="F262" s="4"/>
      <c r="G262" s="4"/>
      <c r="H262" s="9" t="str">
        <f>IF(OR(B262="",C262=""),"",C262*IFERROR(INDEX(Articles!$D:$D,MATCH(B262,Articles!$B:$B,0)),0))</f>
        <v/>
      </c>
      <c r="I262" s="9" t="str">
        <f>IF(OR(E262="",H262=""),"",E262-H262)</f>
        <v/>
      </c>
      <c r="J262" s="4"/>
    </row>
    <row r="263">
      <c r="A263" s="7"/>
      <c r="B263" s="4"/>
      <c r="C263" s="6"/>
      <c r="D263" s="5" t="str">
        <f>IF(B263="","",IFERROR(INDEX(Articles!$E:$E,MATCH(B263,Articles!$B:$B,0)),""))</f>
        <v/>
      </c>
      <c r="E263" s="9" t="str">
        <f>IF(OR(C263="",D263=""),"",C263*D263)</f>
        <v/>
      </c>
      <c r="F263" s="4"/>
      <c r="G263" s="4"/>
      <c r="H263" s="9" t="str">
        <f>IF(OR(B263="",C263=""),"",C263*IFERROR(INDEX(Articles!$D:$D,MATCH(B263,Articles!$B:$B,0)),0))</f>
        <v/>
      </c>
      <c r="I263" s="9" t="str">
        <f>IF(OR(E263="",H263=""),"",E263-H263)</f>
        <v/>
      </c>
      <c r="J263" s="4"/>
    </row>
    <row r="264">
      <c r="A264" s="7"/>
      <c r="B264" s="4"/>
      <c r="C264" s="6"/>
      <c r="D264" s="5" t="str">
        <f>IF(B264="","",IFERROR(INDEX(Articles!$E:$E,MATCH(B264,Articles!$B:$B,0)),""))</f>
        <v/>
      </c>
      <c r="E264" s="9" t="str">
        <f>IF(OR(C264="",D264=""),"",C264*D264)</f>
        <v/>
      </c>
      <c r="F264" s="4"/>
      <c r="G264" s="4"/>
      <c r="H264" s="9" t="str">
        <f>IF(OR(B264="",C264=""),"",C264*IFERROR(INDEX(Articles!$D:$D,MATCH(B264,Articles!$B:$B,0)),0))</f>
        <v/>
      </c>
      <c r="I264" s="9" t="str">
        <f>IF(OR(E264="",H264=""),"",E264-H264)</f>
        <v/>
      </c>
      <c r="J264" s="4"/>
    </row>
    <row r="265">
      <c r="A265" s="7"/>
      <c r="B265" s="4"/>
      <c r="C265" s="6"/>
      <c r="D265" s="5" t="str">
        <f>IF(B265="","",IFERROR(INDEX(Articles!$E:$E,MATCH(B265,Articles!$B:$B,0)),""))</f>
        <v/>
      </c>
      <c r="E265" s="9" t="str">
        <f>IF(OR(C265="",D265=""),"",C265*D265)</f>
        <v/>
      </c>
      <c r="F265" s="4"/>
      <c r="G265" s="4"/>
      <c r="H265" s="9" t="str">
        <f>IF(OR(B265="",C265=""),"",C265*IFERROR(INDEX(Articles!$D:$D,MATCH(B265,Articles!$B:$B,0)),0))</f>
        <v/>
      </c>
      <c r="I265" s="9" t="str">
        <f>IF(OR(E265="",H265=""),"",E265-H265)</f>
        <v/>
      </c>
      <c r="J265" s="4"/>
    </row>
    <row r="266">
      <c r="A266" s="7"/>
      <c r="B266" s="4"/>
      <c r="C266" s="6"/>
      <c r="D266" s="5" t="str">
        <f>IF(B266="","",IFERROR(INDEX(Articles!$E:$E,MATCH(B266,Articles!$B:$B,0)),""))</f>
        <v/>
      </c>
      <c r="E266" s="9" t="str">
        <f>IF(OR(C266="",D266=""),"",C266*D266)</f>
        <v/>
      </c>
      <c r="F266" s="4"/>
      <c r="G266" s="4"/>
      <c r="H266" s="9" t="str">
        <f>IF(OR(B266="",C266=""),"",C266*IFERROR(INDEX(Articles!$D:$D,MATCH(B266,Articles!$B:$B,0)),0))</f>
        <v/>
      </c>
      <c r="I266" s="9" t="str">
        <f>IF(OR(E266="",H266=""),"",E266-H266)</f>
        <v/>
      </c>
      <c r="J266" s="4"/>
    </row>
    <row r="267">
      <c r="A267" s="7"/>
      <c r="B267" s="4"/>
      <c r="C267" s="6"/>
      <c r="D267" s="5" t="str">
        <f>IF(B267="","",IFERROR(INDEX(Articles!$E:$E,MATCH(B267,Articles!$B:$B,0)),""))</f>
        <v/>
      </c>
      <c r="E267" s="9" t="str">
        <f>IF(OR(C267="",D267=""),"",C267*D267)</f>
        <v/>
      </c>
      <c r="F267" s="4"/>
      <c r="G267" s="4"/>
      <c r="H267" s="9" t="str">
        <f>IF(OR(B267="",C267=""),"",C267*IFERROR(INDEX(Articles!$D:$D,MATCH(B267,Articles!$B:$B,0)),0))</f>
        <v/>
      </c>
      <c r="I267" s="9" t="str">
        <f>IF(OR(E267="",H267=""),"",E267-H267)</f>
        <v/>
      </c>
      <c r="J267" s="4"/>
    </row>
    <row r="268">
      <c r="A268" s="7"/>
      <c r="B268" s="4"/>
      <c r="C268" s="6"/>
      <c r="D268" s="5" t="str">
        <f>IF(B268="","",IFERROR(INDEX(Articles!$E:$E,MATCH(B268,Articles!$B:$B,0)),""))</f>
        <v/>
      </c>
      <c r="E268" s="9" t="str">
        <f>IF(OR(C268="",D268=""),"",C268*D268)</f>
        <v/>
      </c>
      <c r="F268" s="4"/>
      <c r="G268" s="4"/>
      <c r="H268" s="9" t="str">
        <f>IF(OR(B268="",C268=""),"",C268*IFERROR(INDEX(Articles!$D:$D,MATCH(B268,Articles!$B:$B,0)),0))</f>
        <v/>
      </c>
      <c r="I268" s="9" t="str">
        <f>IF(OR(E268="",H268=""),"",E268-H268)</f>
        <v/>
      </c>
      <c r="J268" s="4"/>
    </row>
    <row r="269">
      <c r="A269" s="7"/>
      <c r="B269" s="4"/>
      <c r="C269" s="6"/>
      <c r="D269" s="5" t="str">
        <f>IF(B269="","",IFERROR(INDEX(Articles!$E:$E,MATCH(B269,Articles!$B:$B,0)),""))</f>
        <v/>
      </c>
      <c r="E269" s="9" t="str">
        <f>IF(OR(C269="",D269=""),"",C269*D269)</f>
        <v/>
      </c>
      <c r="F269" s="4"/>
      <c r="G269" s="4"/>
      <c r="H269" s="9" t="str">
        <f>IF(OR(B269="",C269=""),"",C269*IFERROR(INDEX(Articles!$D:$D,MATCH(B269,Articles!$B:$B,0)),0))</f>
        <v/>
      </c>
      <c r="I269" s="9" t="str">
        <f>IF(OR(E269="",H269=""),"",E269-H269)</f>
        <v/>
      </c>
      <c r="J269" s="4"/>
    </row>
    <row r="270">
      <c r="A270" s="7"/>
      <c r="B270" s="4"/>
      <c r="C270" s="6"/>
      <c r="D270" s="5" t="str">
        <f>IF(B270="","",IFERROR(INDEX(Articles!$E:$E,MATCH(B270,Articles!$B:$B,0)),""))</f>
        <v/>
      </c>
      <c r="E270" s="9" t="str">
        <f>IF(OR(C270="",D270=""),"",C270*D270)</f>
        <v/>
      </c>
      <c r="F270" s="4"/>
      <c r="G270" s="4"/>
      <c r="H270" s="9" t="str">
        <f>IF(OR(B270="",C270=""),"",C270*IFERROR(INDEX(Articles!$D:$D,MATCH(B270,Articles!$B:$B,0)),0))</f>
        <v/>
      </c>
      <c r="I270" s="9" t="str">
        <f>IF(OR(E270="",H270=""),"",E270-H270)</f>
        <v/>
      </c>
      <c r="J270" s="4"/>
    </row>
    <row r="271">
      <c r="A271" s="7"/>
      <c r="B271" s="4"/>
      <c r="C271" s="6"/>
      <c r="D271" s="5" t="str">
        <f>IF(B271="","",IFERROR(INDEX(Articles!$E:$E,MATCH(B271,Articles!$B:$B,0)),""))</f>
        <v/>
      </c>
      <c r="E271" s="9" t="str">
        <f>IF(OR(C271="",D271=""),"",C271*D271)</f>
        <v/>
      </c>
      <c r="F271" s="4"/>
      <c r="G271" s="4"/>
      <c r="H271" s="9" t="str">
        <f>IF(OR(B271="",C271=""),"",C271*IFERROR(INDEX(Articles!$D:$D,MATCH(B271,Articles!$B:$B,0)),0))</f>
        <v/>
      </c>
      <c r="I271" s="9" t="str">
        <f>IF(OR(E271="",H271=""),"",E271-H271)</f>
        <v/>
      </c>
      <c r="J271" s="4"/>
    </row>
    <row r="272">
      <c r="A272" s="7"/>
      <c r="B272" s="4"/>
      <c r="C272" s="6"/>
      <c r="D272" s="5" t="str">
        <f>IF(B272="","",IFERROR(INDEX(Articles!$E:$E,MATCH(B272,Articles!$B:$B,0)),""))</f>
        <v/>
      </c>
      <c r="E272" s="9" t="str">
        <f>IF(OR(C272="",D272=""),"",C272*D272)</f>
        <v/>
      </c>
      <c r="F272" s="4"/>
      <c r="G272" s="4"/>
      <c r="H272" s="9" t="str">
        <f>IF(OR(B272="",C272=""),"",C272*IFERROR(INDEX(Articles!$D:$D,MATCH(B272,Articles!$B:$B,0)),0))</f>
        <v/>
      </c>
      <c r="I272" s="9" t="str">
        <f>IF(OR(E272="",H272=""),"",E272-H272)</f>
        <v/>
      </c>
      <c r="J272" s="4"/>
    </row>
    <row r="273">
      <c r="A273" s="7"/>
      <c r="B273" s="4"/>
      <c r="C273" s="6"/>
      <c r="D273" s="5" t="str">
        <f>IF(B273="","",IFERROR(INDEX(Articles!$E:$E,MATCH(B273,Articles!$B:$B,0)),""))</f>
        <v/>
      </c>
      <c r="E273" s="9" t="str">
        <f>IF(OR(C273="",D273=""),"",C273*D273)</f>
        <v/>
      </c>
      <c r="F273" s="4"/>
      <c r="G273" s="4"/>
      <c r="H273" s="9" t="str">
        <f>IF(OR(B273="",C273=""),"",C273*IFERROR(INDEX(Articles!$D:$D,MATCH(B273,Articles!$B:$B,0)),0))</f>
        <v/>
      </c>
      <c r="I273" s="9" t="str">
        <f>IF(OR(E273="",H273=""),"",E273-H273)</f>
        <v/>
      </c>
      <c r="J273" s="4"/>
    </row>
    <row r="274">
      <c r="A274" s="7"/>
      <c r="B274" s="4"/>
      <c r="C274" s="6"/>
      <c r="D274" s="5" t="str">
        <f>IF(B274="","",IFERROR(INDEX(Articles!$E:$E,MATCH(B274,Articles!$B:$B,0)),""))</f>
        <v/>
      </c>
      <c r="E274" s="9" t="str">
        <f>IF(OR(C274="",D274=""),"",C274*D274)</f>
        <v/>
      </c>
      <c r="F274" s="4"/>
      <c r="G274" s="4"/>
      <c r="H274" s="9" t="str">
        <f>IF(OR(B274="",C274=""),"",C274*IFERROR(INDEX(Articles!$D:$D,MATCH(B274,Articles!$B:$B,0)),0))</f>
        <v/>
      </c>
      <c r="I274" s="9" t="str">
        <f>IF(OR(E274="",H274=""),"",E274-H274)</f>
        <v/>
      </c>
      <c r="J274" s="4"/>
    </row>
    <row r="275">
      <c r="A275" s="7"/>
      <c r="B275" s="4"/>
      <c r="C275" s="6"/>
      <c r="D275" s="5" t="str">
        <f>IF(B275="","",IFERROR(INDEX(Articles!$E:$E,MATCH(B275,Articles!$B:$B,0)),""))</f>
        <v/>
      </c>
      <c r="E275" s="9" t="str">
        <f>IF(OR(C275="",D275=""),"",C275*D275)</f>
        <v/>
      </c>
      <c r="F275" s="4"/>
      <c r="G275" s="4"/>
      <c r="H275" s="9" t="str">
        <f>IF(OR(B275="",C275=""),"",C275*IFERROR(INDEX(Articles!$D:$D,MATCH(B275,Articles!$B:$B,0)),0))</f>
        <v/>
      </c>
      <c r="I275" s="9" t="str">
        <f>IF(OR(E275="",H275=""),"",E275-H275)</f>
        <v/>
      </c>
      <c r="J275" s="4"/>
    </row>
    <row r="276">
      <c r="A276" s="7"/>
      <c r="B276" s="4"/>
      <c r="C276" s="6"/>
      <c r="D276" s="5" t="str">
        <f>IF(B276="","",IFERROR(INDEX(Articles!$E:$E,MATCH(B276,Articles!$B:$B,0)),""))</f>
        <v/>
      </c>
      <c r="E276" s="9" t="str">
        <f>IF(OR(C276="",D276=""),"",C276*D276)</f>
        <v/>
      </c>
      <c r="F276" s="4"/>
      <c r="G276" s="4"/>
      <c r="H276" s="9" t="str">
        <f>IF(OR(B276="",C276=""),"",C276*IFERROR(INDEX(Articles!$D:$D,MATCH(B276,Articles!$B:$B,0)),0))</f>
        <v/>
      </c>
      <c r="I276" s="9" t="str">
        <f>IF(OR(E276="",H276=""),"",E276-H276)</f>
        <v/>
      </c>
      <c r="J276" s="4"/>
    </row>
    <row r="277">
      <c r="A277" s="7"/>
      <c r="B277" s="4"/>
      <c r="C277" s="6"/>
      <c r="D277" s="5" t="str">
        <f>IF(B277="","",IFERROR(INDEX(Articles!$E:$E,MATCH(B277,Articles!$B:$B,0)),""))</f>
        <v/>
      </c>
      <c r="E277" s="9" t="str">
        <f>IF(OR(C277="",D277=""),"",C277*D277)</f>
        <v/>
      </c>
      <c r="F277" s="4"/>
      <c r="G277" s="4"/>
      <c r="H277" s="9" t="str">
        <f>IF(OR(B277="",C277=""),"",C277*IFERROR(INDEX(Articles!$D:$D,MATCH(B277,Articles!$B:$B,0)),0))</f>
        <v/>
      </c>
      <c r="I277" s="9" t="str">
        <f>IF(OR(E277="",H277=""),"",E277-H277)</f>
        <v/>
      </c>
      <c r="J277" s="4"/>
    </row>
    <row r="278">
      <c r="A278" s="7"/>
      <c r="B278" s="4"/>
      <c r="C278" s="6"/>
      <c r="D278" s="5" t="str">
        <f>IF(B278="","",IFERROR(INDEX(Articles!$E:$E,MATCH(B278,Articles!$B:$B,0)),""))</f>
        <v/>
      </c>
      <c r="E278" s="9" t="str">
        <f>IF(OR(C278="",D278=""),"",C278*D278)</f>
        <v/>
      </c>
      <c r="F278" s="4"/>
      <c r="G278" s="4"/>
      <c r="H278" s="9" t="str">
        <f>IF(OR(B278="",C278=""),"",C278*IFERROR(INDEX(Articles!$D:$D,MATCH(B278,Articles!$B:$B,0)),0))</f>
        <v/>
      </c>
      <c r="I278" s="9" t="str">
        <f>IF(OR(E278="",H278=""),"",E278-H278)</f>
        <v/>
      </c>
      <c r="J278" s="4"/>
    </row>
    <row r="279">
      <c r="A279" s="7"/>
      <c r="B279" s="4"/>
      <c r="C279" s="6"/>
      <c r="D279" s="5" t="str">
        <f>IF(B279="","",IFERROR(INDEX(Articles!$E:$E,MATCH(B279,Articles!$B:$B,0)),""))</f>
        <v/>
      </c>
      <c r="E279" s="9" t="str">
        <f>IF(OR(C279="",D279=""),"",C279*D279)</f>
        <v/>
      </c>
      <c r="F279" s="4"/>
      <c r="G279" s="4"/>
      <c r="H279" s="9" t="str">
        <f>IF(OR(B279="",C279=""),"",C279*IFERROR(INDEX(Articles!$D:$D,MATCH(B279,Articles!$B:$B,0)),0))</f>
        <v/>
      </c>
      <c r="I279" s="9" t="str">
        <f>IF(OR(E279="",H279=""),"",E279-H279)</f>
        <v/>
      </c>
      <c r="J279" s="4"/>
    </row>
    <row r="280">
      <c r="A280" s="7"/>
      <c r="B280" s="4"/>
      <c r="C280" s="6"/>
      <c r="D280" s="5" t="str">
        <f>IF(B280="","",IFERROR(INDEX(Articles!$E:$E,MATCH(B280,Articles!$B:$B,0)),""))</f>
        <v/>
      </c>
      <c r="E280" s="9" t="str">
        <f>IF(OR(C280="",D280=""),"",C280*D280)</f>
        <v/>
      </c>
      <c r="F280" s="4"/>
      <c r="G280" s="4"/>
      <c r="H280" s="9" t="str">
        <f>IF(OR(B280="",C280=""),"",C280*IFERROR(INDEX(Articles!$D:$D,MATCH(B280,Articles!$B:$B,0)),0))</f>
        <v/>
      </c>
      <c r="I280" s="9" t="str">
        <f>IF(OR(E280="",H280=""),"",E280-H280)</f>
        <v/>
      </c>
      <c r="J280" s="4"/>
    </row>
    <row r="281">
      <c r="A281" s="7"/>
      <c r="B281" s="4"/>
      <c r="C281" s="6"/>
      <c r="D281" s="5" t="str">
        <f>IF(B281="","",IFERROR(INDEX(Articles!$E:$E,MATCH(B281,Articles!$B:$B,0)),""))</f>
        <v/>
      </c>
      <c r="E281" s="9" t="str">
        <f>IF(OR(C281="",D281=""),"",C281*D281)</f>
        <v/>
      </c>
      <c r="F281" s="4"/>
      <c r="G281" s="4"/>
      <c r="H281" s="9" t="str">
        <f>IF(OR(B281="",C281=""),"",C281*IFERROR(INDEX(Articles!$D:$D,MATCH(B281,Articles!$B:$B,0)),0))</f>
        <v/>
      </c>
      <c r="I281" s="9" t="str">
        <f>IF(OR(E281="",H281=""),"",E281-H281)</f>
        <v/>
      </c>
      <c r="J281" s="4"/>
    </row>
    <row r="282">
      <c r="A282" s="7"/>
      <c r="B282" s="4"/>
      <c r="C282" s="6"/>
      <c r="D282" s="5" t="str">
        <f>IF(B282="","",IFERROR(INDEX(Articles!$E:$E,MATCH(B282,Articles!$B:$B,0)),""))</f>
        <v/>
      </c>
      <c r="E282" s="9" t="str">
        <f>IF(OR(C282="",D282=""),"",C282*D282)</f>
        <v/>
      </c>
      <c r="F282" s="4"/>
      <c r="G282" s="4"/>
      <c r="H282" s="9" t="str">
        <f>IF(OR(B282="",C282=""),"",C282*IFERROR(INDEX(Articles!$D:$D,MATCH(B282,Articles!$B:$B,0)),0))</f>
        <v/>
      </c>
      <c r="I282" s="9" t="str">
        <f>IF(OR(E282="",H282=""),"",E282-H282)</f>
        <v/>
      </c>
      <c r="J282" s="4"/>
    </row>
    <row r="283">
      <c r="A283" s="7"/>
      <c r="B283" s="4"/>
      <c r="C283" s="6"/>
      <c r="D283" s="5" t="str">
        <f>IF(B283="","",IFERROR(INDEX(Articles!$E:$E,MATCH(B283,Articles!$B:$B,0)),""))</f>
        <v/>
      </c>
      <c r="E283" s="9" t="str">
        <f>IF(OR(C283="",D283=""),"",C283*D283)</f>
        <v/>
      </c>
      <c r="F283" s="4"/>
      <c r="G283" s="4"/>
      <c r="H283" s="9" t="str">
        <f>IF(OR(B283="",C283=""),"",C283*IFERROR(INDEX(Articles!$D:$D,MATCH(B283,Articles!$B:$B,0)),0))</f>
        <v/>
      </c>
      <c r="I283" s="9" t="str">
        <f>IF(OR(E283="",H283=""),"",E283-H283)</f>
        <v/>
      </c>
      <c r="J283" s="4"/>
    </row>
    <row r="284">
      <c r="A284" s="7"/>
      <c r="B284" s="4"/>
      <c r="C284" s="6"/>
      <c r="D284" s="5" t="str">
        <f>IF(B284="","",IFERROR(INDEX(Articles!$E:$E,MATCH(B284,Articles!$B:$B,0)),""))</f>
        <v/>
      </c>
      <c r="E284" s="9" t="str">
        <f>IF(OR(C284="",D284=""),"",C284*D284)</f>
        <v/>
      </c>
      <c r="F284" s="4"/>
      <c r="G284" s="4"/>
      <c r="H284" s="9" t="str">
        <f>IF(OR(B284="",C284=""),"",C284*IFERROR(INDEX(Articles!$D:$D,MATCH(B284,Articles!$B:$B,0)),0))</f>
        <v/>
      </c>
      <c r="I284" s="9" t="str">
        <f>IF(OR(E284="",H284=""),"",E284-H284)</f>
        <v/>
      </c>
      <c r="J284" s="4"/>
    </row>
    <row r="285">
      <c r="A285" s="7"/>
      <c r="B285" s="4"/>
      <c r="C285" s="6"/>
      <c r="D285" s="5" t="str">
        <f>IF(B285="","",IFERROR(INDEX(Articles!$E:$E,MATCH(B285,Articles!$B:$B,0)),""))</f>
        <v/>
      </c>
      <c r="E285" s="9" t="str">
        <f>IF(OR(C285="",D285=""),"",C285*D285)</f>
        <v/>
      </c>
      <c r="F285" s="4"/>
      <c r="G285" s="4"/>
      <c r="H285" s="9" t="str">
        <f>IF(OR(B285="",C285=""),"",C285*IFERROR(INDEX(Articles!$D:$D,MATCH(B285,Articles!$B:$B,0)),0))</f>
        <v/>
      </c>
      <c r="I285" s="9" t="str">
        <f>IF(OR(E285="",H285=""),"",E285-H285)</f>
        <v/>
      </c>
      <c r="J285" s="4"/>
    </row>
    <row r="286">
      <c r="A286" s="7"/>
      <c r="B286" s="4"/>
      <c r="C286" s="6"/>
      <c r="D286" s="5" t="str">
        <f>IF(B286="","",IFERROR(INDEX(Articles!$E:$E,MATCH(B286,Articles!$B:$B,0)),""))</f>
        <v/>
      </c>
      <c r="E286" s="9" t="str">
        <f>IF(OR(C286="",D286=""),"",C286*D286)</f>
        <v/>
      </c>
      <c r="F286" s="4"/>
      <c r="G286" s="4"/>
      <c r="H286" s="9" t="str">
        <f>IF(OR(B286="",C286=""),"",C286*IFERROR(INDEX(Articles!$D:$D,MATCH(B286,Articles!$B:$B,0)),0))</f>
        <v/>
      </c>
      <c r="I286" s="9" t="str">
        <f>IF(OR(E286="",H286=""),"",E286-H286)</f>
        <v/>
      </c>
      <c r="J286" s="4"/>
    </row>
    <row r="287">
      <c r="A287" s="7"/>
      <c r="B287" s="4"/>
      <c r="C287" s="6"/>
      <c r="D287" s="5" t="str">
        <f>IF(B287="","",IFERROR(INDEX(Articles!$E:$E,MATCH(B287,Articles!$B:$B,0)),""))</f>
        <v/>
      </c>
      <c r="E287" s="9" t="str">
        <f>IF(OR(C287="",D287=""),"",C287*D287)</f>
        <v/>
      </c>
      <c r="F287" s="4"/>
      <c r="G287" s="4"/>
      <c r="H287" s="9" t="str">
        <f>IF(OR(B287="",C287=""),"",C287*IFERROR(INDEX(Articles!$D:$D,MATCH(B287,Articles!$B:$B,0)),0))</f>
        <v/>
      </c>
      <c r="I287" s="9" t="str">
        <f>IF(OR(E287="",H287=""),"",E287-H287)</f>
        <v/>
      </c>
      <c r="J287" s="4"/>
    </row>
    <row r="288">
      <c r="A288" s="7"/>
      <c r="B288" s="4"/>
      <c r="C288" s="6"/>
      <c r="D288" s="5" t="str">
        <f>IF(B288="","",IFERROR(INDEX(Articles!$E:$E,MATCH(B288,Articles!$B:$B,0)),""))</f>
        <v/>
      </c>
      <c r="E288" s="9" t="str">
        <f>IF(OR(C288="",D288=""),"",C288*D288)</f>
        <v/>
      </c>
      <c r="F288" s="4"/>
      <c r="G288" s="4"/>
      <c r="H288" s="9" t="str">
        <f>IF(OR(B288="",C288=""),"",C288*IFERROR(INDEX(Articles!$D:$D,MATCH(B288,Articles!$B:$B,0)),0))</f>
        <v/>
      </c>
      <c r="I288" s="9" t="str">
        <f>IF(OR(E288="",H288=""),"",E288-H288)</f>
        <v/>
      </c>
      <c r="J288" s="4"/>
    </row>
    <row r="289">
      <c r="A289" s="7"/>
      <c r="B289" s="4"/>
      <c r="C289" s="6"/>
      <c r="D289" s="5" t="str">
        <f>IF(B289="","",IFERROR(INDEX(Articles!$E:$E,MATCH(B289,Articles!$B:$B,0)),""))</f>
        <v/>
      </c>
      <c r="E289" s="9" t="str">
        <f>IF(OR(C289="",D289=""),"",C289*D289)</f>
        <v/>
      </c>
      <c r="F289" s="4"/>
      <c r="G289" s="4"/>
      <c r="H289" s="9" t="str">
        <f>IF(OR(B289="",C289=""),"",C289*IFERROR(INDEX(Articles!$D:$D,MATCH(B289,Articles!$B:$B,0)),0))</f>
        <v/>
      </c>
      <c r="I289" s="9" t="str">
        <f>IF(OR(E289="",H289=""),"",E289-H289)</f>
        <v/>
      </c>
      <c r="J289" s="4"/>
    </row>
    <row r="290">
      <c r="A290" s="7"/>
      <c r="B290" s="4"/>
      <c r="C290" s="6"/>
      <c r="D290" s="5" t="str">
        <f>IF(B290="","",IFERROR(INDEX(Articles!$E:$E,MATCH(B290,Articles!$B:$B,0)),""))</f>
        <v/>
      </c>
      <c r="E290" s="9" t="str">
        <f>IF(OR(C290="",D290=""),"",C290*D290)</f>
        <v/>
      </c>
      <c r="F290" s="4"/>
      <c r="G290" s="4"/>
      <c r="H290" s="9" t="str">
        <f>IF(OR(B290="",C290=""),"",C290*IFERROR(INDEX(Articles!$D:$D,MATCH(B290,Articles!$B:$B,0)),0))</f>
        <v/>
      </c>
      <c r="I290" s="9" t="str">
        <f>IF(OR(E290="",H290=""),"",E290-H290)</f>
        <v/>
      </c>
      <c r="J290" s="4"/>
    </row>
    <row r="291">
      <c r="A291" s="7"/>
      <c r="B291" s="4"/>
      <c r="C291" s="6"/>
      <c r="D291" s="5" t="str">
        <f>IF(B291="","",IFERROR(INDEX(Articles!$E:$E,MATCH(B291,Articles!$B:$B,0)),""))</f>
        <v/>
      </c>
      <c r="E291" s="9" t="str">
        <f>IF(OR(C291="",D291=""),"",C291*D291)</f>
        <v/>
      </c>
      <c r="F291" s="4"/>
      <c r="G291" s="4"/>
      <c r="H291" s="9" t="str">
        <f>IF(OR(B291="",C291=""),"",C291*IFERROR(INDEX(Articles!$D:$D,MATCH(B291,Articles!$B:$B,0)),0))</f>
        <v/>
      </c>
      <c r="I291" s="9" t="str">
        <f>IF(OR(E291="",H291=""),"",E291-H291)</f>
        <v/>
      </c>
      <c r="J291" s="4"/>
    </row>
    <row r="292">
      <c r="A292" s="7"/>
      <c r="B292" s="4"/>
      <c r="C292" s="6"/>
      <c r="D292" s="5" t="str">
        <f>IF(B292="","",IFERROR(INDEX(Articles!$E:$E,MATCH(B292,Articles!$B:$B,0)),""))</f>
        <v/>
      </c>
      <c r="E292" s="9" t="str">
        <f>IF(OR(C292="",D292=""),"",C292*D292)</f>
        <v/>
      </c>
      <c r="F292" s="4"/>
      <c r="G292" s="4"/>
      <c r="H292" s="9" t="str">
        <f>IF(OR(B292="",C292=""),"",C292*IFERROR(INDEX(Articles!$D:$D,MATCH(B292,Articles!$B:$B,0)),0))</f>
        <v/>
      </c>
      <c r="I292" s="9" t="str">
        <f>IF(OR(E292="",H292=""),"",E292-H292)</f>
        <v/>
      </c>
      <c r="J292" s="4"/>
    </row>
    <row r="293">
      <c r="A293" s="7"/>
      <c r="B293" s="4"/>
      <c r="C293" s="6"/>
      <c r="D293" s="5" t="str">
        <f>IF(B293="","",IFERROR(INDEX(Articles!$E:$E,MATCH(B293,Articles!$B:$B,0)),""))</f>
        <v/>
      </c>
      <c r="E293" s="9" t="str">
        <f>IF(OR(C293="",D293=""),"",C293*D293)</f>
        <v/>
      </c>
      <c r="F293" s="4"/>
      <c r="G293" s="4"/>
      <c r="H293" s="9" t="str">
        <f>IF(OR(B293="",C293=""),"",C293*IFERROR(INDEX(Articles!$D:$D,MATCH(B293,Articles!$B:$B,0)),0))</f>
        <v/>
      </c>
      <c r="I293" s="9" t="str">
        <f>IF(OR(E293="",H293=""),"",E293-H293)</f>
        <v/>
      </c>
      <c r="J293" s="4"/>
    </row>
    <row r="294">
      <c r="A294" s="7"/>
      <c r="B294" s="4"/>
      <c r="C294" s="6"/>
      <c r="D294" s="5" t="str">
        <f>IF(B294="","",IFERROR(INDEX(Articles!$E:$E,MATCH(B294,Articles!$B:$B,0)),""))</f>
        <v/>
      </c>
      <c r="E294" s="9" t="str">
        <f>IF(OR(C294="",D294=""),"",C294*D294)</f>
        <v/>
      </c>
      <c r="F294" s="4"/>
      <c r="G294" s="4"/>
      <c r="H294" s="9" t="str">
        <f>IF(OR(B294="",C294=""),"",C294*IFERROR(INDEX(Articles!$D:$D,MATCH(B294,Articles!$B:$B,0)),0))</f>
        <v/>
      </c>
      <c r="I294" s="9" t="str">
        <f>IF(OR(E294="",H294=""),"",E294-H294)</f>
        <v/>
      </c>
      <c r="J294" s="4"/>
    </row>
    <row r="295">
      <c r="A295" s="7"/>
      <c r="B295" s="4"/>
      <c r="C295" s="6"/>
      <c r="D295" s="5" t="str">
        <f>IF(B295="","",IFERROR(INDEX(Articles!$E:$E,MATCH(B295,Articles!$B:$B,0)),""))</f>
        <v/>
      </c>
      <c r="E295" s="9" t="str">
        <f>IF(OR(C295="",D295=""),"",C295*D295)</f>
        <v/>
      </c>
      <c r="F295" s="4"/>
      <c r="G295" s="4"/>
      <c r="H295" s="9" t="str">
        <f>IF(OR(B295="",C295=""),"",C295*IFERROR(INDEX(Articles!$D:$D,MATCH(B295,Articles!$B:$B,0)),0))</f>
        <v/>
      </c>
      <c r="I295" s="9" t="str">
        <f>IF(OR(E295="",H295=""),"",E295-H295)</f>
        <v/>
      </c>
      <c r="J295" s="4"/>
    </row>
    <row r="296">
      <c r="A296" s="7"/>
      <c r="B296" s="4"/>
      <c r="C296" s="6"/>
      <c r="D296" s="5" t="str">
        <f>IF(B296="","",IFERROR(INDEX(Articles!$E:$E,MATCH(B296,Articles!$B:$B,0)),""))</f>
        <v/>
      </c>
      <c r="E296" s="9" t="str">
        <f>IF(OR(C296="",D296=""),"",C296*D296)</f>
        <v/>
      </c>
      <c r="F296" s="4"/>
      <c r="G296" s="4"/>
      <c r="H296" s="9" t="str">
        <f>IF(OR(B296="",C296=""),"",C296*IFERROR(INDEX(Articles!$D:$D,MATCH(B296,Articles!$B:$B,0)),0))</f>
        <v/>
      </c>
      <c r="I296" s="9" t="str">
        <f>IF(OR(E296="",H296=""),"",E296-H296)</f>
        <v/>
      </c>
      <c r="J296" s="4"/>
    </row>
    <row r="297">
      <c r="A297" s="7"/>
      <c r="B297" s="4"/>
      <c r="C297" s="6"/>
      <c r="D297" s="5" t="str">
        <f>IF(B297="","",IFERROR(INDEX(Articles!$E:$E,MATCH(B297,Articles!$B:$B,0)),""))</f>
        <v/>
      </c>
      <c r="E297" s="9" t="str">
        <f>IF(OR(C297="",D297=""),"",C297*D297)</f>
        <v/>
      </c>
      <c r="F297" s="4"/>
      <c r="G297" s="4"/>
      <c r="H297" s="9" t="str">
        <f>IF(OR(B297="",C297=""),"",C297*IFERROR(INDEX(Articles!$D:$D,MATCH(B297,Articles!$B:$B,0)),0))</f>
        <v/>
      </c>
      <c r="I297" s="9" t="str">
        <f>IF(OR(E297="",H297=""),"",E297-H297)</f>
        <v/>
      </c>
      <c r="J297" s="4"/>
    </row>
    <row r="298">
      <c r="A298" s="7"/>
      <c r="B298" s="4"/>
      <c r="C298" s="6"/>
      <c r="D298" s="5" t="str">
        <f>IF(B298="","",IFERROR(INDEX(Articles!$E:$E,MATCH(B298,Articles!$B:$B,0)),""))</f>
        <v/>
      </c>
      <c r="E298" s="9" t="str">
        <f>IF(OR(C298="",D298=""),"",C298*D298)</f>
        <v/>
      </c>
      <c r="F298" s="4"/>
      <c r="G298" s="4"/>
      <c r="H298" s="9" t="str">
        <f>IF(OR(B298="",C298=""),"",C298*IFERROR(INDEX(Articles!$D:$D,MATCH(B298,Articles!$B:$B,0)),0))</f>
        <v/>
      </c>
      <c r="I298" s="9" t="str">
        <f>IF(OR(E298="",H298=""),"",E298-H298)</f>
        <v/>
      </c>
      <c r="J298" s="4"/>
    </row>
    <row r="299">
      <c r="A299" s="7"/>
      <c r="B299" s="4"/>
      <c r="C299" s="6"/>
      <c r="D299" s="5" t="str">
        <f>IF(B299="","",IFERROR(INDEX(Articles!$E:$E,MATCH(B299,Articles!$B:$B,0)),""))</f>
        <v/>
      </c>
      <c r="E299" s="9" t="str">
        <f>IF(OR(C299="",D299=""),"",C299*D299)</f>
        <v/>
      </c>
      <c r="F299" s="4"/>
      <c r="G299" s="4"/>
      <c r="H299" s="9" t="str">
        <f>IF(OR(B299="",C299=""),"",C299*IFERROR(INDEX(Articles!$D:$D,MATCH(B299,Articles!$B:$B,0)),0))</f>
        <v/>
      </c>
      <c r="I299" s="9" t="str">
        <f>IF(OR(E299="",H299=""),"",E299-H299)</f>
        <v/>
      </c>
      <c r="J299" s="4"/>
    </row>
    <row r="300">
      <c r="A300" s="7"/>
      <c r="B300" s="4"/>
      <c r="C300" s="6"/>
      <c r="D300" s="5" t="str">
        <f>IF(B300="","",IFERROR(INDEX(Articles!$E:$E,MATCH(B300,Articles!$B:$B,0)),""))</f>
        <v/>
      </c>
      <c r="E300" s="9" t="str">
        <f>IF(OR(C300="",D300=""),"",C300*D300)</f>
        <v/>
      </c>
      <c r="F300" s="4"/>
      <c r="G300" s="4"/>
      <c r="H300" s="9" t="str">
        <f>IF(OR(B300="",C300=""),"",C300*IFERROR(INDEX(Articles!$D:$D,MATCH(B300,Articles!$B:$B,0)),0))</f>
        <v/>
      </c>
      <c r="I300" s="9" t="str">
        <f>IF(OR(E300="",H300=""),"",E300-H300)</f>
        <v/>
      </c>
      <c r="J300" s="4"/>
    </row>
    <row r="301">
      <c r="A301" s="7"/>
      <c r="B301" s="4"/>
      <c r="C301" s="6"/>
      <c r="D301" s="5" t="str">
        <f>IF(B301="","",IFERROR(INDEX(Articles!$E:$E,MATCH(B301,Articles!$B:$B,0)),""))</f>
        <v/>
      </c>
      <c r="E301" s="9" t="str">
        <f>IF(OR(C301="",D301=""),"",C301*D301)</f>
        <v/>
      </c>
      <c r="F301" s="4"/>
      <c r="G301" s="4"/>
      <c r="H301" s="9" t="str">
        <f>IF(OR(B301="",C301=""),"",C301*IFERROR(INDEX(Articles!$D:$D,MATCH(B301,Articles!$B:$B,0)),0))</f>
        <v/>
      </c>
      <c r="I301" s="9" t="str">
        <f>IF(OR(E301="",H301=""),"",E301-H301)</f>
        <v/>
      </c>
      <c r="J301" s="4"/>
    </row>
    <row r="302">
      <c r="A302" s="7"/>
      <c r="B302" s="4"/>
      <c r="C302" s="6"/>
      <c r="D302" s="5" t="str">
        <f>IF(B302="","",IFERROR(INDEX(Articles!$E:$E,MATCH(B302,Articles!$B:$B,0)),""))</f>
        <v/>
      </c>
      <c r="E302" s="9" t="str">
        <f>IF(OR(C302="",D302=""),"",C302*D302)</f>
        <v/>
      </c>
      <c r="F302" s="4"/>
      <c r="G302" s="4"/>
      <c r="H302" s="9" t="str">
        <f>IF(OR(B302="",C302=""),"",C302*IFERROR(INDEX(Articles!$D:$D,MATCH(B302,Articles!$B:$B,0)),0))</f>
        <v/>
      </c>
      <c r="I302" s="9" t="str">
        <f>IF(OR(E302="",H302=""),"",E302-H302)</f>
        <v/>
      </c>
      <c r="J302" s="4"/>
    </row>
    <row r="303">
      <c r="A303" s="7"/>
      <c r="B303" s="4"/>
      <c r="C303" s="6"/>
      <c r="D303" s="5" t="str">
        <f>IF(B303="","",IFERROR(INDEX(Articles!$E:$E,MATCH(B303,Articles!$B:$B,0)),""))</f>
        <v/>
      </c>
      <c r="E303" s="9" t="str">
        <f>IF(OR(C303="",D303=""),"",C303*D303)</f>
        <v/>
      </c>
      <c r="F303" s="4"/>
      <c r="G303" s="4"/>
      <c r="H303" s="9" t="str">
        <f>IF(OR(B303="",C303=""),"",C303*IFERROR(INDEX(Articles!$D:$D,MATCH(B303,Articles!$B:$B,0)),0))</f>
        <v/>
      </c>
      <c r="I303" s="9" t="str">
        <f>IF(OR(E303="",H303=""),"",E303-H303)</f>
        <v/>
      </c>
      <c r="J303" s="4"/>
    </row>
    <row r="304">
      <c r="A304" s="7"/>
      <c r="B304" s="4"/>
      <c r="C304" s="6"/>
      <c r="D304" s="5" t="str">
        <f>IF(B304="","",IFERROR(INDEX(Articles!$E:$E,MATCH(B304,Articles!$B:$B,0)),""))</f>
        <v/>
      </c>
      <c r="E304" s="9" t="str">
        <f>IF(OR(C304="",D304=""),"",C304*D304)</f>
        <v/>
      </c>
      <c r="F304" s="4"/>
      <c r="G304" s="4"/>
      <c r="H304" s="9" t="str">
        <f>IF(OR(B304="",C304=""),"",C304*IFERROR(INDEX(Articles!$D:$D,MATCH(B304,Articles!$B:$B,0)),0))</f>
        <v/>
      </c>
      <c r="I304" s="9" t="str">
        <f>IF(OR(E304="",H304=""),"",E304-H304)</f>
        <v/>
      </c>
      <c r="J304" s="4"/>
    </row>
    <row r="305">
      <c r="A305" s="7"/>
      <c r="B305" s="4"/>
      <c r="C305" s="6"/>
      <c r="D305" s="5" t="str">
        <f>IF(B305="","",IFERROR(INDEX(Articles!$E:$E,MATCH(B305,Articles!$B:$B,0)),""))</f>
        <v/>
      </c>
      <c r="E305" s="9" t="str">
        <f>IF(OR(C305="",D305=""),"",C305*D305)</f>
        <v/>
      </c>
      <c r="F305" s="4"/>
      <c r="G305" s="4"/>
      <c r="H305" s="9" t="str">
        <f>IF(OR(B305="",C305=""),"",C305*IFERROR(INDEX(Articles!$D:$D,MATCH(B305,Articles!$B:$B,0)),0))</f>
        <v/>
      </c>
      <c r="I305" s="9" t="str">
        <f>IF(OR(E305="",H305=""),"",E305-H305)</f>
        <v/>
      </c>
      <c r="J305" s="4"/>
    </row>
    <row r="306">
      <c r="A306" s="7"/>
      <c r="B306" s="4"/>
      <c r="C306" s="6"/>
      <c r="D306" s="5" t="str">
        <f>IF(B306="","",IFERROR(INDEX(Articles!$E:$E,MATCH(B306,Articles!$B:$B,0)),""))</f>
        <v/>
      </c>
      <c r="E306" s="9" t="str">
        <f>IF(OR(C306="",D306=""),"",C306*D306)</f>
        <v/>
      </c>
      <c r="F306" s="4"/>
      <c r="G306" s="4"/>
      <c r="H306" s="9" t="str">
        <f>IF(OR(B306="",C306=""),"",C306*IFERROR(INDEX(Articles!$D:$D,MATCH(B306,Articles!$B:$B,0)),0))</f>
        <v/>
      </c>
      <c r="I306" s="9" t="str">
        <f>IF(OR(E306="",H306=""),"",E306-H306)</f>
        <v/>
      </c>
      <c r="J306" s="4"/>
    </row>
    <row r="307">
      <c r="A307" s="7"/>
      <c r="B307" s="4"/>
      <c r="C307" s="6"/>
      <c r="D307" s="5" t="str">
        <f>IF(B307="","",IFERROR(INDEX(Articles!$E:$E,MATCH(B307,Articles!$B:$B,0)),""))</f>
        <v/>
      </c>
      <c r="E307" s="9" t="str">
        <f>IF(OR(C307="",D307=""),"",C307*D307)</f>
        <v/>
      </c>
      <c r="F307" s="4"/>
      <c r="G307" s="4"/>
      <c r="H307" s="9" t="str">
        <f>IF(OR(B307="",C307=""),"",C307*IFERROR(INDEX(Articles!$D:$D,MATCH(B307,Articles!$B:$B,0)),0))</f>
        <v/>
      </c>
      <c r="I307" s="9" t="str">
        <f>IF(OR(E307="",H307=""),"",E307-H307)</f>
        <v/>
      </c>
      <c r="J307" s="4"/>
    </row>
    <row r="308">
      <c r="A308" s="7"/>
      <c r="B308" s="4"/>
      <c r="C308" s="6"/>
      <c r="D308" s="5" t="str">
        <f>IF(B308="","",IFERROR(INDEX(Articles!$E:$E,MATCH(B308,Articles!$B:$B,0)),""))</f>
        <v/>
      </c>
      <c r="E308" s="9" t="str">
        <f>IF(OR(C308="",D308=""),"",C308*D308)</f>
        <v/>
      </c>
      <c r="F308" s="4"/>
      <c r="G308" s="4"/>
      <c r="H308" s="9" t="str">
        <f>IF(OR(B308="",C308=""),"",C308*IFERROR(INDEX(Articles!$D:$D,MATCH(B308,Articles!$B:$B,0)),0))</f>
        <v/>
      </c>
      <c r="I308" s="9" t="str">
        <f>IF(OR(E308="",H308=""),"",E308-H308)</f>
        <v/>
      </c>
      <c r="J308" s="4"/>
    </row>
    <row r="309">
      <c r="A309" s="7"/>
      <c r="B309" s="4"/>
      <c r="C309" s="6"/>
      <c r="D309" s="5" t="str">
        <f>IF(B309="","",IFERROR(INDEX(Articles!$E:$E,MATCH(B309,Articles!$B:$B,0)),""))</f>
        <v/>
      </c>
      <c r="E309" s="9" t="str">
        <f>IF(OR(C309="",D309=""),"",C309*D309)</f>
        <v/>
      </c>
      <c r="F309" s="4"/>
      <c r="G309" s="4"/>
      <c r="H309" s="9" t="str">
        <f>IF(OR(B309="",C309=""),"",C309*IFERROR(INDEX(Articles!$D:$D,MATCH(B309,Articles!$B:$B,0)),0))</f>
        <v/>
      </c>
      <c r="I309" s="9" t="str">
        <f>IF(OR(E309="",H309=""),"",E309-H309)</f>
        <v/>
      </c>
      <c r="J309" s="4"/>
    </row>
    <row r="310">
      <c r="A310" s="7"/>
      <c r="B310" s="4"/>
      <c r="C310" s="6"/>
      <c r="D310" s="5" t="str">
        <f>IF(B310="","",IFERROR(INDEX(Articles!$E:$E,MATCH(B310,Articles!$B:$B,0)),""))</f>
        <v/>
      </c>
      <c r="E310" s="9" t="str">
        <f>IF(OR(C310="",D310=""),"",C310*D310)</f>
        <v/>
      </c>
      <c r="F310" s="4"/>
      <c r="G310" s="4"/>
      <c r="H310" s="9" t="str">
        <f>IF(OR(B310="",C310=""),"",C310*IFERROR(INDEX(Articles!$D:$D,MATCH(B310,Articles!$B:$B,0)),0))</f>
        <v/>
      </c>
      <c r="I310" s="9" t="str">
        <f>IF(OR(E310="",H310=""),"",E310-H310)</f>
        <v/>
      </c>
      <c r="J310" s="4"/>
    </row>
    <row r="311">
      <c r="A311" s="7"/>
      <c r="B311" s="4"/>
      <c r="C311" s="6"/>
      <c r="D311" s="5" t="str">
        <f>IF(B311="","",IFERROR(INDEX(Articles!$E:$E,MATCH(B311,Articles!$B:$B,0)),""))</f>
        <v/>
      </c>
      <c r="E311" s="9" t="str">
        <f>IF(OR(C311="",D311=""),"",C311*D311)</f>
        <v/>
      </c>
      <c r="F311" s="4"/>
      <c r="G311" s="4"/>
      <c r="H311" s="9" t="str">
        <f>IF(OR(B311="",C311=""),"",C311*IFERROR(INDEX(Articles!$D:$D,MATCH(B311,Articles!$B:$B,0)),0))</f>
        <v/>
      </c>
      <c r="I311" s="9" t="str">
        <f>IF(OR(E311="",H311=""),"",E311-H311)</f>
        <v/>
      </c>
      <c r="J311" s="4"/>
    </row>
    <row r="312">
      <c r="A312" s="7"/>
      <c r="B312" s="4"/>
      <c r="C312" s="6"/>
      <c r="D312" s="5" t="str">
        <f>IF(B312="","",IFERROR(INDEX(Articles!$E:$E,MATCH(B312,Articles!$B:$B,0)),""))</f>
        <v/>
      </c>
      <c r="E312" s="9" t="str">
        <f>IF(OR(C312="",D312=""),"",C312*D312)</f>
        <v/>
      </c>
      <c r="F312" s="4"/>
      <c r="G312" s="4"/>
      <c r="H312" s="9" t="str">
        <f>IF(OR(B312="",C312=""),"",C312*IFERROR(INDEX(Articles!$D:$D,MATCH(B312,Articles!$B:$B,0)),0))</f>
        <v/>
      </c>
      <c r="I312" s="9" t="str">
        <f>IF(OR(E312="",H312=""),"",E312-H312)</f>
        <v/>
      </c>
      <c r="J312" s="4"/>
    </row>
    <row r="313">
      <c r="A313" s="7"/>
      <c r="B313" s="4"/>
      <c r="C313" s="6"/>
      <c r="D313" s="5" t="str">
        <f>IF(B313="","",IFERROR(INDEX(Articles!$E:$E,MATCH(B313,Articles!$B:$B,0)),""))</f>
        <v/>
      </c>
      <c r="E313" s="9" t="str">
        <f>IF(OR(C313="",D313=""),"",C313*D313)</f>
        <v/>
      </c>
      <c r="F313" s="4"/>
      <c r="G313" s="4"/>
      <c r="H313" s="9" t="str">
        <f>IF(OR(B313="",C313=""),"",C313*IFERROR(INDEX(Articles!$D:$D,MATCH(B313,Articles!$B:$B,0)),0))</f>
        <v/>
      </c>
      <c r="I313" s="9" t="str">
        <f>IF(OR(E313="",H313=""),"",E313-H313)</f>
        <v/>
      </c>
      <c r="J313" s="4"/>
    </row>
    <row r="314">
      <c r="A314" s="7"/>
      <c r="B314" s="4"/>
      <c r="C314" s="6"/>
      <c r="D314" s="5" t="str">
        <f>IF(B314="","",IFERROR(INDEX(Articles!$E:$E,MATCH(B314,Articles!$B:$B,0)),""))</f>
        <v/>
      </c>
      <c r="E314" s="9" t="str">
        <f>IF(OR(C314="",D314=""),"",C314*D314)</f>
        <v/>
      </c>
      <c r="F314" s="4"/>
      <c r="G314" s="4"/>
      <c r="H314" s="9" t="str">
        <f>IF(OR(B314="",C314=""),"",C314*IFERROR(INDEX(Articles!$D:$D,MATCH(B314,Articles!$B:$B,0)),0))</f>
        <v/>
      </c>
      <c r="I314" s="9" t="str">
        <f>IF(OR(E314="",H314=""),"",E314-H314)</f>
        <v/>
      </c>
      <c r="J314" s="4"/>
    </row>
    <row r="315">
      <c r="A315" s="7"/>
      <c r="B315" s="4"/>
      <c r="C315" s="6"/>
      <c r="D315" s="5" t="str">
        <f>IF(B315="","",IFERROR(INDEX(Articles!$E:$E,MATCH(B315,Articles!$B:$B,0)),""))</f>
        <v/>
      </c>
      <c r="E315" s="9" t="str">
        <f>IF(OR(C315="",D315=""),"",C315*D315)</f>
        <v/>
      </c>
      <c r="F315" s="4"/>
      <c r="G315" s="4"/>
      <c r="H315" s="9" t="str">
        <f>IF(OR(B315="",C315=""),"",C315*IFERROR(INDEX(Articles!$D:$D,MATCH(B315,Articles!$B:$B,0)),0))</f>
        <v/>
      </c>
      <c r="I315" s="9" t="str">
        <f>IF(OR(E315="",H315=""),"",E315-H315)</f>
        <v/>
      </c>
      <c r="J315" s="4"/>
    </row>
    <row r="316">
      <c r="A316" s="7"/>
      <c r="B316" s="4"/>
      <c r="C316" s="6"/>
      <c r="D316" s="5" t="str">
        <f>IF(B316="","",IFERROR(INDEX(Articles!$E:$E,MATCH(B316,Articles!$B:$B,0)),""))</f>
        <v/>
      </c>
      <c r="E316" s="9" t="str">
        <f>IF(OR(C316="",D316=""),"",C316*D316)</f>
        <v/>
      </c>
      <c r="F316" s="4"/>
      <c r="G316" s="4"/>
      <c r="H316" s="9" t="str">
        <f>IF(OR(B316="",C316=""),"",C316*IFERROR(INDEX(Articles!$D:$D,MATCH(B316,Articles!$B:$B,0)),0))</f>
        <v/>
      </c>
      <c r="I316" s="9" t="str">
        <f>IF(OR(E316="",H316=""),"",E316-H316)</f>
        <v/>
      </c>
      <c r="J316" s="4"/>
    </row>
    <row r="317">
      <c r="A317" s="7"/>
      <c r="B317" s="4"/>
      <c r="C317" s="6"/>
      <c r="D317" s="5" t="str">
        <f>IF(B317="","",IFERROR(INDEX(Articles!$E:$E,MATCH(B317,Articles!$B:$B,0)),""))</f>
        <v/>
      </c>
      <c r="E317" s="9" t="str">
        <f>IF(OR(C317="",D317=""),"",C317*D317)</f>
        <v/>
      </c>
      <c r="F317" s="4"/>
      <c r="G317" s="4"/>
      <c r="H317" s="9" t="str">
        <f>IF(OR(B317="",C317=""),"",C317*IFERROR(INDEX(Articles!$D:$D,MATCH(B317,Articles!$B:$B,0)),0))</f>
        <v/>
      </c>
      <c r="I317" s="9" t="str">
        <f>IF(OR(E317="",H317=""),"",E317-H317)</f>
        <v/>
      </c>
      <c r="J317" s="4"/>
    </row>
    <row r="318">
      <c r="A318" s="7"/>
      <c r="B318" s="4"/>
      <c r="C318" s="6"/>
      <c r="D318" s="5" t="str">
        <f>IF(B318="","",IFERROR(INDEX(Articles!$E:$E,MATCH(B318,Articles!$B:$B,0)),""))</f>
        <v/>
      </c>
      <c r="E318" s="9" t="str">
        <f>IF(OR(C318="",D318=""),"",C318*D318)</f>
        <v/>
      </c>
      <c r="F318" s="4"/>
      <c r="G318" s="4"/>
      <c r="H318" s="9" t="str">
        <f>IF(OR(B318="",C318=""),"",C318*IFERROR(INDEX(Articles!$D:$D,MATCH(B318,Articles!$B:$B,0)),0))</f>
        <v/>
      </c>
      <c r="I318" s="9" t="str">
        <f>IF(OR(E318="",H318=""),"",E318-H318)</f>
        <v/>
      </c>
      <c r="J318" s="4"/>
    </row>
    <row r="319">
      <c r="A319" s="7"/>
      <c r="B319" s="4"/>
      <c r="C319" s="6"/>
      <c r="D319" s="5" t="str">
        <f>IF(B319="","",IFERROR(INDEX(Articles!$E:$E,MATCH(B319,Articles!$B:$B,0)),""))</f>
        <v/>
      </c>
      <c r="E319" s="9" t="str">
        <f>IF(OR(C319="",D319=""),"",C319*D319)</f>
        <v/>
      </c>
      <c r="F319" s="4"/>
      <c r="G319" s="4"/>
      <c r="H319" s="9" t="str">
        <f>IF(OR(B319="",C319=""),"",C319*IFERROR(INDEX(Articles!$D:$D,MATCH(B319,Articles!$B:$B,0)),0))</f>
        <v/>
      </c>
      <c r="I319" s="9" t="str">
        <f>IF(OR(E319="",H319=""),"",E319-H319)</f>
        <v/>
      </c>
      <c r="J319" s="4"/>
    </row>
    <row r="320">
      <c r="A320" s="7"/>
      <c r="B320" s="4"/>
      <c r="C320" s="6"/>
      <c r="D320" s="5" t="str">
        <f>IF(B320="","",IFERROR(INDEX(Articles!$E:$E,MATCH(B320,Articles!$B:$B,0)),""))</f>
        <v/>
      </c>
      <c r="E320" s="9" t="str">
        <f>IF(OR(C320="",D320=""),"",C320*D320)</f>
        <v/>
      </c>
      <c r="F320" s="4"/>
      <c r="G320" s="4"/>
      <c r="H320" s="9" t="str">
        <f>IF(OR(B320="",C320=""),"",C320*IFERROR(INDEX(Articles!$D:$D,MATCH(B320,Articles!$B:$B,0)),0))</f>
        <v/>
      </c>
      <c r="I320" s="9" t="str">
        <f>IF(OR(E320="",H320=""),"",E320-H320)</f>
        <v/>
      </c>
      <c r="J320" s="4"/>
    </row>
    <row r="321">
      <c r="A321" s="7"/>
      <c r="B321" s="4"/>
      <c r="C321" s="6"/>
      <c r="D321" s="5" t="str">
        <f>IF(B321="","",IFERROR(INDEX(Articles!$E:$E,MATCH(B321,Articles!$B:$B,0)),""))</f>
        <v/>
      </c>
      <c r="E321" s="9" t="str">
        <f>IF(OR(C321="",D321=""),"",C321*D321)</f>
        <v/>
      </c>
      <c r="F321" s="4"/>
      <c r="G321" s="4"/>
      <c r="H321" s="9" t="str">
        <f>IF(OR(B321="",C321=""),"",C321*IFERROR(INDEX(Articles!$D:$D,MATCH(B321,Articles!$B:$B,0)),0))</f>
        <v/>
      </c>
      <c r="I321" s="9" t="str">
        <f>IF(OR(E321="",H321=""),"",E321-H321)</f>
        <v/>
      </c>
      <c r="J321" s="4"/>
    </row>
    <row r="322">
      <c r="A322" s="7"/>
      <c r="B322" s="4"/>
      <c r="C322" s="6"/>
      <c r="D322" s="5" t="str">
        <f>IF(B322="","",IFERROR(INDEX(Articles!$E:$E,MATCH(B322,Articles!$B:$B,0)),""))</f>
        <v/>
      </c>
      <c r="E322" s="9" t="str">
        <f>IF(OR(C322="",D322=""),"",C322*D322)</f>
        <v/>
      </c>
      <c r="F322" s="4"/>
      <c r="G322" s="4"/>
      <c r="H322" s="9" t="str">
        <f>IF(OR(B322="",C322=""),"",C322*IFERROR(INDEX(Articles!$D:$D,MATCH(B322,Articles!$B:$B,0)),0))</f>
        <v/>
      </c>
      <c r="I322" s="9" t="str">
        <f>IF(OR(E322="",H322=""),"",E322-H322)</f>
        <v/>
      </c>
      <c r="J322" s="4"/>
    </row>
    <row r="323">
      <c r="A323" s="7"/>
      <c r="B323" s="4"/>
      <c r="C323" s="6"/>
      <c r="D323" s="5" t="str">
        <f>IF(B323="","",IFERROR(INDEX(Articles!$E:$E,MATCH(B323,Articles!$B:$B,0)),""))</f>
        <v/>
      </c>
      <c r="E323" s="9" t="str">
        <f>IF(OR(C323="",D323=""),"",C323*D323)</f>
        <v/>
      </c>
      <c r="F323" s="4"/>
      <c r="G323" s="4"/>
      <c r="H323" s="9" t="str">
        <f>IF(OR(B323="",C323=""),"",C323*IFERROR(INDEX(Articles!$D:$D,MATCH(B323,Articles!$B:$B,0)),0))</f>
        <v/>
      </c>
      <c r="I323" s="9" t="str">
        <f>IF(OR(E323="",H323=""),"",E323-H323)</f>
        <v/>
      </c>
      <c r="J323" s="4"/>
    </row>
    <row r="324">
      <c r="A324" s="7"/>
      <c r="B324" s="4"/>
      <c r="C324" s="6"/>
      <c r="D324" s="5" t="str">
        <f>IF(B324="","",IFERROR(INDEX(Articles!$E:$E,MATCH(B324,Articles!$B:$B,0)),""))</f>
        <v/>
      </c>
      <c r="E324" s="9" t="str">
        <f>IF(OR(C324="",D324=""),"",C324*D324)</f>
        <v/>
      </c>
      <c r="F324" s="4"/>
      <c r="G324" s="4"/>
      <c r="H324" s="9" t="str">
        <f>IF(OR(B324="",C324=""),"",C324*IFERROR(INDEX(Articles!$D:$D,MATCH(B324,Articles!$B:$B,0)),0))</f>
        <v/>
      </c>
      <c r="I324" s="9" t="str">
        <f>IF(OR(E324="",H324=""),"",E324-H324)</f>
        <v/>
      </c>
      <c r="J324" s="4"/>
    </row>
    <row r="325">
      <c r="A325" s="7"/>
      <c r="B325" s="4"/>
      <c r="C325" s="6"/>
      <c r="D325" s="5" t="str">
        <f>IF(B325="","",IFERROR(INDEX(Articles!$E:$E,MATCH(B325,Articles!$B:$B,0)),""))</f>
        <v/>
      </c>
      <c r="E325" s="9" t="str">
        <f>IF(OR(C325="",D325=""),"",C325*D325)</f>
        <v/>
      </c>
      <c r="F325" s="4"/>
      <c r="G325" s="4"/>
      <c r="H325" s="9" t="str">
        <f>IF(OR(B325="",C325=""),"",C325*IFERROR(INDEX(Articles!$D:$D,MATCH(B325,Articles!$B:$B,0)),0))</f>
        <v/>
      </c>
      <c r="I325" s="9" t="str">
        <f>IF(OR(E325="",H325=""),"",E325-H325)</f>
        <v/>
      </c>
      <c r="J325" s="4"/>
    </row>
    <row r="326">
      <c r="A326" s="7"/>
      <c r="B326" s="4"/>
      <c r="C326" s="6"/>
      <c r="D326" s="5" t="str">
        <f>IF(B326="","",IFERROR(INDEX(Articles!$E:$E,MATCH(B326,Articles!$B:$B,0)),""))</f>
        <v/>
      </c>
      <c r="E326" s="9" t="str">
        <f>IF(OR(C326="",D326=""),"",C326*D326)</f>
        <v/>
      </c>
      <c r="F326" s="4"/>
      <c r="G326" s="4"/>
      <c r="H326" s="9" t="str">
        <f>IF(OR(B326="",C326=""),"",C326*IFERROR(INDEX(Articles!$D:$D,MATCH(B326,Articles!$B:$B,0)),0))</f>
        <v/>
      </c>
      <c r="I326" s="9" t="str">
        <f>IF(OR(E326="",H326=""),"",E326-H326)</f>
        <v/>
      </c>
      <c r="J326" s="4"/>
    </row>
    <row r="327">
      <c r="A327" s="7"/>
      <c r="B327" s="4"/>
      <c r="C327" s="6"/>
      <c r="D327" s="5" t="str">
        <f>IF(B327="","",IFERROR(INDEX(Articles!$E:$E,MATCH(B327,Articles!$B:$B,0)),""))</f>
        <v/>
      </c>
      <c r="E327" s="9" t="str">
        <f>IF(OR(C327="",D327=""),"",C327*D327)</f>
        <v/>
      </c>
      <c r="F327" s="4"/>
      <c r="G327" s="4"/>
      <c r="H327" s="9" t="str">
        <f>IF(OR(B327="",C327=""),"",C327*IFERROR(INDEX(Articles!$D:$D,MATCH(B327,Articles!$B:$B,0)),0))</f>
        <v/>
      </c>
      <c r="I327" s="9" t="str">
        <f>IF(OR(E327="",H327=""),"",E327-H327)</f>
        <v/>
      </c>
      <c r="J327" s="4"/>
    </row>
    <row r="328">
      <c r="A328" s="7"/>
      <c r="B328" s="4"/>
      <c r="C328" s="6"/>
      <c r="D328" s="5" t="str">
        <f>IF(B328="","",IFERROR(INDEX(Articles!$E:$E,MATCH(B328,Articles!$B:$B,0)),""))</f>
        <v/>
      </c>
      <c r="E328" s="9" t="str">
        <f>IF(OR(C328="",D328=""),"",C328*D328)</f>
        <v/>
      </c>
      <c r="F328" s="4"/>
      <c r="G328" s="4"/>
      <c r="H328" s="9" t="str">
        <f>IF(OR(B328="",C328=""),"",C328*IFERROR(INDEX(Articles!$D:$D,MATCH(B328,Articles!$B:$B,0)),0))</f>
        <v/>
      </c>
      <c r="I328" s="9" t="str">
        <f>IF(OR(E328="",H328=""),"",E328-H328)</f>
        <v/>
      </c>
      <c r="J328" s="4"/>
    </row>
    <row r="329">
      <c r="A329" s="7"/>
      <c r="B329" s="4"/>
      <c r="C329" s="6"/>
      <c r="D329" s="5" t="str">
        <f>IF(B329="","",IFERROR(INDEX(Articles!$E:$E,MATCH(B329,Articles!$B:$B,0)),""))</f>
        <v/>
      </c>
      <c r="E329" s="9" t="str">
        <f>IF(OR(C329="",D329=""),"",C329*D329)</f>
        <v/>
      </c>
      <c r="F329" s="4"/>
      <c r="G329" s="4"/>
      <c r="H329" s="9" t="str">
        <f>IF(OR(B329="",C329=""),"",C329*IFERROR(INDEX(Articles!$D:$D,MATCH(B329,Articles!$B:$B,0)),0))</f>
        <v/>
      </c>
      <c r="I329" s="9" t="str">
        <f>IF(OR(E329="",H329=""),"",E329-H329)</f>
        <v/>
      </c>
      <c r="J329" s="4"/>
    </row>
    <row r="330">
      <c r="A330" s="7"/>
      <c r="B330" s="4"/>
      <c r="C330" s="6"/>
      <c r="D330" s="5" t="str">
        <f>IF(B330="","",IFERROR(INDEX(Articles!$E:$E,MATCH(B330,Articles!$B:$B,0)),""))</f>
        <v/>
      </c>
      <c r="E330" s="9" t="str">
        <f>IF(OR(C330="",D330=""),"",C330*D330)</f>
        <v/>
      </c>
      <c r="F330" s="4"/>
      <c r="G330" s="4"/>
      <c r="H330" s="9" t="str">
        <f>IF(OR(B330="",C330=""),"",C330*IFERROR(INDEX(Articles!$D:$D,MATCH(B330,Articles!$B:$B,0)),0))</f>
        <v/>
      </c>
      <c r="I330" s="9" t="str">
        <f>IF(OR(E330="",H330=""),"",E330-H330)</f>
        <v/>
      </c>
      <c r="J330" s="4"/>
    </row>
    <row r="331">
      <c r="A331" s="7"/>
      <c r="B331" s="4"/>
      <c r="C331" s="6"/>
      <c r="D331" s="5" t="str">
        <f>IF(B331="","",IFERROR(INDEX(Articles!$E:$E,MATCH(B331,Articles!$B:$B,0)),""))</f>
        <v/>
      </c>
      <c r="E331" s="9" t="str">
        <f>IF(OR(C331="",D331=""),"",C331*D331)</f>
        <v/>
      </c>
      <c r="F331" s="4"/>
      <c r="G331" s="4"/>
      <c r="H331" s="9" t="str">
        <f>IF(OR(B331="",C331=""),"",C331*IFERROR(INDEX(Articles!$D:$D,MATCH(B331,Articles!$B:$B,0)),0))</f>
        <v/>
      </c>
      <c r="I331" s="9" t="str">
        <f>IF(OR(E331="",H331=""),"",E331-H331)</f>
        <v/>
      </c>
      <c r="J331" s="4"/>
    </row>
    <row r="332">
      <c r="A332" s="7"/>
      <c r="B332" s="4"/>
      <c r="C332" s="6"/>
      <c r="D332" s="5" t="str">
        <f>IF(B332="","",IFERROR(INDEX(Articles!$E:$E,MATCH(B332,Articles!$B:$B,0)),""))</f>
        <v/>
      </c>
      <c r="E332" s="9" t="str">
        <f>IF(OR(C332="",D332=""),"",C332*D332)</f>
        <v/>
      </c>
      <c r="F332" s="4"/>
      <c r="G332" s="4"/>
      <c r="H332" s="9" t="str">
        <f>IF(OR(B332="",C332=""),"",C332*IFERROR(INDEX(Articles!$D:$D,MATCH(B332,Articles!$B:$B,0)),0))</f>
        <v/>
      </c>
      <c r="I332" s="9" t="str">
        <f>IF(OR(E332="",H332=""),"",E332-H332)</f>
        <v/>
      </c>
      <c r="J332" s="4"/>
    </row>
    <row r="333">
      <c r="A333" s="7"/>
      <c r="B333" s="4"/>
      <c r="C333" s="6"/>
      <c r="D333" s="5" t="str">
        <f>IF(B333="","",IFERROR(INDEX(Articles!$E:$E,MATCH(B333,Articles!$B:$B,0)),""))</f>
        <v/>
      </c>
      <c r="E333" s="9" t="str">
        <f>IF(OR(C333="",D333=""),"",C333*D333)</f>
        <v/>
      </c>
      <c r="F333" s="4"/>
      <c r="G333" s="4"/>
      <c r="H333" s="9" t="str">
        <f>IF(OR(B333="",C333=""),"",C333*IFERROR(INDEX(Articles!$D:$D,MATCH(B333,Articles!$B:$B,0)),0))</f>
        <v/>
      </c>
      <c r="I333" s="9" t="str">
        <f>IF(OR(E333="",H333=""),"",E333-H333)</f>
        <v/>
      </c>
      <c r="J333" s="4"/>
    </row>
    <row r="334">
      <c r="A334" s="7"/>
      <c r="B334" s="4"/>
      <c r="C334" s="6"/>
      <c r="D334" s="5" t="str">
        <f>IF(B334="","",IFERROR(INDEX(Articles!$E:$E,MATCH(B334,Articles!$B:$B,0)),""))</f>
        <v/>
      </c>
      <c r="E334" s="9" t="str">
        <f>IF(OR(C334="",D334=""),"",C334*D334)</f>
        <v/>
      </c>
      <c r="F334" s="4"/>
      <c r="G334" s="4"/>
      <c r="H334" s="9" t="str">
        <f>IF(OR(B334="",C334=""),"",C334*IFERROR(INDEX(Articles!$D:$D,MATCH(B334,Articles!$B:$B,0)),0))</f>
        <v/>
      </c>
      <c r="I334" s="9" t="str">
        <f>IF(OR(E334="",H334=""),"",E334-H334)</f>
        <v/>
      </c>
      <c r="J334" s="4"/>
    </row>
    <row r="335">
      <c r="A335" s="7"/>
      <c r="B335" s="4"/>
      <c r="C335" s="6"/>
      <c r="D335" s="5" t="str">
        <f>IF(B335="","",IFERROR(INDEX(Articles!$E:$E,MATCH(B335,Articles!$B:$B,0)),""))</f>
        <v/>
      </c>
      <c r="E335" s="9" t="str">
        <f>IF(OR(C335="",D335=""),"",C335*D335)</f>
        <v/>
      </c>
      <c r="F335" s="4"/>
      <c r="G335" s="4"/>
      <c r="H335" s="9" t="str">
        <f>IF(OR(B335="",C335=""),"",C335*IFERROR(INDEX(Articles!$D:$D,MATCH(B335,Articles!$B:$B,0)),0))</f>
        <v/>
      </c>
      <c r="I335" s="9" t="str">
        <f>IF(OR(E335="",H335=""),"",E335-H335)</f>
        <v/>
      </c>
      <c r="J335" s="4"/>
    </row>
    <row r="336">
      <c r="A336" s="7"/>
      <c r="B336" s="4"/>
      <c r="C336" s="6"/>
      <c r="D336" s="5" t="str">
        <f>IF(B336="","",IFERROR(INDEX(Articles!$E:$E,MATCH(B336,Articles!$B:$B,0)),""))</f>
        <v/>
      </c>
      <c r="E336" s="9" t="str">
        <f>IF(OR(C336="",D336=""),"",C336*D336)</f>
        <v/>
      </c>
      <c r="F336" s="4"/>
      <c r="G336" s="4"/>
      <c r="H336" s="9" t="str">
        <f>IF(OR(B336="",C336=""),"",C336*IFERROR(INDEX(Articles!$D:$D,MATCH(B336,Articles!$B:$B,0)),0))</f>
        <v/>
      </c>
      <c r="I336" s="9" t="str">
        <f>IF(OR(E336="",H336=""),"",E336-H336)</f>
        <v/>
      </c>
      <c r="J336" s="4"/>
    </row>
    <row r="337">
      <c r="A337" s="7"/>
      <c r="B337" s="4"/>
      <c r="C337" s="6"/>
      <c r="D337" s="5" t="str">
        <f>IF(B337="","",IFERROR(INDEX(Articles!$E:$E,MATCH(B337,Articles!$B:$B,0)),""))</f>
        <v/>
      </c>
      <c r="E337" s="9" t="str">
        <f>IF(OR(C337="",D337=""),"",C337*D337)</f>
        <v/>
      </c>
      <c r="F337" s="4"/>
      <c r="G337" s="4"/>
      <c r="H337" s="9" t="str">
        <f>IF(OR(B337="",C337=""),"",C337*IFERROR(INDEX(Articles!$D:$D,MATCH(B337,Articles!$B:$B,0)),0))</f>
        <v/>
      </c>
      <c r="I337" s="9" t="str">
        <f>IF(OR(E337="",H337=""),"",E337-H337)</f>
        <v/>
      </c>
      <c r="J337" s="4"/>
    </row>
    <row r="338">
      <c r="A338" s="7"/>
      <c r="B338" s="4"/>
      <c r="C338" s="6"/>
      <c r="D338" s="5" t="str">
        <f>IF(B338="","",IFERROR(INDEX(Articles!$E:$E,MATCH(B338,Articles!$B:$B,0)),""))</f>
        <v/>
      </c>
      <c r="E338" s="9" t="str">
        <f>IF(OR(C338="",D338=""),"",C338*D338)</f>
        <v/>
      </c>
      <c r="F338" s="4"/>
      <c r="G338" s="4"/>
      <c r="H338" s="9" t="str">
        <f>IF(OR(B338="",C338=""),"",C338*IFERROR(INDEX(Articles!$D:$D,MATCH(B338,Articles!$B:$B,0)),0))</f>
        <v/>
      </c>
      <c r="I338" s="9" t="str">
        <f>IF(OR(E338="",H338=""),"",E338-H338)</f>
        <v/>
      </c>
      <c r="J338" s="4"/>
    </row>
    <row r="339">
      <c r="A339" s="7"/>
      <c r="B339" s="4"/>
      <c r="C339" s="6"/>
      <c r="D339" s="5" t="str">
        <f>IF(B339="","",IFERROR(INDEX(Articles!$E:$E,MATCH(B339,Articles!$B:$B,0)),""))</f>
        <v/>
      </c>
      <c r="E339" s="9" t="str">
        <f>IF(OR(C339="",D339=""),"",C339*D339)</f>
        <v/>
      </c>
      <c r="F339" s="4"/>
      <c r="G339" s="4"/>
      <c r="H339" s="9" t="str">
        <f>IF(OR(B339="",C339=""),"",C339*IFERROR(INDEX(Articles!$D:$D,MATCH(B339,Articles!$B:$B,0)),0))</f>
        <v/>
      </c>
      <c r="I339" s="9" t="str">
        <f>IF(OR(E339="",H339=""),"",E339-H339)</f>
        <v/>
      </c>
      <c r="J339" s="4"/>
    </row>
    <row r="340">
      <c r="A340" s="7"/>
      <c r="B340" s="4"/>
      <c r="C340" s="6"/>
      <c r="D340" s="5" t="str">
        <f>IF(B340="","",IFERROR(INDEX(Articles!$E:$E,MATCH(B340,Articles!$B:$B,0)),""))</f>
        <v/>
      </c>
      <c r="E340" s="9" t="str">
        <f>IF(OR(C340="",D340=""),"",C340*D340)</f>
        <v/>
      </c>
      <c r="F340" s="4"/>
      <c r="G340" s="4"/>
      <c r="H340" s="9" t="str">
        <f>IF(OR(B340="",C340=""),"",C340*IFERROR(INDEX(Articles!$D:$D,MATCH(B340,Articles!$B:$B,0)),0))</f>
        <v/>
      </c>
      <c r="I340" s="9" t="str">
        <f>IF(OR(E340="",H340=""),"",E340-H340)</f>
        <v/>
      </c>
      <c r="J340" s="4"/>
    </row>
    <row r="341">
      <c r="A341" s="7"/>
      <c r="B341" s="4"/>
      <c r="C341" s="6"/>
      <c r="D341" s="5" t="str">
        <f>IF(B341="","",IFERROR(INDEX(Articles!$E:$E,MATCH(B341,Articles!$B:$B,0)),""))</f>
        <v/>
      </c>
      <c r="E341" s="9" t="str">
        <f>IF(OR(C341="",D341=""),"",C341*D341)</f>
        <v/>
      </c>
      <c r="F341" s="4"/>
      <c r="G341" s="4"/>
      <c r="H341" s="9" t="str">
        <f>IF(OR(B341="",C341=""),"",C341*IFERROR(INDEX(Articles!$D:$D,MATCH(B341,Articles!$B:$B,0)),0))</f>
        <v/>
      </c>
      <c r="I341" s="9" t="str">
        <f>IF(OR(E341="",H341=""),"",E341-H341)</f>
        <v/>
      </c>
      <c r="J341" s="4"/>
    </row>
    <row r="342">
      <c r="A342" s="7"/>
      <c r="B342" s="4"/>
      <c r="C342" s="6"/>
      <c r="D342" s="5" t="str">
        <f>IF(B342="","",IFERROR(INDEX(Articles!$E:$E,MATCH(B342,Articles!$B:$B,0)),""))</f>
        <v/>
      </c>
      <c r="E342" s="9" t="str">
        <f>IF(OR(C342="",D342=""),"",C342*D342)</f>
        <v/>
      </c>
      <c r="F342" s="4"/>
      <c r="G342" s="4"/>
      <c r="H342" s="9" t="str">
        <f>IF(OR(B342="",C342=""),"",C342*IFERROR(INDEX(Articles!$D:$D,MATCH(B342,Articles!$B:$B,0)),0))</f>
        <v/>
      </c>
      <c r="I342" s="9" t="str">
        <f>IF(OR(E342="",H342=""),"",E342-H342)</f>
        <v/>
      </c>
      <c r="J342" s="4"/>
    </row>
    <row r="343">
      <c r="A343" s="7"/>
      <c r="B343" s="4"/>
      <c r="C343" s="6"/>
      <c r="D343" s="5" t="str">
        <f>IF(B343="","",IFERROR(INDEX(Articles!$E:$E,MATCH(B343,Articles!$B:$B,0)),""))</f>
        <v/>
      </c>
      <c r="E343" s="9" t="str">
        <f>IF(OR(C343="",D343=""),"",C343*D343)</f>
        <v/>
      </c>
      <c r="F343" s="4"/>
      <c r="G343" s="4"/>
      <c r="H343" s="9" t="str">
        <f>IF(OR(B343="",C343=""),"",C343*IFERROR(INDEX(Articles!$D:$D,MATCH(B343,Articles!$B:$B,0)),0))</f>
        <v/>
      </c>
      <c r="I343" s="9" t="str">
        <f>IF(OR(E343="",H343=""),"",E343-H343)</f>
        <v/>
      </c>
      <c r="J343" s="4"/>
    </row>
    <row r="344">
      <c r="A344" s="7"/>
      <c r="B344" s="4"/>
      <c r="C344" s="6"/>
      <c r="D344" s="5" t="str">
        <f>IF(B344="","",IFERROR(INDEX(Articles!$E:$E,MATCH(B344,Articles!$B:$B,0)),""))</f>
        <v/>
      </c>
      <c r="E344" s="9" t="str">
        <f>IF(OR(C344="",D344=""),"",C344*D344)</f>
        <v/>
      </c>
      <c r="F344" s="4"/>
      <c r="G344" s="4"/>
      <c r="H344" s="9" t="str">
        <f>IF(OR(B344="",C344=""),"",C344*IFERROR(INDEX(Articles!$D:$D,MATCH(B344,Articles!$B:$B,0)),0))</f>
        <v/>
      </c>
      <c r="I344" s="9" t="str">
        <f>IF(OR(E344="",H344=""),"",E344-H344)</f>
        <v/>
      </c>
      <c r="J344" s="4"/>
    </row>
    <row r="345">
      <c r="A345" s="7"/>
      <c r="B345" s="4"/>
      <c r="C345" s="6"/>
      <c r="D345" s="5" t="str">
        <f>IF(B345="","",IFERROR(INDEX(Articles!$E:$E,MATCH(B345,Articles!$B:$B,0)),""))</f>
        <v/>
      </c>
      <c r="E345" s="9" t="str">
        <f>IF(OR(C345="",D345=""),"",C345*D345)</f>
        <v/>
      </c>
      <c r="F345" s="4"/>
      <c r="G345" s="4"/>
      <c r="H345" s="9" t="str">
        <f>IF(OR(B345="",C345=""),"",C345*IFERROR(INDEX(Articles!$D:$D,MATCH(B345,Articles!$B:$B,0)),0))</f>
        <v/>
      </c>
      <c r="I345" s="9" t="str">
        <f>IF(OR(E345="",H345=""),"",E345-H345)</f>
        <v/>
      </c>
      <c r="J345" s="4"/>
    </row>
    <row r="346">
      <c r="A346" s="7"/>
      <c r="B346" s="4"/>
      <c r="C346" s="6"/>
      <c r="D346" s="5" t="str">
        <f>IF(B346="","",IFERROR(INDEX(Articles!$E:$E,MATCH(B346,Articles!$B:$B,0)),""))</f>
        <v/>
      </c>
      <c r="E346" s="9" t="str">
        <f>IF(OR(C346="",D346=""),"",C346*D346)</f>
        <v/>
      </c>
      <c r="F346" s="4"/>
      <c r="G346" s="4"/>
      <c r="H346" s="9" t="str">
        <f>IF(OR(B346="",C346=""),"",C346*IFERROR(INDEX(Articles!$D:$D,MATCH(B346,Articles!$B:$B,0)),0))</f>
        <v/>
      </c>
      <c r="I346" s="9" t="str">
        <f>IF(OR(E346="",H346=""),"",E346-H346)</f>
        <v/>
      </c>
      <c r="J346" s="4"/>
    </row>
    <row r="347">
      <c r="A347" s="7"/>
      <c r="B347" s="4"/>
      <c r="C347" s="6"/>
      <c r="D347" s="5" t="str">
        <f>IF(B347="","",IFERROR(INDEX(Articles!$E:$E,MATCH(B347,Articles!$B:$B,0)),""))</f>
        <v/>
      </c>
      <c r="E347" s="9" t="str">
        <f>IF(OR(C347="",D347=""),"",C347*D347)</f>
        <v/>
      </c>
      <c r="F347" s="4"/>
      <c r="G347" s="4"/>
      <c r="H347" s="9" t="str">
        <f>IF(OR(B347="",C347=""),"",C347*IFERROR(INDEX(Articles!$D:$D,MATCH(B347,Articles!$B:$B,0)),0))</f>
        <v/>
      </c>
      <c r="I347" s="9" t="str">
        <f>IF(OR(E347="",H347=""),"",E347-H347)</f>
        <v/>
      </c>
      <c r="J347" s="4"/>
    </row>
    <row r="348">
      <c r="A348" s="7"/>
      <c r="B348" s="4"/>
      <c r="C348" s="6"/>
      <c r="D348" s="5" t="str">
        <f>IF(B348="","",IFERROR(INDEX(Articles!$E:$E,MATCH(B348,Articles!$B:$B,0)),""))</f>
        <v/>
      </c>
      <c r="E348" s="9" t="str">
        <f>IF(OR(C348="",D348=""),"",C348*D348)</f>
        <v/>
      </c>
      <c r="F348" s="4"/>
      <c r="G348" s="4"/>
      <c r="H348" s="9" t="str">
        <f>IF(OR(B348="",C348=""),"",C348*IFERROR(INDEX(Articles!$D:$D,MATCH(B348,Articles!$B:$B,0)),0))</f>
        <v/>
      </c>
      <c r="I348" s="9" t="str">
        <f>IF(OR(E348="",H348=""),"",E348-H348)</f>
        <v/>
      </c>
      <c r="J348" s="4"/>
    </row>
    <row r="349">
      <c r="A349" s="7"/>
      <c r="B349" s="4"/>
      <c r="C349" s="6"/>
      <c r="D349" s="5" t="str">
        <f>IF(B349="","",IFERROR(INDEX(Articles!$E:$E,MATCH(B349,Articles!$B:$B,0)),""))</f>
        <v/>
      </c>
      <c r="E349" s="9" t="str">
        <f>IF(OR(C349="",D349=""),"",C349*D349)</f>
        <v/>
      </c>
      <c r="F349" s="4"/>
      <c r="G349" s="4"/>
      <c r="H349" s="9" t="str">
        <f>IF(OR(B349="",C349=""),"",C349*IFERROR(INDEX(Articles!$D:$D,MATCH(B349,Articles!$B:$B,0)),0))</f>
        <v/>
      </c>
      <c r="I349" s="9" t="str">
        <f>IF(OR(E349="",H349=""),"",E349-H349)</f>
        <v/>
      </c>
      <c r="J349" s="4"/>
    </row>
    <row r="350">
      <c r="A350" s="7"/>
      <c r="B350" s="4"/>
      <c r="C350" s="6"/>
      <c r="D350" s="5" t="str">
        <f>IF(B350="","",IFERROR(INDEX(Articles!$E:$E,MATCH(B350,Articles!$B:$B,0)),""))</f>
        <v/>
      </c>
      <c r="E350" s="9" t="str">
        <f>IF(OR(C350="",D350=""),"",C350*D350)</f>
        <v/>
      </c>
      <c r="F350" s="4"/>
      <c r="G350" s="4"/>
      <c r="H350" s="9" t="str">
        <f>IF(OR(B350="",C350=""),"",C350*IFERROR(INDEX(Articles!$D:$D,MATCH(B350,Articles!$B:$B,0)),0))</f>
        <v/>
      </c>
      <c r="I350" s="9" t="str">
        <f>IF(OR(E350="",H350=""),"",E350-H350)</f>
        <v/>
      </c>
      <c r="J350" s="4"/>
    </row>
    <row r="351">
      <c r="A351" s="7"/>
      <c r="B351" s="4"/>
      <c r="C351" s="6"/>
      <c r="D351" s="5" t="str">
        <f>IF(B351="","",IFERROR(INDEX(Articles!$E:$E,MATCH(B351,Articles!$B:$B,0)),""))</f>
        <v/>
      </c>
      <c r="E351" s="9" t="str">
        <f>IF(OR(C351="",D351=""),"",C351*D351)</f>
        <v/>
      </c>
      <c r="F351" s="4"/>
      <c r="G351" s="4"/>
      <c r="H351" s="9" t="str">
        <f>IF(OR(B351="",C351=""),"",C351*IFERROR(INDEX(Articles!$D:$D,MATCH(B351,Articles!$B:$B,0)),0))</f>
        <v/>
      </c>
      <c r="I351" s="9" t="str">
        <f>IF(OR(E351="",H351=""),"",E351-H351)</f>
        <v/>
      </c>
      <c r="J351" s="4"/>
    </row>
    <row r="352">
      <c r="A352" s="7"/>
      <c r="B352" s="4"/>
      <c r="C352" s="6"/>
      <c r="D352" s="5" t="str">
        <f>IF(B352="","",IFERROR(INDEX(Articles!$E:$E,MATCH(B352,Articles!$B:$B,0)),""))</f>
        <v/>
      </c>
      <c r="E352" s="9" t="str">
        <f>IF(OR(C352="",D352=""),"",C352*D352)</f>
        <v/>
      </c>
      <c r="F352" s="4"/>
      <c r="G352" s="4"/>
      <c r="H352" s="9" t="str">
        <f>IF(OR(B352="",C352=""),"",C352*IFERROR(INDEX(Articles!$D:$D,MATCH(B352,Articles!$B:$B,0)),0))</f>
        <v/>
      </c>
      <c r="I352" s="9" t="str">
        <f>IF(OR(E352="",H352=""),"",E352-H352)</f>
        <v/>
      </c>
      <c r="J352" s="4"/>
    </row>
    <row r="353">
      <c r="A353" s="7"/>
      <c r="B353" s="4"/>
      <c r="C353" s="6"/>
      <c r="D353" s="5" t="str">
        <f>IF(B353="","",IFERROR(INDEX(Articles!$E:$E,MATCH(B353,Articles!$B:$B,0)),""))</f>
        <v/>
      </c>
      <c r="E353" s="9" t="str">
        <f>IF(OR(C353="",D353=""),"",C353*D353)</f>
        <v/>
      </c>
      <c r="F353" s="4"/>
      <c r="G353" s="4"/>
      <c r="H353" s="9" t="str">
        <f>IF(OR(B353="",C353=""),"",C353*IFERROR(INDEX(Articles!$D:$D,MATCH(B353,Articles!$B:$B,0)),0))</f>
        <v/>
      </c>
      <c r="I353" s="9" t="str">
        <f>IF(OR(E353="",H353=""),"",E353-H353)</f>
        <v/>
      </c>
      <c r="J353" s="4"/>
    </row>
    <row r="354">
      <c r="A354" s="7"/>
      <c r="B354" s="4"/>
      <c r="C354" s="6"/>
      <c r="D354" s="5" t="str">
        <f>IF(B354="","",IFERROR(INDEX(Articles!$E:$E,MATCH(B354,Articles!$B:$B,0)),""))</f>
        <v/>
      </c>
      <c r="E354" s="9" t="str">
        <f>IF(OR(C354="",D354=""),"",C354*D354)</f>
        <v/>
      </c>
      <c r="F354" s="4"/>
      <c r="G354" s="4"/>
      <c r="H354" s="9" t="str">
        <f>IF(OR(B354="",C354=""),"",C354*IFERROR(INDEX(Articles!$D:$D,MATCH(B354,Articles!$B:$B,0)),0))</f>
        <v/>
      </c>
      <c r="I354" s="9" t="str">
        <f>IF(OR(E354="",H354=""),"",E354-H354)</f>
        <v/>
      </c>
      <c r="J354" s="4"/>
    </row>
    <row r="355">
      <c r="A355" s="7"/>
      <c r="B355" s="4"/>
      <c r="C355" s="6"/>
      <c r="D355" s="5" t="str">
        <f>IF(B355="","",IFERROR(INDEX(Articles!$E:$E,MATCH(B355,Articles!$B:$B,0)),""))</f>
        <v/>
      </c>
      <c r="E355" s="9" t="str">
        <f>IF(OR(C355="",D355=""),"",C355*D355)</f>
        <v/>
      </c>
      <c r="F355" s="4"/>
      <c r="G355" s="4"/>
      <c r="H355" s="9" t="str">
        <f>IF(OR(B355="",C355=""),"",C355*IFERROR(INDEX(Articles!$D:$D,MATCH(B355,Articles!$B:$B,0)),0))</f>
        <v/>
      </c>
      <c r="I355" s="9" t="str">
        <f>IF(OR(E355="",H355=""),"",E355-H355)</f>
        <v/>
      </c>
      <c r="J355" s="4"/>
    </row>
    <row r="356">
      <c r="A356" s="7"/>
      <c r="B356" s="4"/>
      <c r="C356" s="6"/>
      <c r="D356" s="5" t="str">
        <f>IF(B356="","",IFERROR(INDEX(Articles!$E:$E,MATCH(B356,Articles!$B:$B,0)),""))</f>
        <v/>
      </c>
      <c r="E356" s="9" t="str">
        <f>IF(OR(C356="",D356=""),"",C356*D356)</f>
        <v/>
      </c>
      <c r="F356" s="4"/>
      <c r="G356" s="4"/>
      <c r="H356" s="9" t="str">
        <f>IF(OR(B356="",C356=""),"",C356*IFERROR(INDEX(Articles!$D:$D,MATCH(B356,Articles!$B:$B,0)),0))</f>
        <v/>
      </c>
      <c r="I356" s="9" t="str">
        <f>IF(OR(E356="",H356=""),"",E356-H356)</f>
        <v/>
      </c>
      <c r="J356" s="4"/>
    </row>
    <row r="357">
      <c r="A357" s="7"/>
      <c r="B357" s="4"/>
      <c r="C357" s="6"/>
      <c r="D357" s="5" t="str">
        <f>IF(B357="","",IFERROR(INDEX(Articles!$E:$E,MATCH(B357,Articles!$B:$B,0)),""))</f>
        <v/>
      </c>
      <c r="E357" s="9" t="str">
        <f>IF(OR(C357="",D357=""),"",C357*D357)</f>
        <v/>
      </c>
      <c r="F357" s="4"/>
      <c r="G357" s="4"/>
      <c r="H357" s="9" t="str">
        <f>IF(OR(B357="",C357=""),"",C357*IFERROR(INDEX(Articles!$D:$D,MATCH(B357,Articles!$B:$B,0)),0))</f>
        <v/>
      </c>
      <c r="I357" s="9" t="str">
        <f>IF(OR(E357="",H357=""),"",E357-H357)</f>
        <v/>
      </c>
      <c r="J357" s="4"/>
    </row>
    <row r="358">
      <c r="A358" s="7"/>
      <c r="B358" s="4"/>
      <c r="C358" s="6"/>
      <c r="D358" s="5" t="str">
        <f>IF(B358="","",IFERROR(INDEX(Articles!$E:$E,MATCH(B358,Articles!$B:$B,0)),""))</f>
        <v/>
      </c>
      <c r="E358" s="9" t="str">
        <f>IF(OR(C358="",D358=""),"",C358*D358)</f>
        <v/>
      </c>
      <c r="F358" s="4"/>
      <c r="G358" s="4"/>
      <c r="H358" s="9" t="str">
        <f>IF(OR(B358="",C358=""),"",C358*IFERROR(INDEX(Articles!$D:$D,MATCH(B358,Articles!$B:$B,0)),0))</f>
        <v/>
      </c>
      <c r="I358" s="9" t="str">
        <f>IF(OR(E358="",H358=""),"",E358-H358)</f>
        <v/>
      </c>
      <c r="J358" s="4"/>
    </row>
    <row r="359">
      <c r="A359" s="7"/>
      <c r="B359" s="4"/>
      <c r="C359" s="6"/>
      <c r="D359" s="5" t="str">
        <f>IF(B359="","",IFERROR(INDEX(Articles!$E:$E,MATCH(B359,Articles!$B:$B,0)),""))</f>
        <v/>
      </c>
      <c r="E359" s="9" t="str">
        <f>IF(OR(C359="",D359=""),"",C359*D359)</f>
        <v/>
      </c>
      <c r="F359" s="4"/>
      <c r="G359" s="4"/>
      <c r="H359" s="9" t="str">
        <f>IF(OR(B359="",C359=""),"",C359*IFERROR(INDEX(Articles!$D:$D,MATCH(B359,Articles!$B:$B,0)),0))</f>
        <v/>
      </c>
      <c r="I359" s="9" t="str">
        <f>IF(OR(E359="",H359=""),"",E359-H359)</f>
        <v/>
      </c>
      <c r="J359" s="4"/>
    </row>
    <row r="360">
      <c r="A360" s="7"/>
      <c r="B360" s="4"/>
      <c r="C360" s="6"/>
      <c r="D360" s="5" t="str">
        <f>IF(B360="","",IFERROR(INDEX(Articles!$E:$E,MATCH(B360,Articles!$B:$B,0)),""))</f>
        <v/>
      </c>
      <c r="E360" s="9" t="str">
        <f>IF(OR(C360="",D360=""),"",C360*D360)</f>
        <v/>
      </c>
      <c r="F360" s="4"/>
      <c r="G360" s="4"/>
      <c r="H360" s="9" t="str">
        <f>IF(OR(B360="",C360=""),"",C360*IFERROR(INDEX(Articles!$D:$D,MATCH(B360,Articles!$B:$B,0)),0))</f>
        <v/>
      </c>
      <c r="I360" s="9" t="str">
        <f>IF(OR(E360="",H360=""),"",E360-H360)</f>
        <v/>
      </c>
      <c r="J360" s="4"/>
    </row>
    <row r="361">
      <c r="A361" s="7"/>
      <c r="B361" s="4"/>
      <c r="C361" s="6"/>
      <c r="D361" s="5" t="str">
        <f>IF(B361="","",IFERROR(INDEX(Articles!$E:$E,MATCH(B361,Articles!$B:$B,0)),""))</f>
        <v/>
      </c>
      <c r="E361" s="9" t="str">
        <f>IF(OR(C361="",D361=""),"",C361*D361)</f>
        <v/>
      </c>
      <c r="F361" s="4"/>
      <c r="G361" s="4"/>
      <c r="H361" s="9" t="str">
        <f>IF(OR(B361="",C361=""),"",C361*IFERROR(INDEX(Articles!$D:$D,MATCH(B361,Articles!$B:$B,0)),0))</f>
        <v/>
      </c>
      <c r="I361" s="9" t="str">
        <f>IF(OR(E361="",H361=""),"",E361-H361)</f>
        <v/>
      </c>
      <c r="J361" s="4"/>
    </row>
    <row r="362">
      <c r="A362" s="7"/>
      <c r="B362" s="4"/>
      <c r="C362" s="6"/>
      <c r="D362" s="5" t="str">
        <f>IF(B362="","",IFERROR(INDEX(Articles!$E:$E,MATCH(B362,Articles!$B:$B,0)),""))</f>
        <v/>
      </c>
      <c r="E362" s="9" t="str">
        <f>IF(OR(C362="",D362=""),"",C362*D362)</f>
        <v/>
      </c>
      <c r="F362" s="4"/>
      <c r="G362" s="4"/>
      <c r="H362" s="9" t="str">
        <f>IF(OR(B362="",C362=""),"",C362*IFERROR(INDEX(Articles!$D:$D,MATCH(B362,Articles!$B:$B,0)),0))</f>
        <v/>
      </c>
      <c r="I362" s="9" t="str">
        <f>IF(OR(E362="",H362=""),"",E362-H362)</f>
        <v/>
      </c>
      <c r="J362" s="4"/>
    </row>
    <row r="363">
      <c r="A363" s="7"/>
      <c r="B363" s="4"/>
      <c r="C363" s="6"/>
      <c r="D363" s="5" t="str">
        <f>IF(B363="","",IFERROR(INDEX(Articles!$E:$E,MATCH(B363,Articles!$B:$B,0)),""))</f>
        <v/>
      </c>
      <c r="E363" s="9" t="str">
        <f>IF(OR(C363="",D363=""),"",C363*D363)</f>
        <v/>
      </c>
      <c r="F363" s="4"/>
      <c r="G363" s="4"/>
      <c r="H363" s="9" t="str">
        <f>IF(OR(B363="",C363=""),"",C363*IFERROR(INDEX(Articles!$D:$D,MATCH(B363,Articles!$B:$B,0)),0))</f>
        <v/>
      </c>
      <c r="I363" s="9" t="str">
        <f>IF(OR(E363="",H363=""),"",E363-H363)</f>
        <v/>
      </c>
      <c r="J363" s="4"/>
    </row>
    <row r="364">
      <c r="A364" s="7"/>
      <c r="B364" s="4"/>
      <c r="C364" s="6"/>
      <c r="D364" s="5" t="str">
        <f>IF(B364="","",IFERROR(INDEX(Articles!$E:$E,MATCH(B364,Articles!$B:$B,0)),""))</f>
        <v/>
      </c>
      <c r="E364" s="9" t="str">
        <f>IF(OR(C364="",D364=""),"",C364*D364)</f>
        <v/>
      </c>
      <c r="F364" s="4"/>
      <c r="G364" s="4"/>
      <c r="H364" s="9" t="str">
        <f>IF(OR(B364="",C364=""),"",C364*IFERROR(INDEX(Articles!$D:$D,MATCH(B364,Articles!$B:$B,0)),0))</f>
        <v/>
      </c>
      <c r="I364" s="9" t="str">
        <f>IF(OR(E364="",H364=""),"",E364-H364)</f>
        <v/>
      </c>
      <c r="J364" s="4"/>
    </row>
    <row r="365">
      <c r="A365" s="7"/>
      <c r="B365" s="4"/>
      <c r="C365" s="6"/>
      <c r="D365" s="5" t="str">
        <f>IF(B365="","",IFERROR(INDEX(Articles!$E:$E,MATCH(B365,Articles!$B:$B,0)),""))</f>
        <v/>
      </c>
      <c r="E365" s="9" t="str">
        <f>IF(OR(C365="",D365=""),"",C365*D365)</f>
        <v/>
      </c>
      <c r="F365" s="4"/>
      <c r="G365" s="4"/>
      <c r="H365" s="9" t="str">
        <f>IF(OR(B365="",C365=""),"",C365*IFERROR(INDEX(Articles!$D:$D,MATCH(B365,Articles!$B:$B,0)),0))</f>
        <v/>
      </c>
      <c r="I365" s="9" t="str">
        <f>IF(OR(E365="",H365=""),"",E365-H365)</f>
        <v/>
      </c>
      <c r="J365" s="4"/>
    </row>
    <row r="366">
      <c r="A366" s="7"/>
      <c r="B366" s="4"/>
      <c r="C366" s="6"/>
      <c r="D366" s="5" t="str">
        <f>IF(B366="","",IFERROR(INDEX(Articles!$E:$E,MATCH(B366,Articles!$B:$B,0)),""))</f>
        <v/>
      </c>
      <c r="E366" s="9" t="str">
        <f>IF(OR(C366="",D366=""),"",C366*D366)</f>
        <v/>
      </c>
      <c r="F366" s="4"/>
      <c r="G366" s="4"/>
      <c r="H366" s="9" t="str">
        <f>IF(OR(B366="",C366=""),"",C366*IFERROR(INDEX(Articles!$D:$D,MATCH(B366,Articles!$B:$B,0)),0))</f>
        <v/>
      </c>
      <c r="I366" s="9" t="str">
        <f>IF(OR(E366="",H366=""),"",E366-H366)</f>
        <v/>
      </c>
      <c r="J366" s="4"/>
    </row>
    <row r="367">
      <c r="A367" s="7"/>
      <c r="B367" s="4"/>
      <c r="C367" s="6"/>
      <c r="D367" s="5" t="str">
        <f>IF(B367="","",IFERROR(INDEX(Articles!$E:$E,MATCH(B367,Articles!$B:$B,0)),""))</f>
        <v/>
      </c>
      <c r="E367" s="9" t="str">
        <f>IF(OR(C367="",D367=""),"",C367*D367)</f>
        <v/>
      </c>
      <c r="F367" s="4"/>
      <c r="G367" s="4"/>
      <c r="H367" s="9" t="str">
        <f>IF(OR(B367="",C367=""),"",C367*IFERROR(INDEX(Articles!$D:$D,MATCH(B367,Articles!$B:$B,0)),0))</f>
        <v/>
      </c>
      <c r="I367" s="9" t="str">
        <f>IF(OR(E367="",H367=""),"",E367-H367)</f>
        <v/>
      </c>
      <c r="J367" s="4"/>
    </row>
    <row r="368">
      <c r="A368" s="7"/>
      <c r="B368" s="4"/>
      <c r="C368" s="6"/>
      <c r="D368" s="5" t="str">
        <f>IF(B368="","",IFERROR(INDEX(Articles!$E:$E,MATCH(B368,Articles!$B:$B,0)),""))</f>
        <v/>
      </c>
      <c r="E368" s="9" t="str">
        <f>IF(OR(C368="",D368=""),"",C368*D368)</f>
        <v/>
      </c>
      <c r="F368" s="4"/>
      <c r="G368" s="4"/>
      <c r="H368" s="9" t="str">
        <f>IF(OR(B368="",C368=""),"",C368*IFERROR(INDEX(Articles!$D:$D,MATCH(B368,Articles!$B:$B,0)),0))</f>
        <v/>
      </c>
      <c r="I368" s="9" t="str">
        <f>IF(OR(E368="",H368=""),"",E368-H368)</f>
        <v/>
      </c>
      <c r="J368" s="4"/>
    </row>
    <row r="369">
      <c r="A369" s="7"/>
      <c r="B369" s="4"/>
      <c r="C369" s="6"/>
      <c r="D369" s="5" t="str">
        <f>IF(B369="","",IFERROR(INDEX(Articles!$E:$E,MATCH(B369,Articles!$B:$B,0)),""))</f>
        <v/>
      </c>
      <c r="E369" s="9" t="str">
        <f>IF(OR(C369="",D369=""),"",C369*D369)</f>
        <v/>
      </c>
      <c r="F369" s="4"/>
      <c r="G369" s="4"/>
      <c r="H369" s="9" t="str">
        <f>IF(OR(B369="",C369=""),"",C369*IFERROR(INDEX(Articles!$D:$D,MATCH(B369,Articles!$B:$B,0)),0))</f>
        <v/>
      </c>
      <c r="I369" s="9" t="str">
        <f>IF(OR(E369="",H369=""),"",E369-H369)</f>
        <v/>
      </c>
      <c r="J369" s="4"/>
    </row>
    <row r="370">
      <c r="A370" s="7"/>
      <c r="B370" s="4"/>
      <c r="C370" s="6"/>
      <c r="D370" s="5" t="str">
        <f>IF(B370="","",IFERROR(INDEX(Articles!$E:$E,MATCH(B370,Articles!$B:$B,0)),""))</f>
        <v/>
      </c>
      <c r="E370" s="9" t="str">
        <f>IF(OR(C370="",D370=""),"",C370*D370)</f>
        <v/>
      </c>
      <c r="F370" s="4"/>
      <c r="G370" s="4"/>
      <c r="H370" s="9" t="str">
        <f>IF(OR(B370="",C370=""),"",C370*IFERROR(INDEX(Articles!$D:$D,MATCH(B370,Articles!$B:$B,0)),0))</f>
        <v/>
      </c>
      <c r="I370" s="9" t="str">
        <f>IF(OR(E370="",H370=""),"",E370-H370)</f>
        <v/>
      </c>
      <c r="J370" s="4"/>
    </row>
    <row r="371">
      <c r="A371" s="7"/>
      <c r="B371" s="4"/>
      <c r="C371" s="6"/>
      <c r="D371" s="5" t="str">
        <f>IF(B371="","",IFERROR(INDEX(Articles!$E:$E,MATCH(B371,Articles!$B:$B,0)),""))</f>
        <v/>
      </c>
      <c r="E371" s="9" t="str">
        <f>IF(OR(C371="",D371=""),"",C371*D371)</f>
        <v/>
      </c>
      <c r="F371" s="4"/>
      <c r="G371" s="4"/>
      <c r="H371" s="9" t="str">
        <f>IF(OR(B371="",C371=""),"",C371*IFERROR(INDEX(Articles!$D:$D,MATCH(B371,Articles!$B:$B,0)),0))</f>
        <v/>
      </c>
      <c r="I371" s="9" t="str">
        <f>IF(OR(E371="",H371=""),"",E371-H371)</f>
        <v/>
      </c>
      <c r="J371" s="4"/>
    </row>
    <row r="372">
      <c r="A372" s="7"/>
      <c r="B372" s="4"/>
      <c r="C372" s="6"/>
      <c r="D372" s="5" t="str">
        <f>IF(B372="","",IFERROR(INDEX(Articles!$E:$E,MATCH(B372,Articles!$B:$B,0)),""))</f>
        <v/>
      </c>
      <c r="E372" s="9" t="str">
        <f>IF(OR(C372="",D372=""),"",C372*D372)</f>
        <v/>
      </c>
      <c r="F372" s="4"/>
      <c r="G372" s="4"/>
      <c r="H372" s="9" t="str">
        <f>IF(OR(B372="",C372=""),"",C372*IFERROR(INDEX(Articles!$D:$D,MATCH(B372,Articles!$B:$B,0)),0))</f>
        <v/>
      </c>
      <c r="I372" s="9" t="str">
        <f>IF(OR(E372="",H372=""),"",E372-H372)</f>
        <v/>
      </c>
      <c r="J372" s="4"/>
    </row>
    <row r="373">
      <c r="A373" s="7"/>
      <c r="B373" s="4"/>
      <c r="C373" s="6"/>
      <c r="D373" s="5" t="str">
        <f>IF(B373="","",IFERROR(INDEX(Articles!$E:$E,MATCH(B373,Articles!$B:$B,0)),""))</f>
        <v/>
      </c>
      <c r="E373" s="9" t="str">
        <f>IF(OR(C373="",D373=""),"",C373*D373)</f>
        <v/>
      </c>
      <c r="F373" s="4"/>
      <c r="G373" s="4"/>
      <c r="H373" s="9" t="str">
        <f>IF(OR(B373="",C373=""),"",C373*IFERROR(INDEX(Articles!$D:$D,MATCH(B373,Articles!$B:$B,0)),0))</f>
        <v/>
      </c>
      <c r="I373" s="9" t="str">
        <f>IF(OR(E373="",H373=""),"",E373-H373)</f>
        <v/>
      </c>
      <c r="J373" s="4"/>
    </row>
    <row r="374">
      <c r="A374" s="7"/>
      <c r="B374" s="4"/>
      <c r="C374" s="6"/>
      <c r="D374" s="5" t="str">
        <f>IF(B374="","",IFERROR(INDEX(Articles!$E:$E,MATCH(B374,Articles!$B:$B,0)),""))</f>
        <v/>
      </c>
      <c r="E374" s="9" t="str">
        <f>IF(OR(C374="",D374=""),"",C374*D374)</f>
        <v/>
      </c>
      <c r="F374" s="4"/>
      <c r="G374" s="4"/>
      <c r="H374" s="9" t="str">
        <f>IF(OR(B374="",C374=""),"",C374*IFERROR(INDEX(Articles!$D:$D,MATCH(B374,Articles!$B:$B,0)),0))</f>
        <v/>
      </c>
      <c r="I374" s="9" t="str">
        <f>IF(OR(E374="",H374=""),"",E374-H374)</f>
        <v/>
      </c>
      <c r="J374" s="4"/>
    </row>
    <row r="375">
      <c r="A375" s="7"/>
      <c r="B375" s="4"/>
      <c r="C375" s="6"/>
      <c r="D375" s="5" t="str">
        <f>IF(B375="","",IFERROR(INDEX(Articles!$E:$E,MATCH(B375,Articles!$B:$B,0)),""))</f>
        <v/>
      </c>
      <c r="E375" s="9" t="str">
        <f>IF(OR(C375="",D375=""),"",C375*D375)</f>
        <v/>
      </c>
      <c r="F375" s="4"/>
      <c r="G375" s="4"/>
      <c r="H375" s="9" t="str">
        <f>IF(OR(B375="",C375=""),"",C375*IFERROR(INDEX(Articles!$D:$D,MATCH(B375,Articles!$B:$B,0)),0))</f>
        <v/>
      </c>
      <c r="I375" s="9" t="str">
        <f>IF(OR(E375="",H375=""),"",E375-H375)</f>
        <v/>
      </c>
      <c r="J375" s="4"/>
    </row>
    <row r="376">
      <c r="A376" s="7"/>
      <c r="B376" s="4"/>
      <c r="C376" s="6"/>
      <c r="D376" s="5" t="str">
        <f>IF(B376="","",IFERROR(INDEX(Articles!$E:$E,MATCH(B376,Articles!$B:$B,0)),""))</f>
        <v/>
      </c>
      <c r="E376" s="9" t="str">
        <f>IF(OR(C376="",D376=""),"",C376*D376)</f>
        <v/>
      </c>
      <c r="F376" s="4"/>
      <c r="G376" s="4"/>
      <c r="H376" s="9" t="str">
        <f>IF(OR(B376="",C376=""),"",C376*IFERROR(INDEX(Articles!$D:$D,MATCH(B376,Articles!$B:$B,0)),0))</f>
        <v/>
      </c>
      <c r="I376" s="9" t="str">
        <f>IF(OR(E376="",H376=""),"",E376-H376)</f>
        <v/>
      </c>
      <c r="J376" s="4"/>
    </row>
    <row r="377">
      <c r="A377" s="7"/>
      <c r="B377" s="4"/>
      <c r="C377" s="6"/>
      <c r="D377" s="5" t="str">
        <f>IF(B377="","",IFERROR(INDEX(Articles!$E:$E,MATCH(B377,Articles!$B:$B,0)),""))</f>
        <v/>
      </c>
      <c r="E377" s="9" t="str">
        <f>IF(OR(C377="",D377=""),"",C377*D377)</f>
        <v/>
      </c>
      <c r="F377" s="4"/>
      <c r="G377" s="4"/>
      <c r="H377" s="9" t="str">
        <f>IF(OR(B377="",C377=""),"",C377*IFERROR(INDEX(Articles!$D:$D,MATCH(B377,Articles!$B:$B,0)),0))</f>
        <v/>
      </c>
      <c r="I377" s="9" t="str">
        <f>IF(OR(E377="",H377=""),"",E377-H377)</f>
        <v/>
      </c>
      <c r="J377" s="4"/>
    </row>
    <row r="378">
      <c r="A378" s="7"/>
      <c r="B378" s="4"/>
      <c r="C378" s="6"/>
      <c r="D378" s="5" t="str">
        <f>IF(B378="","",IFERROR(INDEX(Articles!$E:$E,MATCH(B378,Articles!$B:$B,0)),""))</f>
        <v/>
      </c>
      <c r="E378" s="9" t="str">
        <f>IF(OR(C378="",D378=""),"",C378*D378)</f>
        <v/>
      </c>
      <c r="F378" s="4"/>
      <c r="G378" s="4"/>
      <c r="H378" s="9" t="str">
        <f>IF(OR(B378="",C378=""),"",C378*IFERROR(INDEX(Articles!$D:$D,MATCH(B378,Articles!$B:$B,0)),0))</f>
        <v/>
      </c>
      <c r="I378" s="9" t="str">
        <f>IF(OR(E378="",H378=""),"",E378-H378)</f>
        <v/>
      </c>
      <c r="J378" s="4"/>
    </row>
    <row r="379">
      <c r="A379" s="7"/>
      <c r="B379" s="4"/>
      <c r="C379" s="6"/>
      <c r="D379" s="5" t="str">
        <f>IF(B379="","",IFERROR(INDEX(Articles!$E:$E,MATCH(B379,Articles!$B:$B,0)),""))</f>
        <v/>
      </c>
      <c r="E379" s="9" t="str">
        <f>IF(OR(C379="",D379=""),"",C379*D379)</f>
        <v/>
      </c>
      <c r="F379" s="4"/>
      <c r="G379" s="4"/>
      <c r="H379" s="9" t="str">
        <f>IF(OR(B379="",C379=""),"",C379*IFERROR(INDEX(Articles!$D:$D,MATCH(B379,Articles!$B:$B,0)),0))</f>
        <v/>
      </c>
      <c r="I379" s="9" t="str">
        <f>IF(OR(E379="",H379=""),"",E379-H379)</f>
        <v/>
      </c>
      <c r="J379" s="4"/>
    </row>
    <row r="380">
      <c r="A380" s="7"/>
      <c r="B380" s="4"/>
      <c r="C380" s="6"/>
      <c r="D380" s="5" t="str">
        <f>IF(B380="","",IFERROR(INDEX(Articles!$E:$E,MATCH(B380,Articles!$B:$B,0)),""))</f>
        <v/>
      </c>
      <c r="E380" s="9" t="str">
        <f>IF(OR(C380="",D380=""),"",C380*D380)</f>
        <v/>
      </c>
      <c r="F380" s="4"/>
      <c r="G380" s="4"/>
      <c r="H380" s="9" t="str">
        <f>IF(OR(B380="",C380=""),"",C380*IFERROR(INDEX(Articles!$D:$D,MATCH(B380,Articles!$B:$B,0)),0))</f>
        <v/>
      </c>
      <c r="I380" s="9" t="str">
        <f>IF(OR(E380="",H380=""),"",E380-H380)</f>
        <v/>
      </c>
      <c r="J380" s="4"/>
    </row>
    <row r="381">
      <c r="A381" s="7"/>
      <c r="B381" s="4"/>
      <c r="C381" s="6"/>
      <c r="D381" s="5" t="str">
        <f>IF(B381="","",IFERROR(INDEX(Articles!$E:$E,MATCH(B381,Articles!$B:$B,0)),""))</f>
        <v/>
      </c>
      <c r="E381" s="9" t="str">
        <f>IF(OR(C381="",D381=""),"",C381*D381)</f>
        <v/>
      </c>
      <c r="F381" s="4"/>
      <c r="G381" s="4"/>
      <c r="H381" s="9" t="str">
        <f>IF(OR(B381="",C381=""),"",C381*IFERROR(INDEX(Articles!$D:$D,MATCH(B381,Articles!$B:$B,0)),0))</f>
        <v/>
      </c>
      <c r="I381" s="9" t="str">
        <f>IF(OR(E381="",H381=""),"",E381-H381)</f>
        <v/>
      </c>
      <c r="J381" s="4"/>
    </row>
    <row r="382">
      <c r="A382" s="7"/>
      <c r="B382" s="4"/>
      <c r="C382" s="6"/>
      <c r="D382" s="5" t="str">
        <f>IF(B382="","",IFERROR(INDEX(Articles!$E:$E,MATCH(B382,Articles!$B:$B,0)),""))</f>
        <v/>
      </c>
      <c r="E382" s="9" t="str">
        <f>IF(OR(C382="",D382=""),"",C382*D382)</f>
        <v/>
      </c>
      <c r="F382" s="4"/>
      <c r="G382" s="4"/>
      <c r="H382" s="9" t="str">
        <f>IF(OR(B382="",C382=""),"",C382*IFERROR(INDEX(Articles!$D:$D,MATCH(B382,Articles!$B:$B,0)),0))</f>
        <v/>
      </c>
      <c r="I382" s="9" t="str">
        <f>IF(OR(E382="",H382=""),"",E382-H382)</f>
        <v/>
      </c>
      <c r="J382" s="4"/>
    </row>
    <row r="383">
      <c r="A383" s="7"/>
      <c r="B383" s="4"/>
      <c r="C383" s="6"/>
      <c r="D383" s="5" t="str">
        <f>IF(B383="","",IFERROR(INDEX(Articles!$E:$E,MATCH(B383,Articles!$B:$B,0)),""))</f>
        <v/>
      </c>
      <c r="E383" s="9" t="str">
        <f>IF(OR(C383="",D383=""),"",C383*D383)</f>
        <v/>
      </c>
      <c r="F383" s="4"/>
      <c r="G383" s="4"/>
      <c r="H383" s="9" t="str">
        <f>IF(OR(B383="",C383=""),"",C383*IFERROR(INDEX(Articles!$D:$D,MATCH(B383,Articles!$B:$B,0)),0))</f>
        <v/>
      </c>
      <c r="I383" s="9" t="str">
        <f>IF(OR(E383="",H383=""),"",E383-H383)</f>
        <v/>
      </c>
      <c r="J383" s="4"/>
    </row>
    <row r="384">
      <c r="A384" s="7"/>
      <c r="B384" s="4"/>
      <c r="C384" s="6"/>
      <c r="D384" s="5" t="str">
        <f>IF(B384="","",IFERROR(INDEX(Articles!$E:$E,MATCH(B384,Articles!$B:$B,0)),""))</f>
        <v/>
      </c>
      <c r="E384" s="9" t="str">
        <f>IF(OR(C384="",D384=""),"",C384*D384)</f>
        <v/>
      </c>
      <c r="F384" s="4"/>
      <c r="G384" s="4"/>
      <c r="H384" s="9" t="str">
        <f>IF(OR(B384="",C384=""),"",C384*IFERROR(INDEX(Articles!$D:$D,MATCH(B384,Articles!$B:$B,0)),0))</f>
        <v/>
      </c>
      <c r="I384" s="9" t="str">
        <f>IF(OR(E384="",H384=""),"",E384-H384)</f>
        <v/>
      </c>
      <c r="J384" s="4"/>
    </row>
    <row r="385">
      <c r="A385" s="7"/>
      <c r="B385" s="4"/>
      <c r="C385" s="6"/>
      <c r="D385" s="5" t="str">
        <f>IF(B385="","",IFERROR(INDEX(Articles!$E:$E,MATCH(B385,Articles!$B:$B,0)),""))</f>
        <v/>
      </c>
      <c r="E385" s="9" t="str">
        <f>IF(OR(C385="",D385=""),"",C385*D385)</f>
        <v/>
      </c>
      <c r="F385" s="4"/>
      <c r="G385" s="4"/>
      <c r="H385" s="9" t="str">
        <f>IF(OR(B385="",C385=""),"",C385*IFERROR(INDEX(Articles!$D:$D,MATCH(B385,Articles!$B:$B,0)),0))</f>
        <v/>
      </c>
      <c r="I385" s="9" t="str">
        <f>IF(OR(E385="",H385=""),"",E385-H385)</f>
        <v/>
      </c>
      <c r="J385" s="4"/>
    </row>
    <row r="386">
      <c r="A386" s="7"/>
      <c r="B386" s="4"/>
      <c r="C386" s="6"/>
      <c r="D386" s="5" t="str">
        <f>IF(B386="","",IFERROR(INDEX(Articles!$E:$E,MATCH(B386,Articles!$B:$B,0)),""))</f>
        <v/>
      </c>
      <c r="E386" s="9" t="str">
        <f>IF(OR(C386="",D386=""),"",C386*D386)</f>
        <v/>
      </c>
      <c r="F386" s="4"/>
      <c r="G386" s="4"/>
      <c r="H386" s="9" t="str">
        <f>IF(OR(B386="",C386=""),"",C386*IFERROR(INDEX(Articles!$D:$D,MATCH(B386,Articles!$B:$B,0)),0))</f>
        <v/>
      </c>
      <c r="I386" s="9" t="str">
        <f>IF(OR(E386="",H386=""),"",E386-H386)</f>
        <v/>
      </c>
      <c r="J386" s="4"/>
    </row>
    <row r="387">
      <c r="A387" s="7"/>
      <c r="B387" s="4"/>
      <c r="C387" s="6"/>
      <c r="D387" s="5" t="str">
        <f>IF(B387="","",IFERROR(INDEX(Articles!$E:$E,MATCH(B387,Articles!$B:$B,0)),""))</f>
        <v/>
      </c>
      <c r="E387" s="9" t="str">
        <f>IF(OR(C387="",D387=""),"",C387*D387)</f>
        <v/>
      </c>
      <c r="F387" s="4"/>
      <c r="G387" s="4"/>
      <c r="H387" s="9" t="str">
        <f>IF(OR(B387="",C387=""),"",C387*IFERROR(INDEX(Articles!$D:$D,MATCH(B387,Articles!$B:$B,0)),0))</f>
        <v/>
      </c>
      <c r="I387" s="9" t="str">
        <f>IF(OR(E387="",H387=""),"",E387-H387)</f>
        <v/>
      </c>
      <c r="J387" s="4"/>
    </row>
    <row r="388">
      <c r="A388" s="7"/>
      <c r="B388" s="4"/>
      <c r="C388" s="6"/>
      <c r="D388" s="5" t="str">
        <f>IF(B388="","",IFERROR(INDEX(Articles!$E:$E,MATCH(B388,Articles!$B:$B,0)),""))</f>
        <v/>
      </c>
      <c r="E388" s="9" t="str">
        <f>IF(OR(C388="",D388=""),"",C388*D388)</f>
        <v/>
      </c>
      <c r="F388" s="4"/>
      <c r="G388" s="4"/>
      <c r="H388" s="9" t="str">
        <f>IF(OR(B388="",C388=""),"",C388*IFERROR(INDEX(Articles!$D:$D,MATCH(B388,Articles!$B:$B,0)),0))</f>
        <v/>
      </c>
      <c r="I388" s="9" t="str">
        <f>IF(OR(E388="",H388=""),"",E388-H388)</f>
        <v/>
      </c>
      <c r="J388" s="4"/>
    </row>
    <row r="389">
      <c r="A389" s="7"/>
      <c r="B389" s="4"/>
      <c r="C389" s="6"/>
      <c r="D389" s="5" t="str">
        <f>IF(B389="","",IFERROR(INDEX(Articles!$E:$E,MATCH(B389,Articles!$B:$B,0)),""))</f>
        <v/>
      </c>
      <c r="E389" s="9" t="str">
        <f>IF(OR(C389="",D389=""),"",C389*D389)</f>
        <v/>
      </c>
      <c r="F389" s="4"/>
      <c r="G389" s="4"/>
      <c r="H389" s="9" t="str">
        <f>IF(OR(B389="",C389=""),"",C389*IFERROR(INDEX(Articles!$D:$D,MATCH(B389,Articles!$B:$B,0)),0))</f>
        <v/>
      </c>
      <c r="I389" s="9" t="str">
        <f>IF(OR(E389="",H389=""),"",E389-H389)</f>
        <v/>
      </c>
      <c r="J389" s="4"/>
    </row>
    <row r="390">
      <c r="A390" s="7"/>
      <c r="B390" s="4"/>
      <c r="C390" s="6"/>
      <c r="D390" s="5" t="str">
        <f>IF(B390="","",IFERROR(INDEX(Articles!$E:$E,MATCH(B390,Articles!$B:$B,0)),""))</f>
        <v/>
      </c>
      <c r="E390" s="9" t="str">
        <f>IF(OR(C390="",D390=""),"",C390*D390)</f>
        <v/>
      </c>
      <c r="F390" s="4"/>
      <c r="G390" s="4"/>
      <c r="H390" s="9" t="str">
        <f>IF(OR(B390="",C390=""),"",C390*IFERROR(INDEX(Articles!$D:$D,MATCH(B390,Articles!$B:$B,0)),0))</f>
        <v/>
      </c>
      <c r="I390" s="9" t="str">
        <f>IF(OR(E390="",H390=""),"",E390-H390)</f>
        <v/>
      </c>
      <c r="J390" s="4"/>
    </row>
    <row r="391">
      <c r="A391" s="7"/>
      <c r="B391" s="4"/>
      <c r="C391" s="6"/>
      <c r="D391" s="5" t="str">
        <f>IF(B391="","",IFERROR(INDEX(Articles!$E:$E,MATCH(B391,Articles!$B:$B,0)),""))</f>
        <v/>
      </c>
      <c r="E391" s="9" t="str">
        <f>IF(OR(C391="",D391=""),"",C391*D391)</f>
        <v/>
      </c>
      <c r="F391" s="4"/>
      <c r="G391" s="4"/>
      <c r="H391" s="9" t="str">
        <f>IF(OR(B391="",C391=""),"",C391*IFERROR(INDEX(Articles!$D:$D,MATCH(B391,Articles!$B:$B,0)),0))</f>
        <v/>
      </c>
      <c r="I391" s="9" t="str">
        <f>IF(OR(E391="",H391=""),"",E391-H391)</f>
        <v/>
      </c>
      <c r="J391" s="4"/>
    </row>
    <row r="392">
      <c r="A392" s="7"/>
      <c r="B392" s="4"/>
      <c r="C392" s="6"/>
      <c r="D392" s="5" t="str">
        <f>IF(B392="","",IFERROR(INDEX(Articles!$E:$E,MATCH(B392,Articles!$B:$B,0)),""))</f>
        <v/>
      </c>
      <c r="E392" s="9" t="str">
        <f>IF(OR(C392="",D392=""),"",C392*D392)</f>
        <v/>
      </c>
      <c r="F392" s="4"/>
      <c r="G392" s="4"/>
      <c r="H392" s="9" t="str">
        <f>IF(OR(B392="",C392=""),"",C392*IFERROR(INDEX(Articles!$D:$D,MATCH(B392,Articles!$B:$B,0)),0))</f>
        <v/>
      </c>
      <c r="I392" s="9" t="str">
        <f>IF(OR(E392="",H392=""),"",E392-H392)</f>
        <v/>
      </c>
      <c r="J392" s="4"/>
    </row>
    <row r="393">
      <c r="A393" s="7"/>
      <c r="B393" s="4"/>
      <c r="C393" s="6"/>
      <c r="D393" s="5" t="str">
        <f>IF(B393="","",IFERROR(INDEX(Articles!$E:$E,MATCH(B393,Articles!$B:$B,0)),""))</f>
        <v/>
      </c>
      <c r="E393" s="9" t="str">
        <f>IF(OR(C393="",D393=""),"",C393*D393)</f>
        <v/>
      </c>
      <c r="F393" s="4"/>
      <c r="G393" s="4"/>
      <c r="H393" s="9" t="str">
        <f>IF(OR(B393="",C393=""),"",C393*IFERROR(INDEX(Articles!$D:$D,MATCH(B393,Articles!$B:$B,0)),0))</f>
        <v/>
      </c>
      <c r="I393" s="9" t="str">
        <f>IF(OR(E393="",H393=""),"",E393-H393)</f>
        <v/>
      </c>
      <c r="J393" s="4"/>
    </row>
    <row r="394">
      <c r="A394" s="7"/>
      <c r="B394" s="4"/>
      <c r="C394" s="6"/>
      <c r="D394" s="5" t="str">
        <f>IF(B394="","",IFERROR(INDEX(Articles!$E:$E,MATCH(B394,Articles!$B:$B,0)),""))</f>
        <v/>
      </c>
      <c r="E394" s="9" t="str">
        <f>IF(OR(C394="",D394=""),"",C394*D394)</f>
        <v/>
      </c>
      <c r="F394" s="4"/>
      <c r="G394" s="4"/>
      <c r="H394" s="9" t="str">
        <f>IF(OR(B394="",C394=""),"",C394*IFERROR(INDEX(Articles!$D:$D,MATCH(B394,Articles!$B:$B,0)),0))</f>
        <v/>
      </c>
      <c r="I394" s="9" t="str">
        <f>IF(OR(E394="",H394=""),"",E394-H394)</f>
        <v/>
      </c>
      <c r="J394" s="4"/>
    </row>
    <row r="395">
      <c r="A395" s="7"/>
      <c r="B395" s="4"/>
      <c r="C395" s="6"/>
      <c r="D395" s="5" t="str">
        <f>IF(B395="","",IFERROR(INDEX(Articles!$E:$E,MATCH(B395,Articles!$B:$B,0)),""))</f>
        <v/>
      </c>
      <c r="E395" s="9" t="str">
        <f>IF(OR(C395="",D395=""),"",C395*D395)</f>
        <v/>
      </c>
      <c r="F395" s="4"/>
      <c r="G395" s="4"/>
      <c r="H395" s="9" t="str">
        <f>IF(OR(B395="",C395=""),"",C395*IFERROR(INDEX(Articles!$D:$D,MATCH(B395,Articles!$B:$B,0)),0))</f>
        <v/>
      </c>
      <c r="I395" s="9" t="str">
        <f>IF(OR(E395="",H395=""),"",E395-H395)</f>
        <v/>
      </c>
      <c r="J395" s="4"/>
    </row>
    <row r="396">
      <c r="A396" s="7"/>
      <c r="B396" s="4"/>
      <c r="C396" s="6"/>
      <c r="D396" s="5" t="str">
        <f>IF(B396="","",IFERROR(INDEX(Articles!$E:$E,MATCH(B396,Articles!$B:$B,0)),""))</f>
        <v/>
      </c>
      <c r="E396" s="9" t="str">
        <f>IF(OR(C396="",D396=""),"",C396*D396)</f>
        <v/>
      </c>
      <c r="F396" s="4"/>
      <c r="G396" s="4"/>
      <c r="H396" s="9" t="str">
        <f>IF(OR(B396="",C396=""),"",C396*IFERROR(INDEX(Articles!$D:$D,MATCH(B396,Articles!$B:$B,0)),0))</f>
        <v/>
      </c>
      <c r="I396" s="9" t="str">
        <f>IF(OR(E396="",H396=""),"",E396-H396)</f>
        <v/>
      </c>
      <c r="J396" s="4"/>
    </row>
    <row r="397">
      <c r="A397" s="7"/>
      <c r="B397" s="4"/>
      <c r="C397" s="6"/>
      <c r="D397" s="5" t="str">
        <f>IF(B397="","",IFERROR(INDEX(Articles!$E:$E,MATCH(B397,Articles!$B:$B,0)),""))</f>
        <v/>
      </c>
      <c r="E397" s="9" t="str">
        <f>IF(OR(C397="",D397=""),"",C397*D397)</f>
        <v/>
      </c>
      <c r="F397" s="4"/>
      <c r="G397" s="4"/>
      <c r="H397" s="9" t="str">
        <f>IF(OR(B397="",C397=""),"",C397*IFERROR(INDEX(Articles!$D:$D,MATCH(B397,Articles!$B:$B,0)),0))</f>
        <v/>
      </c>
      <c r="I397" s="9" t="str">
        <f>IF(OR(E397="",H397=""),"",E397-H397)</f>
        <v/>
      </c>
      <c r="J397" s="4"/>
    </row>
    <row r="398">
      <c r="A398" s="7"/>
      <c r="B398" s="4"/>
      <c r="C398" s="6"/>
      <c r="D398" s="5" t="str">
        <f>IF(B398="","",IFERROR(INDEX(Articles!$E:$E,MATCH(B398,Articles!$B:$B,0)),""))</f>
        <v/>
      </c>
      <c r="E398" s="9" t="str">
        <f>IF(OR(C398="",D398=""),"",C398*D398)</f>
        <v/>
      </c>
      <c r="F398" s="4"/>
      <c r="G398" s="4"/>
      <c r="H398" s="9" t="str">
        <f>IF(OR(B398="",C398=""),"",C398*IFERROR(INDEX(Articles!$D:$D,MATCH(B398,Articles!$B:$B,0)),0))</f>
        <v/>
      </c>
      <c r="I398" s="9" t="str">
        <f>IF(OR(E398="",H398=""),"",E398-H398)</f>
        <v/>
      </c>
      <c r="J398" s="4"/>
    </row>
    <row r="399">
      <c r="A399" s="7"/>
      <c r="B399" s="4"/>
      <c r="C399" s="6"/>
      <c r="D399" s="5" t="str">
        <f>IF(B399="","",IFERROR(INDEX(Articles!$E:$E,MATCH(B399,Articles!$B:$B,0)),""))</f>
        <v/>
      </c>
      <c r="E399" s="9" t="str">
        <f>IF(OR(C399="",D399=""),"",C399*D399)</f>
        <v/>
      </c>
      <c r="F399" s="4"/>
      <c r="G399" s="4"/>
      <c r="H399" s="9" t="str">
        <f>IF(OR(B399="",C399=""),"",C399*IFERROR(INDEX(Articles!$D:$D,MATCH(B399,Articles!$B:$B,0)),0))</f>
        <v/>
      </c>
      <c r="I399" s="9" t="str">
        <f>IF(OR(E399="",H399=""),"",E399-H399)</f>
        <v/>
      </c>
      <c r="J399" s="4"/>
    </row>
    <row r="400">
      <c r="A400" s="7"/>
      <c r="B400" s="4"/>
      <c r="C400" s="6"/>
      <c r="D400" s="5" t="str">
        <f>IF(B400="","",IFERROR(INDEX(Articles!$E:$E,MATCH(B400,Articles!$B:$B,0)),""))</f>
        <v/>
      </c>
      <c r="E400" s="9" t="str">
        <f>IF(OR(C400="",D400=""),"",C400*D400)</f>
        <v/>
      </c>
      <c r="F400" s="4"/>
      <c r="G400" s="4"/>
      <c r="H400" s="9" t="str">
        <f>IF(OR(B400="",C400=""),"",C400*IFERROR(INDEX(Articles!$D:$D,MATCH(B400,Articles!$B:$B,0)),0))</f>
        <v/>
      </c>
      <c r="I400" s="9" t="str">
        <f>IF(OR(E400="",H400=""),"",E400-H400)</f>
        <v/>
      </c>
      <c r="J400" s="4"/>
    </row>
    <row r="401">
      <c r="A401" s="7"/>
      <c r="B401" s="4"/>
      <c r="C401" s="6"/>
      <c r="D401" s="5" t="str">
        <f>IF(B401="","",IFERROR(INDEX(Articles!$E:$E,MATCH(B401,Articles!$B:$B,0)),""))</f>
        <v/>
      </c>
      <c r="E401" s="9" t="str">
        <f>IF(OR(C401="",D401=""),"",C401*D401)</f>
        <v/>
      </c>
      <c r="F401" s="4"/>
      <c r="G401" s="4"/>
      <c r="H401" s="9" t="str">
        <f>IF(OR(B401="",C401=""),"",C401*IFERROR(INDEX(Articles!$D:$D,MATCH(B401,Articles!$B:$B,0)),0))</f>
        <v/>
      </c>
      <c r="I401" s="9" t="str">
        <f>IF(OR(E401="",H401=""),"",E401-H401)</f>
        <v/>
      </c>
      <c r="J401" s="4"/>
    </row>
    <row r="402">
      <c r="A402" s="7"/>
      <c r="B402" s="4"/>
      <c r="C402" s="6"/>
      <c r="D402" s="5" t="str">
        <f>IF(B402="","",IFERROR(INDEX(Articles!$E:$E,MATCH(B402,Articles!$B:$B,0)),""))</f>
        <v/>
      </c>
      <c r="E402" s="9" t="str">
        <f>IF(OR(C402="",D402=""),"",C402*D402)</f>
        <v/>
      </c>
      <c r="F402" s="4"/>
      <c r="G402" s="4"/>
      <c r="H402" s="9" t="str">
        <f>IF(OR(B402="",C402=""),"",C402*IFERROR(INDEX(Articles!$D:$D,MATCH(B402,Articles!$B:$B,0)),0))</f>
        <v/>
      </c>
      <c r="I402" s="9" t="str">
        <f>IF(OR(E402="",H402=""),"",E402-H402)</f>
        <v/>
      </c>
      <c r="J402" s="4"/>
    </row>
    <row r="403">
      <c r="A403" s="7"/>
      <c r="B403" s="4"/>
      <c r="C403" s="6"/>
      <c r="D403" s="5" t="str">
        <f>IF(B403="","",IFERROR(INDEX(Articles!$E:$E,MATCH(B403,Articles!$B:$B,0)),""))</f>
        <v/>
      </c>
      <c r="E403" s="9" t="str">
        <f>IF(OR(C403="",D403=""),"",C403*D403)</f>
        <v/>
      </c>
      <c r="F403" s="4"/>
      <c r="G403" s="4"/>
      <c r="H403" s="9" t="str">
        <f>IF(OR(B403="",C403=""),"",C403*IFERROR(INDEX(Articles!$D:$D,MATCH(B403,Articles!$B:$B,0)),0))</f>
        <v/>
      </c>
      <c r="I403" s="9" t="str">
        <f>IF(OR(E403="",H403=""),"",E403-H403)</f>
        <v/>
      </c>
      <c r="J403" s="4"/>
    </row>
    <row r="404">
      <c r="A404" s="7"/>
      <c r="B404" s="4"/>
      <c r="C404" s="6"/>
      <c r="D404" s="5" t="str">
        <f>IF(B404="","",IFERROR(INDEX(Articles!$E:$E,MATCH(B404,Articles!$B:$B,0)),""))</f>
        <v/>
      </c>
      <c r="E404" s="9" t="str">
        <f>IF(OR(C404="",D404=""),"",C404*D404)</f>
        <v/>
      </c>
      <c r="F404" s="4"/>
      <c r="G404" s="4"/>
      <c r="H404" s="9" t="str">
        <f>IF(OR(B404="",C404=""),"",C404*IFERROR(INDEX(Articles!$D:$D,MATCH(B404,Articles!$B:$B,0)),0))</f>
        <v/>
      </c>
      <c r="I404" s="9" t="str">
        <f>IF(OR(E404="",H404=""),"",E404-H404)</f>
        <v/>
      </c>
      <c r="J404" s="4"/>
    </row>
    <row r="405">
      <c r="A405" s="7"/>
      <c r="B405" s="4"/>
      <c r="C405" s="6"/>
      <c r="D405" s="5" t="str">
        <f>IF(B405="","",IFERROR(INDEX(Articles!$E:$E,MATCH(B405,Articles!$B:$B,0)),""))</f>
        <v/>
      </c>
      <c r="E405" s="9" t="str">
        <f>IF(OR(C405="",D405=""),"",C405*D405)</f>
        <v/>
      </c>
      <c r="F405" s="4"/>
      <c r="G405" s="4"/>
      <c r="H405" s="9" t="str">
        <f>IF(OR(B405="",C405=""),"",C405*IFERROR(INDEX(Articles!$D:$D,MATCH(B405,Articles!$B:$B,0)),0))</f>
        <v/>
      </c>
      <c r="I405" s="9" t="str">
        <f>IF(OR(E405="",H405=""),"",E405-H405)</f>
        <v/>
      </c>
      <c r="J405" s="4"/>
    </row>
    <row r="406">
      <c r="A406" s="7"/>
      <c r="B406" s="4"/>
      <c r="C406" s="6"/>
      <c r="D406" s="5" t="str">
        <f>IF(B406="","",IFERROR(INDEX(Articles!$E:$E,MATCH(B406,Articles!$B:$B,0)),""))</f>
        <v/>
      </c>
      <c r="E406" s="9" t="str">
        <f>IF(OR(C406="",D406=""),"",C406*D406)</f>
        <v/>
      </c>
      <c r="F406" s="4"/>
      <c r="G406" s="4"/>
      <c r="H406" s="9" t="str">
        <f>IF(OR(B406="",C406=""),"",C406*IFERROR(INDEX(Articles!$D:$D,MATCH(B406,Articles!$B:$B,0)),0))</f>
        <v/>
      </c>
      <c r="I406" s="9" t="str">
        <f>IF(OR(E406="",H406=""),"",E406-H406)</f>
        <v/>
      </c>
      <c r="J406" s="4"/>
    </row>
    <row r="407">
      <c r="A407" s="7"/>
      <c r="B407" s="4"/>
      <c r="C407" s="6"/>
      <c r="D407" s="5" t="str">
        <f>IF(B407="","",IFERROR(INDEX(Articles!$E:$E,MATCH(B407,Articles!$B:$B,0)),""))</f>
        <v/>
      </c>
      <c r="E407" s="9" t="str">
        <f>IF(OR(C407="",D407=""),"",C407*D407)</f>
        <v/>
      </c>
      <c r="F407" s="4"/>
      <c r="G407" s="4"/>
      <c r="H407" s="9" t="str">
        <f>IF(OR(B407="",C407=""),"",C407*IFERROR(INDEX(Articles!$D:$D,MATCH(B407,Articles!$B:$B,0)),0))</f>
        <v/>
      </c>
      <c r="I407" s="9" t="str">
        <f>IF(OR(E407="",H407=""),"",E407-H407)</f>
        <v/>
      </c>
      <c r="J407" s="4"/>
    </row>
    <row r="408">
      <c r="A408" s="7"/>
      <c r="B408" s="4"/>
      <c r="C408" s="6"/>
      <c r="D408" s="5" t="str">
        <f>IF(B408="","",IFERROR(INDEX(Articles!$E:$E,MATCH(B408,Articles!$B:$B,0)),""))</f>
        <v/>
      </c>
      <c r="E408" s="9" t="str">
        <f>IF(OR(C408="",D408=""),"",C408*D408)</f>
        <v/>
      </c>
      <c r="F408" s="4"/>
      <c r="G408" s="4"/>
      <c r="H408" s="9" t="str">
        <f>IF(OR(B408="",C408=""),"",C408*IFERROR(INDEX(Articles!$D:$D,MATCH(B408,Articles!$B:$B,0)),0))</f>
        <v/>
      </c>
      <c r="I408" s="9" t="str">
        <f>IF(OR(E408="",H408=""),"",E408-H408)</f>
        <v/>
      </c>
      <c r="J408" s="4"/>
    </row>
    <row r="409">
      <c r="A409" s="7"/>
      <c r="B409" s="4"/>
      <c r="C409" s="6"/>
      <c r="D409" s="5" t="str">
        <f>IF(B409="","",IFERROR(INDEX(Articles!$E:$E,MATCH(B409,Articles!$B:$B,0)),""))</f>
        <v/>
      </c>
      <c r="E409" s="9" t="str">
        <f>IF(OR(C409="",D409=""),"",C409*D409)</f>
        <v/>
      </c>
      <c r="F409" s="4"/>
      <c r="G409" s="4"/>
      <c r="H409" s="9" t="str">
        <f>IF(OR(B409="",C409=""),"",C409*IFERROR(INDEX(Articles!$D:$D,MATCH(B409,Articles!$B:$B,0)),0))</f>
        <v/>
      </c>
      <c r="I409" s="9" t="str">
        <f>IF(OR(E409="",H409=""),"",E409-H409)</f>
        <v/>
      </c>
      <c r="J409" s="4"/>
    </row>
    <row r="410">
      <c r="A410" s="7"/>
      <c r="B410" s="4"/>
      <c r="C410" s="6"/>
      <c r="D410" s="5" t="str">
        <f>IF(B410="","",IFERROR(INDEX(Articles!$E:$E,MATCH(B410,Articles!$B:$B,0)),""))</f>
        <v/>
      </c>
      <c r="E410" s="9" t="str">
        <f>IF(OR(C410="",D410=""),"",C410*D410)</f>
        <v/>
      </c>
      <c r="F410" s="4"/>
      <c r="G410" s="4"/>
      <c r="H410" s="9" t="str">
        <f>IF(OR(B410="",C410=""),"",C410*IFERROR(INDEX(Articles!$D:$D,MATCH(B410,Articles!$B:$B,0)),0))</f>
        <v/>
      </c>
      <c r="I410" s="9" t="str">
        <f>IF(OR(E410="",H410=""),"",E410-H410)</f>
        <v/>
      </c>
      <c r="J410" s="4"/>
    </row>
    <row r="411">
      <c r="A411" s="7"/>
      <c r="B411" s="4"/>
      <c r="C411" s="6"/>
      <c r="D411" s="5" t="str">
        <f>IF(B411="","",IFERROR(INDEX(Articles!$E:$E,MATCH(B411,Articles!$B:$B,0)),""))</f>
        <v/>
      </c>
      <c r="E411" s="9" t="str">
        <f>IF(OR(C411="",D411=""),"",C411*D411)</f>
        <v/>
      </c>
      <c r="F411" s="4"/>
      <c r="G411" s="4"/>
      <c r="H411" s="9" t="str">
        <f>IF(OR(B411="",C411=""),"",C411*IFERROR(INDEX(Articles!$D:$D,MATCH(B411,Articles!$B:$B,0)),0))</f>
        <v/>
      </c>
      <c r="I411" s="9" t="str">
        <f>IF(OR(E411="",H411=""),"",E411-H411)</f>
        <v/>
      </c>
      <c r="J411" s="4"/>
    </row>
    <row r="412">
      <c r="A412" s="7"/>
      <c r="B412" s="4"/>
      <c r="C412" s="6"/>
      <c r="D412" s="5" t="str">
        <f>IF(B412="","",IFERROR(INDEX(Articles!$E:$E,MATCH(B412,Articles!$B:$B,0)),""))</f>
        <v/>
      </c>
      <c r="E412" s="9" t="str">
        <f>IF(OR(C412="",D412=""),"",C412*D412)</f>
        <v/>
      </c>
      <c r="F412" s="4"/>
      <c r="G412" s="4"/>
      <c r="H412" s="9" t="str">
        <f>IF(OR(B412="",C412=""),"",C412*IFERROR(INDEX(Articles!$D:$D,MATCH(B412,Articles!$B:$B,0)),0))</f>
        <v/>
      </c>
      <c r="I412" s="9" t="str">
        <f>IF(OR(E412="",H412=""),"",E412-H412)</f>
        <v/>
      </c>
      <c r="J412" s="4"/>
    </row>
    <row r="413">
      <c r="A413" s="7"/>
      <c r="B413" s="4"/>
      <c r="C413" s="6"/>
      <c r="D413" s="5" t="str">
        <f>IF(B413="","",IFERROR(INDEX(Articles!$E:$E,MATCH(B413,Articles!$B:$B,0)),""))</f>
        <v/>
      </c>
      <c r="E413" s="9" t="str">
        <f>IF(OR(C413="",D413=""),"",C413*D413)</f>
        <v/>
      </c>
      <c r="F413" s="4"/>
      <c r="G413" s="4"/>
      <c r="H413" s="9" t="str">
        <f>IF(OR(B413="",C413=""),"",C413*IFERROR(INDEX(Articles!$D:$D,MATCH(B413,Articles!$B:$B,0)),0))</f>
        <v/>
      </c>
      <c r="I413" s="9" t="str">
        <f>IF(OR(E413="",H413=""),"",E413-H413)</f>
        <v/>
      </c>
      <c r="J413" s="4"/>
    </row>
    <row r="414">
      <c r="A414" s="7"/>
      <c r="B414" s="4"/>
      <c r="C414" s="6"/>
      <c r="D414" s="5" t="str">
        <f>IF(B414="","",IFERROR(INDEX(Articles!$E:$E,MATCH(B414,Articles!$B:$B,0)),""))</f>
        <v/>
      </c>
      <c r="E414" s="9" t="str">
        <f>IF(OR(C414="",D414=""),"",C414*D414)</f>
        <v/>
      </c>
      <c r="F414" s="4"/>
      <c r="G414" s="4"/>
      <c r="H414" s="9" t="str">
        <f>IF(OR(B414="",C414=""),"",C414*IFERROR(INDEX(Articles!$D:$D,MATCH(B414,Articles!$B:$B,0)),0))</f>
        <v/>
      </c>
      <c r="I414" s="9" t="str">
        <f>IF(OR(E414="",H414=""),"",E414-H414)</f>
        <v/>
      </c>
      <c r="J414" s="4"/>
    </row>
    <row r="415">
      <c r="A415" s="7"/>
      <c r="B415" s="4"/>
      <c r="C415" s="6"/>
      <c r="D415" s="5" t="str">
        <f>IF(B415="","",IFERROR(INDEX(Articles!$E:$E,MATCH(B415,Articles!$B:$B,0)),""))</f>
        <v/>
      </c>
      <c r="E415" s="9" t="str">
        <f>IF(OR(C415="",D415=""),"",C415*D415)</f>
        <v/>
      </c>
      <c r="F415" s="4"/>
      <c r="G415" s="4"/>
      <c r="H415" s="9" t="str">
        <f>IF(OR(B415="",C415=""),"",C415*IFERROR(INDEX(Articles!$D:$D,MATCH(B415,Articles!$B:$B,0)),0))</f>
        <v/>
      </c>
      <c r="I415" s="9" t="str">
        <f>IF(OR(E415="",H415=""),"",E415-H415)</f>
        <v/>
      </c>
      <c r="J415" s="4"/>
    </row>
    <row r="416">
      <c r="A416" s="7"/>
      <c r="B416" s="4"/>
      <c r="C416" s="6"/>
      <c r="D416" s="5" t="str">
        <f>IF(B416="","",IFERROR(INDEX(Articles!$E:$E,MATCH(B416,Articles!$B:$B,0)),""))</f>
        <v/>
      </c>
      <c r="E416" s="9" t="str">
        <f>IF(OR(C416="",D416=""),"",C416*D416)</f>
        <v/>
      </c>
      <c r="F416" s="4"/>
      <c r="G416" s="4"/>
      <c r="H416" s="9" t="str">
        <f>IF(OR(B416="",C416=""),"",C416*IFERROR(INDEX(Articles!$D:$D,MATCH(B416,Articles!$B:$B,0)),0))</f>
        <v/>
      </c>
      <c r="I416" s="9" t="str">
        <f>IF(OR(E416="",H416=""),"",E416-H416)</f>
        <v/>
      </c>
      <c r="J416" s="4"/>
    </row>
    <row r="417">
      <c r="A417" s="7"/>
      <c r="B417" s="4"/>
      <c r="C417" s="6"/>
      <c r="D417" s="5" t="str">
        <f>IF(B417="","",IFERROR(INDEX(Articles!$E:$E,MATCH(B417,Articles!$B:$B,0)),""))</f>
        <v/>
      </c>
      <c r="E417" s="9" t="str">
        <f>IF(OR(C417="",D417=""),"",C417*D417)</f>
        <v/>
      </c>
      <c r="F417" s="4"/>
      <c r="G417" s="4"/>
      <c r="H417" s="9" t="str">
        <f>IF(OR(B417="",C417=""),"",C417*IFERROR(INDEX(Articles!$D:$D,MATCH(B417,Articles!$B:$B,0)),0))</f>
        <v/>
      </c>
      <c r="I417" s="9" t="str">
        <f>IF(OR(E417="",H417=""),"",E417-H417)</f>
        <v/>
      </c>
      <c r="J417" s="4"/>
    </row>
    <row r="418">
      <c r="A418" s="7"/>
      <c r="B418" s="4"/>
      <c r="C418" s="6"/>
      <c r="D418" s="5" t="str">
        <f>IF(B418="","",IFERROR(INDEX(Articles!$E:$E,MATCH(B418,Articles!$B:$B,0)),""))</f>
        <v/>
      </c>
      <c r="E418" s="9" t="str">
        <f>IF(OR(C418="",D418=""),"",C418*D418)</f>
        <v/>
      </c>
      <c r="F418" s="4"/>
      <c r="G418" s="4"/>
      <c r="H418" s="9" t="str">
        <f>IF(OR(B418="",C418=""),"",C418*IFERROR(INDEX(Articles!$D:$D,MATCH(B418,Articles!$B:$B,0)),0))</f>
        <v/>
      </c>
      <c r="I418" s="9" t="str">
        <f>IF(OR(E418="",H418=""),"",E418-H418)</f>
        <v/>
      </c>
      <c r="J418" s="4"/>
    </row>
    <row r="419">
      <c r="A419" s="7"/>
      <c r="B419" s="4"/>
      <c r="C419" s="6"/>
      <c r="D419" s="5" t="str">
        <f>IF(B419="","",IFERROR(INDEX(Articles!$E:$E,MATCH(B419,Articles!$B:$B,0)),""))</f>
        <v/>
      </c>
      <c r="E419" s="9" t="str">
        <f>IF(OR(C419="",D419=""),"",C419*D419)</f>
        <v/>
      </c>
      <c r="F419" s="4"/>
      <c r="G419" s="4"/>
      <c r="H419" s="9" t="str">
        <f>IF(OR(B419="",C419=""),"",C419*IFERROR(INDEX(Articles!$D:$D,MATCH(B419,Articles!$B:$B,0)),0))</f>
        <v/>
      </c>
      <c r="I419" s="9" t="str">
        <f>IF(OR(E419="",H419=""),"",E419-H419)</f>
        <v/>
      </c>
      <c r="J419" s="4"/>
    </row>
    <row r="420">
      <c r="A420" s="7"/>
      <c r="B420" s="4"/>
      <c r="C420" s="6"/>
      <c r="D420" s="5" t="str">
        <f>IF(B420="","",IFERROR(INDEX(Articles!$E:$E,MATCH(B420,Articles!$B:$B,0)),""))</f>
        <v/>
      </c>
      <c r="E420" s="9" t="str">
        <f>IF(OR(C420="",D420=""),"",C420*D420)</f>
        <v/>
      </c>
      <c r="F420" s="4"/>
      <c r="G420" s="4"/>
      <c r="H420" s="9" t="str">
        <f>IF(OR(B420="",C420=""),"",C420*IFERROR(INDEX(Articles!$D:$D,MATCH(B420,Articles!$B:$B,0)),0))</f>
        <v/>
      </c>
      <c r="I420" s="9" t="str">
        <f>IF(OR(E420="",H420=""),"",E420-H420)</f>
        <v/>
      </c>
      <c r="J420" s="4"/>
    </row>
    <row r="421">
      <c r="A421" s="7"/>
      <c r="B421" s="4"/>
      <c r="C421" s="6"/>
      <c r="D421" s="5" t="str">
        <f>IF(B421="","",IFERROR(INDEX(Articles!$E:$E,MATCH(B421,Articles!$B:$B,0)),""))</f>
        <v/>
      </c>
      <c r="E421" s="9" t="str">
        <f>IF(OR(C421="",D421=""),"",C421*D421)</f>
        <v/>
      </c>
      <c r="F421" s="4"/>
      <c r="G421" s="4"/>
      <c r="H421" s="9" t="str">
        <f>IF(OR(B421="",C421=""),"",C421*IFERROR(INDEX(Articles!$D:$D,MATCH(B421,Articles!$B:$B,0)),0))</f>
        <v/>
      </c>
      <c r="I421" s="9" t="str">
        <f>IF(OR(E421="",H421=""),"",E421-H421)</f>
        <v/>
      </c>
      <c r="J421" s="4"/>
    </row>
    <row r="422">
      <c r="A422" s="7"/>
      <c r="B422" s="4"/>
      <c r="C422" s="6"/>
      <c r="D422" s="5" t="str">
        <f>IF(B422="","",IFERROR(INDEX(Articles!$E:$E,MATCH(B422,Articles!$B:$B,0)),""))</f>
        <v/>
      </c>
      <c r="E422" s="9" t="str">
        <f>IF(OR(C422="",D422=""),"",C422*D422)</f>
        <v/>
      </c>
      <c r="F422" s="4"/>
      <c r="G422" s="4"/>
      <c r="H422" s="9" t="str">
        <f>IF(OR(B422="",C422=""),"",C422*IFERROR(INDEX(Articles!$D:$D,MATCH(B422,Articles!$B:$B,0)),0))</f>
        <v/>
      </c>
      <c r="I422" s="9" t="str">
        <f>IF(OR(E422="",H422=""),"",E422-H422)</f>
        <v/>
      </c>
      <c r="J422" s="4"/>
    </row>
    <row r="423">
      <c r="A423" s="7"/>
      <c r="B423" s="4"/>
      <c r="C423" s="6"/>
      <c r="D423" s="5" t="str">
        <f>IF(B423="","",IFERROR(INDEX(Articles!$E:$E,MATCH(B423,Articles!$B:$B,0)),""))</f>
        <v/>
      </c>
      <c r="E423" s="9" t="str">
        <f>IF(OR(C423="",D423=""),"",C423*D423)</f>
        <v/>
      </c>
      <c r="F423" s="4"/>
      <c r="G423" s="4"/>
      <c r="H423" s="9" t="str">
        <f>IF(OR(B423="",C423=""),"",C423*IFERROR(INDEX(Articles!$D:$D,MATCH(B423,Articles!$B:$B,0)),0))</f>
        <v/>
      </c>
      <c r="I423" s="9" t="str">
        <f>IF(OR(E423="",H423=""),"",E423-H423)</f>
        <v/>
      </c>
      <c r="J423" s="4"/>
    </row>
    <row r="424">
      <c r="A424" s="7"/>
      <c r="B424" s="4"/>
      <c r="C424" s="6"/>
      <c r="D424" s="5" t="str">
        <f>IF(B424="","",IFERROR(INDEX(Articles!$E:$E,MATCH(B424,Articles!$B:$B,0)),""))</f>
        <v/>
      </c>
      <c r="E424" s="9" t="str">
        <f>IF(OR(C424="",D424=""),"",C424*D424)</f>
        <v/>
      </c>
      <c r="F424" s="4"/>
      <c r="G424" s="4"/>
      <c r="H424" s="9" t="str">
        <f>IF(OR(B424="",C424=""),"",C424*IFERROR(INDEX(Articles!$D:$D,MATCH(B424,Articles!$B:$B,0)),0))</f>
        <v/>
      </c>
      <c r="I424" s="9" t="str">
        <f>IF(OR(E424="",H424=""),"",E424-H424)</f>
        <v/>
      </c>
      <c r="J424" s="4"/>
    </row>
    <row r="425">
      <c r="A425" s="7"/>
      <c r="B425" s="4"/>
      <c r="C425" s="6"/>
      <c r="D425" s="5" t="str">
        <f>IF(B425="","",IFERROR(INDEX(Articles!$E:$E,MATCH(B425,Articles!$B:$B,0)),""))</f>
        <v/>
      </c>
      <c r="E425" s="9" t="str">
        <f>IF(OR(C425="",D425=""),"",C425*D425)</f>
        <v/>
      </c>
      <c r="F425" s="4"/>
      <c r="G425" s="4"/>
      <c r="H425" s="9" t="str">
        <f>IF(OR(B425="",C425=""),"",C425*IFERROR(INDEX(Articles!$D:$D,MATCH(B425,Articles!$B:$B,0)),0))</f>
        <v/>
      </c>
      <c r="I425" s="9" t="str">
        <f>IF(OR(E425="",H425=""),"",E425-H425)</f>
        <v/>
      </c>
      <c r="J425" s="4"/>
    </row>
    <row r="426">
      <c r="A426" s="7"/>
      <c r="B426" s="4"/>
      <c r="C426" s="6"/>
      <c r="D426" s="5" t="str">
        <f>IF(B426="","",IFERROR(INDEX(Articles!$E:$E,MATCH(B426,Articles!$B:$B,0)),""))</f>
        <v/>
      </c>
      <c r="E426" s="9" t="str">
        <f>IF(OR(C426="",D426=""),"",C426*D426)</f>
        <v/>
      </c>
      <c r="F426" s="4"/>
      <c r="G426" s="4"/>
      <c r="H426" s="9" t="str">
        <f>IF(OR(B426="",C426=""),"",C426*IFERROR(INDEX(Articles!$D:$D,MATCH(B426,Articles!$B:$B,0)),0))</f>
        <v/>
      </c>
      <c r="I426" s="9" t="str">
        <f>IF(OR(E426="",H426=""),"",E426-H426)</f>
        <v/>
      </c>
      <c r="J426" s="4"/>
    </row>
    <row r="427">
      <c r="A427" s="7"/>
      <c r="B427" s="4"/>
      <c r="C427" s="6"/>
      <c r="D427" s="5" t="str">
        <f>IF(B427="","",IFERROR(INDEX(Articles!$E:$E,MATCH(B427,Articles!$B:$B,0)),""))</f>
        <v/>
      </c>
      <c r="E427" s="9" t="str">
        <f>IF(OR(C427="",D427=""),"",C427*D427)</f>
        <v/>
      </c>
      <c r="F427" s="4"/>
      <c r="G427" s="4"/>
      <c r="H427" s="9" t="str">
        <f>IF(OR(B427="",C427=""),"",C427*IFERROR(INDEX(Articles!$D:$D,MATCH(B427,Articles!$B:$B,0)),0))</f>
        <v/>
      </c>
      <c r="I427" s="9" t="str">
        <f>IF(OR(E427="",H427=""),"",E427-H427)</f>
        <v/>
      </c>
      <c r="J427" s="4"/>
    </row>
    <row r="428">
      <c r="A428" s="7"/>
      <c r="B428" s="4"/>
      <c r="C428" s="6"/>
      <c r="D428" s="5" t="str">
        <f>IF(B428="","",IFERROR(INDEX(Articles!$E:$E,MATCH(B428,Articles!$B:$B,0)),""))</f>
        <v/>
      </c>
      <c r="E428" s="9" t="str">
        <f>IF(OR(C428="",D428=""),"",C428*D428)</f>
        <v/>
      </c>
      <c r="F428" s="4"/>
      <c r="G428" s="4"/>
      <c r="H428" s="9" t="str">
        <f>IF(OR(B428="",C428=""),"",C428*IFERROR(INDEX(Articles!$D:$D,MATCH(B428,Articles!$B:$B,0)),0))</f>
        <v/>
      </c>
      <c r="I428" s="9" t="str">
        <f>IF(OR(E428="",H428=""),"",E428-H428)</f>
        <v/>
      </c>
      <c r="J428" s="4"/>
    </row>
    <row r="429">
      <c r="A429" s="7"/>
      <c r="B429" s="4"/>
      <c r="C429" s="6"/>
      <c r="D429" s="5" t="str">
        <f>IF(B429="","",IFERROR(INDEX(Articles!$E:$E,MATCH(B429,Articles!$B:$B,0)),""))</f>
        <v/>
      </c>
      <c r="E429" s="9" t="str">
        <f>IF(OR(C429="",D429=""),"",C429*D429)</f>
        <v/>
      </c>
      <c r="F429" s="4"/>
      <c r="G429" s="4"/>
      <c r="H429" s="9" t="str">
        <f>IF(OR(B429="",C429=""),"",C429*IFERROR(INDEX(Articles!$D:$D,MATCH(B429,Articles!$B:$B,0)),0))</f>
        <v/>
      </c>
      <c r="I429" s="9" t="str">
        <f>IF(OR(E429="",H429=""),"",E429-H429)</f>
        <v/>
      </c>
      <c r="J429" s="4"/>
    </row>
    <row r="430">
      <c r="A430" s="7"/>
      <c r="B430" s="4"/>
      <c r="C430" s="6"/>
      <c r="D430" s="5" t="str">
        <f>IF(B430="","",IFERROR(INDEX(Articles!$E:$E,MATCH(B430,Articles!$B:$B,0)),""))</f>
        <v/>
      </c>
      <c r="E430" s="9" t="str">
        <f>IF(OR(C430="",D430=""),"",C430*D430)</f>
        <v/>
      </c>
      <c r="F430" s="4"/>
      <c r="G430" s="4"/>
      <c r="H430" s="9" t="str">
        <f>IF(OR(B430="",C430=""),"",C430*IFERROR(INDEX(Articles!$D:$D,MATCH(B430,Articles!$B:$B,0)),0))</f>
        <v/>
      </c>
      <c r="I430" s="9" t="str">
        <f>IF(OR(E430="",H430=""),"",E430-H430)</f>
        <v/>
      </c>
      <c r="J430" s="4"/>
    </row>
    <row r="431">
      <c r="A431" s="7"/>
      <c r="B431" s="4"/>
      <c r="C431" s="6"/>
      <c r="D431" s="5" t="str">
        <f>IF(B431="","",IFERROR(INDEX(Articles!$E:$E,MATCH(B431,Articles!$B:$B,0)),""))</f>
        <v/>
      </c>
      <c r="E431" s="9" t="str">
        <f>IF(OR(C431="",D431=""),"",C431*D431)</f>
        <v/>
      </c>
      <c r="F431" s="4"/>
      <c r="G431" s="4"/>
      <c r="H431" s="9" t="str">
        <f>IF(OR(B431="",C431=""),"",C431*IFERROR(INDEX(Articles!$D:$D,MATCH(B431,Articles!$B:$B,0)),0))</f>
        <v/>
      </c>
      <c r="I431" s="9" t="str">
        <f>IF(OR(E431="",H431=""),"",E431-H431)</f>
        <v/>
      </c>
      <c r="J431" s="4"/>
    </row>
    <row r="432">
      <c r="A432" s="7"/>
      <c r="B432" s="4"/>
      <c r="C432" s="6"/>
      <c r="D432" s="5" t="str">
        <f>IF(B432="","",IFERROR(INDEX(Articles!$E:$E,MATCH(B432,Articles!$B:$B,0)),""))</f>
        <v/>
      </c>
      <c r="E432" s="9" t="str">
        <f>IF(OR(C432="",D432=""),"",C432*D432)</f>
        <v/>
      </c>
      <c r="F432" s="4"/>
      <c r="G432" s="4"/>
      <c r="H432" s="9" t="str">
        <f>IF(OR(B432="",C432=""),"",C432*IFERROR(INDEX(Articles!$D:$D,MATCH(B432,Articles!$B:$B,0)),0))</f>
        <v/>
      </c>
      <c r="I432" s="9" t="str">
        <f>IF(OR(E432="",H432=""),"",E432-H432)</f>
        <v/>
      </c>
      <c r="J432" s="4"/>
    </row>
    <row r="433">
      <c r="A433" s="7"/>
      <c r="B433" s="4"/>
      <c r="C433" s="6"/>
      <c r="D433" s="5" t="str">
        <f>IF(B433="","",IFERROR(INDEX(Articles!$E:$E,MATCH(B433,Articles!$B:$B,0)),""))</f>
        <v/>
      </c>
      <c r="E433" s="9" t="str">
        <f>IF(OR(C433="",D433=""),"",C433*D433)</f>
        <v/>
      </c>
      <c r="F433" s="4"/>
      <c r="G433" s="4"/>
      <c r="H433" s="9" t="str">
        <f>IF(OR(B433="",C433=""),"",C433*IFERROR(INDEX(Articles!$D:$D,MATCH(B433,Articles!$B:$B,0)),0))</f>
        <v/>
      </c>
      <c r="I433" s="9" t="str">
        <f>IF(OR(E433="",H433=""),"",E433-H433)</f>
        <v/>
      </c>
      <c r="J433" s="4"/>
    </row>
    <row r="434">
      <c r="A434" s="7"/>
      <c r="B434" s="4"/>
      <c r="C434" s="6"/>
      <c r="D434" s="5" t="str">
        <f>IF(B434="","",IFERROR(INDEX(Articles!$E:$E,MATCH(B434,Articles!$B:$B,0)),""))</f>
        <v/>
      </c>
      <c r="E434" s="9" t="str">
        <f>IF(OR(C434="",D434=""),"",C434*D434)</f>
        <v/>
      </c>
      <c r="F434" s="4"/>
      <c r="G434" s="4"/>
      <c r="H434" s="9" t="str">
        <f>IF(OR(B434="",C434=""),"",C434*IFERROR(INDEX(Articles!$D:$D,MATCH(B434,Articles!$B:$B,0)),0))</f>
        <v/>
      </c>
      <c r="I434" s="9" t="str">
        <f>IF(OR(E434="",H434=""),"",E434-H434)</f>
        <v/>
      </c>
      <c r="J434" s="4"/>
    </row>
    <row r="435">
      <c r="A435" s="7"/>
      <c r="B435" s="4"/>
      <c r="C435" s="6"/>
      <c r="D435" s="5" t="str">
        <f>IF(B435="","",IFERROR(INDEX(Articles!$E:$E,MATCH(B435,Articles!$B:$B,0)),""))</f>
        <v/>
      </c>
      <c r="E435" s="9" t="str">
        <f>IF(OR(C435="",D435=""),"",C435*D435)</f>
        <v/>
      </c>
      <c r="F435" s="4"/>
      <c r="G435" s="4"/>
      <c r="H435" s="9" t="str">
        <f>IF(OR(B435="",C435=""),"",C435*IFERROR(INDEX(Articles!$D:$D,MATCH(B435,Articles!$B:$B,0)),0))</f>
        <v/>
      </c>
      <c r="I435" s="9" t="str">
        <f>IF(OR(E435="",H435=""),"",E435-H435)</f>
        <v/>
      </c>
      <c r="J435" s="4"/>
    </row>
    <row r="436">
      <c r="A436" s="7"/>
      <c r="B436" s="4"/>
      <c r="C436" s="6"/>
      <c r="D436" s="5" t="str">
        <f>IF(B436="","",IFERROR(INDEX(Articles!$E:$E,MATCH(B436,Articles!$B:$B,0)),""))</f>
        <v/>
      </c>
      <c r="E436" s="9" t="str">
        <f>IF(OR(C436="",D436=""),"",C436*D436)</f>
        <v/>
      </c>
      <c r="F436" s="4"/>
      <c r="G436" s="4"/>
      <c r="H436" s="9" t="str">
        <f>IF(OR(B436="",C436=""),"",C436*IFERROR(INDEX(Articles!$D:$D,MATCH(B436,Articles!$B:$B,0)),0))</f>
        <v/>
      </c>
      <c r="I436" s="9" t="str">
        <f>IF(OR(E436="",H436=""),"",E436-H436)</f>
        <v/>
      </c>
      <c r="J436" s="4"/>
    </row>
    <row r="437">
      <c r="A437" s="7"/>
      <c r="B437" s="4"/>
      <c r="C437" s="6"/>
      <c r="D437" s="5" t="str">
        <f>IF(B437="","",IFERROR(INDEX(Articles!$E:$E,MATCH(B437,Articles!$B:$B,0)),""))</f>
        <v/>
      </c>
      <c r="E437" s="9" t="str">
        <f>IF(OR(C437="",D437=""),"",C437*D437)</f>
        <v/>
      </c>
      <c r="F437" s="4"/>
      <c r="G437" s="4"/>
      <c r="H437" s="9" t="str">
        <f>IF(OR(B437="",C437=""),"",C437*IFERROR(INDEX(Articles!$D:$D,MATCH(B437,Articles!$B:$B,0)),0))</f>
        <v/>
      </c>
      <c r="I437" s="9" t="str">
        <f>IF(OR(E437="",H437=""),"",E437-H437)</f>
        <v/>
      </c>
      <c r="J437" s="4"/>
    </row>
    <row r="438">
      <c r="A438" s="7"/>
      <c r="B438" s="4"/>
      <c r="C438" s="6"/>
      <c r="D438" s="5" t="str">
        <f>IF(B438="","",IFERROR(INDEX(Articles!$E:$E,MATCH(B438,Articles!$B:$B,0)),""))</f>
        <v/>
      </c>
      <c r="E438" s="9" t="str">
        <f>IF(OR(C438="",D438=""),"",C438*D438)</f>
        <v/>
      </c>
      <c r="F438" s="4"/>
      <c r="G438" s="4"/>
      <c r="H438" s="9" t="str">
        <f>IF(OR(B438="",C438=""),"",C438*IFERROR(INDEX(Articles!$D:$D,MATCH(B438,Articles!$B:$B,0)),0))</f>
        <v/>
      </c>
      <c r="I438" s="9" t="str">
        <f>IF(OR(E438="",H438=""),"",E438-H438)</f>
        <v/>
      </c>
      <c r="J438" s="4"/>
    </row>
    <row r="439">
      <c r="A439" s="7"/>
      <c r="B439" s="4"/>
      <c r="C439" s="6"/>
      <c r="D439" s="5" t="str">
        <f>IF(B439="","",IFERROR(INDEX(Articles!$E:$E,MATCH(B439,Articles!$B:$B,0)),""))</f>
        <v/>
      </c>
      <c r="E439" s="9" t="str">
        <f>IF(OR(C439="",D439=""),"",C439*D439)</f>
        <v/>
      </c>
      <c r="F439" s="4"/>
      <c r="G439" s="4"/>
      <c r="H439" s="9" t="str">
        <f>IF(OR(B439="",C439=""),"",C439*IFERROR(INDEX(Articles!$D:$D,MATCH(B439,Articles!$B:$B,0)),0))</f>
        <v/>
      </c>
      <c r="I439" s="9" t="str">
        <f>IF(OR(E439="",H439=""),"",E439-H439)</f>
        <v/>
      </c>
      <c r="J439" s="4"/>
    </row>
    <row r="440">
      <c r="A440" s="7"/>
      <c r="B440" s="4"/>
      <c r="C440" s="6"/>
      <c r="D440" s="5" t="str">
        <f>IF(B440="","",IFERROR(INDEX(Articles!$E:$E,MATCH(B440,Articles!$B:$B,0)),""))</f>
        <v/>
      </c>
      <c r="E440" s="9" t="str">
        <f>IF(OR(C440="",D440=""),"",C440*D440)</f>
        <v/>
      </c>
      <c r="F440" s="4"/>
      <c r="G440" s="4"/>
      <c r="H440" s="9" t="str">
        <f>IF(OR(B440="",C440=""),"",C440*IFERROR(INDEX(Articles!$D:$D,MATCH(B440,Articles!$B:$B,0)),0))</f>
        <v/>
      </c>
      <c r="I440" s="9" t="str">
        <f>IF(OR(E440="",H440=""),"",E440-H440)</f>
        <v/>
      </c>
      <c r="J440" s="4"/>
    </row>
    <row r="441">
      <c r="A441" s="7"/>
      <c r="B441" s="4"/>
      <c r="C441" s="6"/>
      <c r="D441" s="5" t="str">
        <f>IF(B441="","",IFERROR(INDEX(Articles!$E:$E,MATCH(B441,Articles!$B:$B,0)),""))</f>
        <v/>
      </c>
      <c r="E441" s="9" t="str">
        <f>IF(OR(C441="",D441=""),"",C441*D441)</f>
        <v/>
      </c>
      <c r="F441" s="4"/>
      <c r="G441" s="4"/>
      <c r="H441" s="9" t="str">
        <f>IF(OR(B441="",C441=""),"",C441*IFERROR(INDEX(Articles!$D:$D,MATCH(B441,Articles!$B:$B,0)),0))</f>
        <v/>
      </c>
      <c r="I441" s="9" t="str">
        <f>IF(OR(E441="",H441=""),"",E441-H441)</f>
        <v/>
      </c>
      <c r="J441" s="4"/>
    </row>
    <row r="442">
      <c r="A442" s="7"/>
      <c r="B442" s="4"/>
      <c r="C442" s="6"/>
      <c r="D442" s="5" t="str">
        <f>IF(B442="","",IFERROR(INDEX(Articles!$E:$E,MATCH(B442,Articles!$B:$B,0)),""))</f>
        <v/>
      </c>
      <c r="E442" s="9" t="str">
        <f>IF(OR(C442="",D442=""),"",C442*D442)</f>
        <v/>
      </c>
      <c r="F442" s="4"/>
      <c r="G442" s="4"/>
      <c r="H442" s="9" t="str">
        <f>IF(OR(B442="",C442=""),"",C442*IFERROR(INDEX(Articles!$D:$D,MATCH(B442,Articles!$B:$B,0)),0))</f>
        <v/>
      </c>
      <c r="I442" s="9" t="str">
        <f>IF(OR(E442="",H442=""),"",E442-H442)</f>
        <v/>
      </c>
      <c r="J442" s="4"/>
    </row>
    <row r="443">
      <c r="A443" s="7"/>
      <c r="B443" s="4"/>
      <c r="C443" s="6"/>
      <c r="D443" s="5" t="str">
        <f>IF(B443="","",IFERROR(INDEX(Articles!$E:$E,MATCH(B443,Articles!$B:$B,0)),""))</f>
        <v/>
      </c>
      <c r="E443" s="9" t="str">
        <f>IF(OR(C443="",D443=""),"",C443*D443)</f>
        <v/>
      </c>
      <c r="F443" s="4"/>
      <c r="G443" s="4"/>
      <c r="H443" s="9" t="str">
        <f>IF(OR(B443="",C443=""),"",C443*IFERROR(INDEX(Articles!$D:$D,MATCH(B443,Articles!$B:$B,0)),0))</f>
        <v/>
      </c>
      <c r="I443" s="9" t="str">
        <f>IF(OR(E443="",H443=""),"",E443-H443)</f>
        <v/>
      </c>
      <c r="J443" s="4"/>
    </row>
    <row r="444">
      <c r="A444" s="7"/>
      <c r="B444" s="4"/>
      <c r="C444" s="6"/>
      <c r="D444" s="5" t="str">
        <f>IF(B444="","",IFERROR(INDEX(Articles!$E:$E,MATCH(B444,Articles!$B:$B,0)),""))</f>
        <v/>
      </c>
      <c r="E444" s="9" t="str">
        <f>IF(OR(C444="",D444=""),"",C444*D444)</f>
        <v/>
      </c>
      <c r="F444" s="4"/>
      <c r="G444" s="4"/>
      <c r="H444" s="9" t="str">
        <f>IF(OR(B444="",C444=""),"",C444*IFERROR(INDEX(Articles!$D:$D,MATCH(B444,Articles!$B:$B,0)),0))</f>
        <v/>
      </c>
      <c r="I444" s="9" t="str">
        <f>IF(OR(E444="",H444=""),"",E444-H444)</f>
        <v/>
      </c>
      <c r="J444" s="4"/>
    </row>
    <row r="445">
      <c r="A445" s="7"/>
      <c r="B445" s="4"/>
      <c r="C445" s="6"/>
      <c r="D445" s="5" t="str">
        <f>IF(B445="","",IFERROR(INDEX(Articles!$E:$E,MATCH(B445,Articles!$B:$B,0)),""))</f>
        <v/>
      </c>
      <c r="E445" s="9" t="str">
        <f>IF(OR(C445="",D445=""),"",C445*D445)</f>
        <v/>
      </c>
      <c r="F445" s="4"/>
      <c r="G445" s="4"/>
      <c r="H445" s="9" t="str">
        <f>IF(OR(B445="",C445=""),"",C445*IFERROR(INDEX(Articles!$D:$D,MATCH(B445,Articles!$B:$B,0)),0))</f>
        <v/>
      </c>
      <c r="I445" s="9" t="str">
        <f>IF(OR(E445="",H445=""),"",E445-H445)</f>
        <v/>
      </c>
      <c r="J445" s="4"/>
    </row>
    <row r="446">
      <c r="A446" s="7"/>
      <c r="B446" s="4"/>
      <c r="C446" s="6"/>
      <c r="D446" s="5" t="str">
        <f>IF(B446="","",IFERROR(INDEX(Articles!$E:$E,MATCH(B446,Articles!$B:$B,0)),""))</f>
        <v/>
      </c>
      <c r="E446" s="9" t="str">
        <f>IF(OR(C446="",D446=""),"",C446*D446)</f>
        <v/>
      </c>
      <c r="F446" s="4"/>
      <c r="G446" s="4"/>
      <c r="H446" s="9" t="str">
        <f>IF(OR(B446="",C446=""),"",C446*IFERROR(INDEX(Articles!$D:$D,MATCH(B446,Articles!$B:$B,0)),0))</f>
        <v/>
      </c>
      <c r="I446" s="9" t="str">
        <f>IF(OR(E446="",H446=""),"",E446-H446)</f>
        <v/>
      </c>
      <c r="J446" s="4"/>
    </row>
    <row r="447">
      <c r="A447" s="7"/>
      <c r="B447" s="4"/>
      <c r="C447" s="6"/>
      <c r="D447" s="5" t="str">
        <f>IF(B447="","",IFERROR(INDEX(Articles!$E:$E,MATCH(B447,Articles!$B:$B,0)),""))</f>
        <v/>
      </c>
      <c r="E447" s="9" t="str">
        <f>IF(OR(C447="",D447=""),"",C447*D447)</f>
        <v/>
      </c>
      <c r="F447" s="4"/>
      <c r="G447" s="4"/>
      <c r="H447" s="9" t="str">
        <f>IF(OR(B447="",C447=""),"",C447*IFERROR(INDEX(Articles!$D:$D,MATCH(B447,Articles!$B:$B,0)),0))</f>
        <v/>
      </c>
      <c r="I447" s="9" t="str">
        <f>IF(OR(E447="",H447=""),"",E447-H447)</f>
        <v/>
      </c>
      <c r="J447" s="4"/>
    </row>
    <row r="448">
      <c r="A448" s="7"/>
      <c r="B448" s="4"/>
      <c r="C448" s="6"/>
      <c r="D448" s="5" t="str">
        <f>IF(B448="","",IFERROR(INDEX(Articles!$E:$E,MATCH(B448,Articles!$B:$B,0)),""))</f>
        <v/>
      </c>
      <c r="E448" s="9" t="str">
        <f>IF(OR(C448="",D448=""),"",C448*D448)</f>
        <v/>
      </c>
      <c r="F448" s="4"/>
      <c r="G448" s="4"/>
      <c r="H448" s="9" t="str">
        <f>IF(OR(B448="",C448=""),"",C448*IFERROR(INDEX(Articles!$D:$D,MATCH(B448,Articles!$B:$B,0)),0))</f>
        <v/>
      </c>
      <c r="I448" s="9" t="str">
        <f>IF(OR(E448="",H448=""),"",E448-H448)</f>
        <v/>
      </c>
      <c r="J448" s="4"/>
    </row>
    <row r="449">
      <c r="A449" s="7"/>
      <c r="B449" s="4"/>
      <c r="C449" s="6"/>
      <c r="D449" s="5" t="str">
        <f>IF(B449="","",IFERROR(INDEX(Articles!$E:$E,MATCH(B449,Articles!$B:$B,0)),""))</f>
        <v/>
      </c>
      <c r="E449" s="9" t="str">
        <f>IF(OR(C449="",D449=""),"",C449*D449)</f>
        <v/>
      </c>
      <c r="F449" s="4"/>
      <c r="G449" s="4"/>
      <c r="H449" s="9" t="str">
        <f>IF(OR(B449="",C449=""),"",C449*IFERROR(INDEX(Articles!$D:$D,MATCH(B449,Articles!$B:$B,0)),0))</f>
        <v/>
      </c>
      <c r="I449" s="9" t="str">
        <f>IF(OR(E449="",H449=""),"",E449-H449)</f>
        <v/>
      </c>
      <c r="J449" s="4"/>
    </row>
    <row r="450">
      <c r="A450" s="7"/>
      <c r="B450" s="4"/>
      <c r="C450" s="6"/>
      <c r="D450" s="5" t="str">
        <f>IF(B450="","",IFERROR(INDEX(Articles!$E:$E,MATCH(B450,Articles!$B:$B,0)),""))</f>
        <v/>
      </c>
      <c r="E450" s="9" t="str">
        <f>IF(OR(C450="",D450=""),"",C450*D450)</f>
        <v/>
      </c>
      <c r="F450" s="4"/>
      <c r="G450" s="4"/>
      <c r="H450" s="9" t="str">
        <f>IF(OR(B450="",C450=""),"",C450*IFERROR(INDEX(Articles!$D:$D,MATCH(B450,Articles!$B:$B,0)),0))</f>
        <v/>
      </c>
      <c r="I450" s="9" t="str">
        <f>IF(OR(E450="",H450=""),"",E450-H450)</f>
        <v/>
      </c>
      <c r="J450" s="4"/>
    </row>
    <row r="451">
      <c r="A451" s="7"/>
      <c r="B451" s="4"/>
      <c r="C451" s="6"/>
      <c r="D451" s="5" t="str">
        <f>IF(B451="","",IFERROR(INDEX(Articles!$E:$E,MATCH(B451,Articles!$B:$B,0)),""))</f>
        <v/>
      </c>
      <c r="E451" s="9" t="str">
        <f>IF(OR(C451="",D451=""),"",C451*D451)</f>
        <v/>
      </c>
      <c r="F451" s="4"/>
      <c r="G451" s="4"/>
      <c r="H451" s="9" t="str">
        <f>IF(OR(B451="",C451=""),"",C451*IFERROR(INDEX(Articles!$D:$D,MATCH(B451,Articles!$B:$B,0)),0))</f>
        <v/>
      </c>
      <c r="I451" s="9" t="str">
        <f>IF(OR(E451="",H451=""),"",E451-H451)</f>
        <v/>
      </c>
      <c r="J451" s="4"/>
    </row>
    <row r="452">
      <c r="A452" s="7"/>
      <c r="B452" s="4"/>
      <c r="C452" s="6"/>
      <c r="D452" s="5" t="str">
        <f>IF(B452="","",IFERROR(INDEX(Articles!$E:$E,MATCH(B452,Articles!$B:$B,0)),""))</f>
        <v/>
      </c>
      <c r="E452" s="9" t="str">
        <f>IF(OR(C452="",D452=""),"",C452*D452)</f>
        <v/>
      </c>
      <c r="F452" s="4"/>
      <c r="G452" s="4"/>
      <c r="H452" s="9" t="str">
        <f>IF(OR(B452="",C452=""),"",C452*IFERROR(INDEX(Articles!$D:$D,MATCH(B452,Articles!$B:$B,0)),0))</f>
        <v/>
      </c>
      <c r="I452" s="9" t="str">
        <f>IF(OR(E452="",H452=""),"",E452-H452)</f>
        <v/>
      </c>
      <c r="J452" s="4"/>
    </row>
    <row r="453">
      <c r="A453" s="7"/>
      <c r="B453" s="4"/>
      <c r="C453" s="6"/>
      <c r="D453" s="5" t="str">
        <f>IF(B453="","",IFERROR(INDEX(Articles!$E:$E,MATCH(B453,Articles!$B:$B,0)),""))</f>
        <v/>
      </c>
      <c r="E453" s="9" t="str">
        <f>IF(OR(C453="",D453=""),"",C453*D453)</f>
        <v/>
      </c>
      <c r="F453" s="4"/>
      <c r="G453" s="4"/>
      <c r="H453" s="9" t="str">
        <f>IF(OR(B453="",C453=""),"",C453*IFERROR(INDEX(Articles!$D:$D,MATCH(B453,Articles!$B:$B,0)),0))</f>
        <v/>
      </c>
      <c r="I453" s="9" t="str">
        <f>IF(OR(E453="",H453=""),"",E453-H453)</f>
        <v/>
      </c>
      <c r="J453" s="4"/>
    </row>
    <row r="454">
      <c r="A454" s="7"/>
      <c r="B454" s="4"/>
      <c r="C454" s="6"/>
      <c r="D454" s="5" t="str">
        <f>IF(B454="","",IFERROR(INDEX(Articles!$E:$E,MATCH(B454,Articles!$B:$B,0)),""))</f>
        <v/>
      </c>
      <c r="E454" s="9" t="str">
        <f>IF(OR(C454="",D454=""),"",C454*D454)</f>
        <v/>
      </c>
      <c r="F454" s="4"/>
      <c r="G454" s="4"/>
      <c r="H454" s="9" t="str">
        <f>IF(OR(B454="",C454=""),"",C454*IFERROR(INDEX(Articles!$D:$D,MATCH(B454,Articles!$B:$B,0)),0))</f>
        <v/>
      </c>
      <c r="I454" s="9" t="str">
        <f>IF(OR(E454="",H454=""),"",E454-H454)</f>
        <v/>
      </c>
      <c r="J454" s="4"/>
    </row>
    <row r="455">
      <c r="A455" s="7"/>
      <c r="B455" s="4"/>
      <c r="C455" s="6"/>
      <c r="D455" s="5" t="str">
        <f>IF(B455="","",IFERROR(INDEX(Articles!$E:$E,MATCH(B455,Articles!$B:$B,0)),""))</f>
        <v/>
      </c>
      <c r="E455" s="9" t="str">
        <f>IF(OR(C455="",D455=""),"",C455*D455)</f>
        <v/>
      </c>
      <c r="F455" s="4"/>
      <c r="G455" s="4"/>
      <c r="H455" s="9" t="str">
        <f>IF(OR(B455="",C455=""),"",C455*IFERROR(INDEX(Articles!$D:$D,MATCH(B455,Articles!$B:$B,0)),0))</f>
        <v/>
      </c>
      <c r="I455" s="9" t="str">
        <f>IF(OR(E455="",H455=""),"",E455-H455)</f>
        <v/>
      </c>
      <c r="J455" s="4"/>
    </row>
    <row r="456">
      <c r="A456" s="7"/>
      <c r="B456" s="4"/>
      <c r="C456" s="6"/>
      <c r="D456" s="5" t="str">
        <f>IF(B456="","",IFERROR(INDEX(Articles!$E:$E,MATCH(B456,Articles!$B:$B,0)),""))</f>
        <v/>
      </c>
      <c r="E456" s="9" t="str">
        <f>IF(OR(C456="",D456=""),"",C456*D456)</f>
        <v/>
      </c>
      <c r="F456" s="4"/>
      <c r="G456" s="4"/>
      <c r="H456" s="9" t="str">
        <f>IF(OR(B456="",C456=""),"",C456*IFERROR(INDEX(Articles!$D:$D,MATCH(B456,Articles!$B:$B,0)),0))</f>
        <v/>
      </c>
      <c r="I456" s="9" t="str">
        <f>IF(OR(E456="",H456=""),"",E456-H456)</f>
        <v/>
      </c>
      <c r="J456" s="4"/>
    </row>
    <row r="457">
      <c r="A457" s="7"/>
      <c r="B457" s="4"/>
      <c r="C457" s="6"/>
      <c r="D457" s="5" t="str">
        <f>IF(B457="","",IFERROR(INDEX(Articles!$E:$E,MATCH(B457,Articles!$B:$B,0)),""))</f>
        <v/>
      </c>
      <c r="E457" s="9" t="str">
        <f>IF(OR(C457="",D457=""),"",C457*D457)</f>
        <v/>
      </c>
      <c r="F457" s="4"/>
      <c r="G457" s="4"/>
      <c r="H457" s="9" t="str">
        <f>IF(OR(B457="",C457=""),"",C457*IFERROR(INDEX(Articles!$D:$D,MATCH(B457,Articles!$B:$B,0)),0))</f>
        <v/>
      </c>
      <c r="I457" s="9" t="str">
        <f>IF(OR(E457="",H457=""),"",E457-H457)</f>
        <v/>
      </c>
      <c r="J457" s="4"/>
    </row>
    <row r="458">
      <c r="A458" s="7"/>
      <c r="B458" s="4"/>
      <c r="C458" s="6"/>
      <c r="D458" s="5" t="str">
        <f>IF(B458="","",IFERROR(INDEX(Articles!$E:$E,MATCH(B458,Articles!$B:$B,0)),""))</f>
        <v/>
      </c>
      <c r="E458" s="9" t="str">
        <f>IF(OR(C458="",D458=""),"",C458*D458)</f>
        <v/>
      </c>
      <c r="F458" s="4"/>
      <c r="G458" s="4"/>
      <c r="H458" s="9" t="str">
        <f>IF(OR(B458="",C458=""),"",C458*IFERROR(INDEX(Articles!$D:$D,MATCH(B458,Articles!$B:$B,0)),0))</f>
        <v/>
      </c>
      <c r="I458" s="9" t="str">
        <f>IF(OR(E458="",H458=""),"",E458-H458)</f>
        <v/>
      </c>
      <c r="J458" s="4"/>
    </row>
    <row r="459">
      <c r="A459" s="7"/>
      <c r="B459" s="4"/>
      <c r="C459" s="6"/>
      <c r="D459" s="5" t="str">
        <f>IF(B459="","",IFERROR(INDEX(Articles!$E:$E,MATCH(B459,Articles!$B:$B,0)),""))</f>
        <v/>
      </c>
      <c r="E459" s="9" t="str">
        <f>IF(OR(C459="",D459=""),"",C459*D459)</f>
        <v/>
      </c>
      <c r="F459" s="4"/>
      <c r="G459" s="4"/>
      <c r="H459" s="9" t="str">
        <f>IF(OR(B459="",C459=""),"",C459*IFERROR(INDEX(Articles!$D:$D,MATCH(B459,Articles!$B:$B,0)),0))</f>
        <v/>
      </c>
      <c r="I459" s="9" t="str">
        <f>IF(OR(E459="",H459=""),"",E459-H459)</f>
        <v/>
      </c>
      <c r="J459" s="4"/>
    </row>
    <row r="460">
      <c r="A460" s="7"/>
      <c r="B460" s="4"/>
      <c r="C460" s="6"/>
      <c r="D460" s="5" t="str">
        <f>IF(B460="","",IFERROR(INDEX(Articles!$E:$E,MATCH(B460,Articles!$B:$B,0)),""))</f>
        <v/>
      </c>
      <c r="E460" s="9" t="str">
        <f>IF(OR(C460="",D460=""),"",C460*D460)</f>
        <v/>
      </c>
      <c r="F460" s="4"/>
      <c r="G460" s="4"/>
      <c r="H460" s="9" t="str">
        <f>IF(OR(B460="",C460=""),"",C460*IFERROR(INDEX(Articles!$D:$D,MATCH(B460,Articles!$B:$B,0)),0))</f>
        <v/>
      </c>
      <c r="I460" s="9" t="str">
        <f>IF(OR(E460="",H460=""),"",E460-H460)</f>
        <v/>
      </c>
      <c r="J460" s="4"/>
    </row>
    <row r="461">
      <c r="A461" s="7"/>
      <c r="B461" s="4"/>
      <c r="C461" s="6"/>
      <c r="D461" s="5" t="str">
        <f>IF(B461="","",IFERROR(INDEX(Articles!$E:$E,MATCH(B461,Articles!$B:$B,0)),""))</f>
        <v/>
      </c>
      <c r="E461" s="9" t="str">
        <f>IF(OR(C461="",D461=""),"",C461*D461)</f>
        <v/>
      </c>
      <c r="F461" s="4"/>
      <c r="G461" s="4"/>
      <c r="H461" s="9" t="str">
        <f>IF(OR(B461="",C461=""),"",C461*IFERROR(INDEX(Articles!$D:$D,MATCH(B461,Articles!$B:$B,0)),0))</f>
        <v/>
      </c>
      <c r="I461" s="9" t="str">
        <f>IF(OR(E461="",H461=""),"",E461-H461)</f>
        <v/>
      </c>
      <c r="J461" s="4"/>
    </row>
    <row r="462">
      <c r="A462" s="7"/>
      <c r="B462" s="4"/>
      <c r="C462" s="6"/>
      <c r="D462" s="5" t="str">
        <f>IF(B462="","",IFERROR(INDEX(Articles!$E:$E,MATCH(B462,Articles!$B:$B,0)),""))</f>
        <v/>
      </c>
      <c r="E462" s="9" t="str">
        <f>IF(OR(C462="",D462=""),"",C462*D462)</f>
        <v/>
      </c>
      <c r="F462" s="4"/>
      <c r="G462" s="4"/>
      <c r="H462" s="9" t="str">
        <f>IF(OR(B462="",C462=""),"",C462*IFERROR(INDEX(Articles!$D:$D,MATCH(B462,Articles!$B:$B,0)),0))</f>
        <v/>
      </c>
      <c r="I462" s="9" t="str">
        <f>IF(OR(E462="",H462=""),"",E462-H462)</f>
        <v/>
      </c>
      <c r="J462" s="4"/>
    </row>
    <row r="463">
      <c r="A463" s="7"/>
      <c r="B463" s="4"/>
      <c r="C463" s="6"/>
      <c r="D463" s="5" t="str">
        <f>IF(B463="","",IFERROR(INDEX(Articles!$E:$E,MATCH(B463,Articles!$B:$B,0)),""))</f>
        <v/>
      </c>
      <c r="E463" s="9" t="str">
        <f>IF(OR(C463="",D463=""),"",C463*D463)</f>
        <v/>
      </c>
      <c r="F463" s="4"/>
      <c r="G463" s="4"/>
      <c r="H463" s="9" t="str">
        <f>IF(OR(B463="",C463=""),"",C463*IFERROR(INDEX(Articles!$D:$D,MATCH(B463,Articles!$B:$B,0)),0))</f>
        <v/>
      </c>
      <c r="I463" s="9" t="str">
        <f>IF(OR(E463="",H463=""),"",E463-H463)</f>
        <v/>
      </c>
      <c r="J463" s="4"/>
    </row>
    <row r="464">
      <c r="A464" s="7"/>
      <c r="B464" s="4"/>
      <c r="C464" s="6"/>
      <c r="D464" s="5" t="str">
        <f>IF(B464="","",IFERROR(INDEX(Articles!$E:$E,MATCH(B464,Articles!$B:$B,0)),""))</f>
        <v/>
      </c>
      <c r="E464" s="9" t="str">
        <f>IF(OR(C464="",D464=""),"",C464*D464)</f>
        <v/>
      </c>
      <c r="F464" s="4"/>
      <c r="G464" s="4"/>
      <c r="H464" s="9" t="str">
        <f>IF(OR(B464="",C464=""),"",C464*IFERROR(INDEX(Articles!$D:$D,MATCH(B464,Articles!$B:$B,0)),0))</f>
        <v/>
      </c>
      <c r="I464" s="9" t="str">
        <f>IF(OR(E464="",H464=""),"",E464-H464)</f>
        <v/>
      </c>
      <c r="J464" s="4"/>
    </row>
    <row r="465">
      <c r="A465" s="7"/>
      <c r="B465" s="4"/>
      <c r="C465" s="6"/>
      <c r="D465" s="5" t="str">
        <f>IF(B465="","",IFERROR(INDEX(Articles!$E:$E,MATCH(B465,Articles!$B:$B,0)),""))</f>
        <v/>
      </c>
      <c r="E465" s="9" t="str">
        <f>IF(OR(C465="",D465=""),"",C465*D465)</f>
        <v/>
      </c>
      <c r="F465" s="4"/>
      <c r="G465" s="4"/>
      <c r="H465" s="9" t="str">
        <f>IF(OR(B465="",C465=""),"",C465*IFERROR(INDEX(Articles!$D:$D,MATCH(B465,Articles!$B:$B,0)),0))</f>
        <v/>
      </c>
      <c r="I465" s="9" t="str">
        <f>IF(OR(E465="",H465=""),"",E465-H465)</f>
        <v/>
      </c>
      <c r="J465" s="4"/>
    </row>
    <row r="466">
      <c r="A466" s="7"/>
      <c r="B466" s="4"/>
      <c r="C466" s="6"/>
      <c r="D466" s="5" t="str">
        <f>IF(B466="","",IFERROR(INDEX(Articles!$E:$E,MATCH(B466,Articles!$B:$B,0)),""))</f>
        <v/>
      </c>
      <c r="E466" s="9" t="str">
        <f>IF(OR(C466="",D466=""),"",C466*D466)</f>
        <v/>
      </c>
      <c r="F466" s="4"/>
      <c r="G466" s="4"/>
      <c r="H466" s="9" t="str">
        <f>IF(OR(B466="",C466=""),"",C466*IFERROR(INDEX(Articles!$D:$D,MATCH(B466,Articles!$B:$B,0)),0))</f>
        <v/>
      </c>
      <c r="I466" s="9" t="str">
        <f>IF(OR(E466="",H466=""),"",E466-H466)</f>
        <v/>
      </c>
      <c r="J466" s="4"/>
    </row>
    <row r="467">
      <c r="A467" s="7"/>
      <c r="B467" s="4"/>
      <c r="C467" s="6"/>
      <c r="D467" s="5" t="str">
        <f>IF(B467="","",IFERROR(INDEX(Articles!$E:$E,MATCH(B467,Articles!$B:$B,0)),""))</f>
        <v/>
      </c>
      <c r="E467" s="9" t="str">
        <f>IF(OR(C467="",D467=""),"",C467*D467)</f>
        <v/>
      </c>
      <c r="F467" s="4"/>
      <c r="G467" s="4"/>
      <c r="H467" s="9" t="str">
        <f>IF(OR(B467="",C467=""),"",C467*IFERROR(INDEX(Articles!$D:$D,MATCH(B467,Articles!$B:$B,0)),0))</f>
        <v/>
      </c>
      <c r="I467" s="9" t="str">
        <f>IF(OR(E467="",H467=""),"",E467-H467)</f>
        <v/>
      </c>
      <c r="J467" s="4"/>
    </row>
    <row r="468">
      <c r="A468" s="7"/>
      <c r="B468" s="4"/>
      <c r="C468" s="6"/>
      <c r="D468" s="5" t="str">
        <f>IF(B468="","",IFERROR(INDEX(Articles!$E:$E,MATCH(B468,Articles!$B:$B,0)),""))</f>
        <v/>
      </c>
      <c r="E468" s="9" t="str">
        <f>IF(OR(C468="",D468=""),"",C468*D468)</f>
        <v/>
      </c>
      <c r="F468" s="4"/>
      <c r="G468" s="4"/>
      <c r="H468" s="9" t="str">
        <f>IF(OR(B468="",C468=""),"",C468*IFERROR(INDEX(Articles!$D:$D,MATCH(B468,Articles!$B:$B,0)),0))</f>
        <v/>
      </c>
      <c r="I468" s="9" t="str">
        <f>IF(OR(E468="",H468=""),"",E468-H468)</f>
        <v/>
      </c>
      <c r="J468" s="4"/>
    </row>
    <row r="469">
      <c r="A469" s="7"/>
      <c r="B469" s="4"/>
      <c r="C469" s="6"/>
      <c r="D469" s="5" t="str">
        <f>IF(B469="","",IFERROR(INDEX(Articles!$E:$E,MATCH(B469,Articles!$B:$B,0)),""))</f>
        <v/>
      </c>
      <c r="E469" s="9" t="str">
        <f>IF(OR(C469="",D469=""),"",C469*D469)</f>
        <v/>
      </c>
      <c r="F469" s="4"/>
      <c r="G469" s="4"/>
      <c r="H469" s="9" t="str">
        <f>IF(OR(B469="",C469=""),"",C469*IFERROR(INDEX(Articles!$D:$D,MATCH(B469,Articles!$B:$B,0)),0))</f>
        <v/>
      </c>
      <c r="I469" s="9" t="str">
        <f>IF(OR(E469="",H469=""),"",E469-H469)</f>
        <v/>
      </c>
      <c r="J469" s="4"/>
    </row>
    <row r="470">
      <c r="A470" s="7"/>
      <c r="B470" s="4"/>
      <c r="C470" s="6"/>
      <c r="D470" s="5" t="str">
        <f>IF(B470="","",IFERROR(INDEX(Articles!$E:$E,MATCH(B470,Articles!$B:$B,0)),""))</f>
        <v/>
      </c>
      <c r="E470" s="9" t="str">
        <f>IF(OR(C470="",D470=""),"",C470*D470)</f>
        <v/>
      </c>
      <c r="F470" s="4"/>
      <c r="G470" s="4"/>
      <c r="H470" s="9" t="str">
        <f>IF(OR(B470="",C470=""),"",C470*IFERROR(INDEX(Articles!$D:$D,MATCH(B470,Articles!$B:$B,0)),0))</f>
        <v/>
      </c>
      <c r="I470" s="9" t="str">
        <f>IF(OR(E470="",H470=""),"",E470-H470)</f>
        <v/>
      </c>
      <c r="J470" s="4"/>
    </row>
    <row r="471">
      <c r="A471" s="7"/>
      <c r="B471" s="4"/>
      <c r="C471" s="6"/>
      <c r="D471" s="5" t="str">
        <f>IF(B471="","",IFERROR(INDEX(Articles!$E:$E,MATCH(B471,Articles!$B:$B,0)),""))</f>
        <v/>
      </c>
      <c r="E471" s="9" t="str">
        <f>IF(OR(C471="",D471=""),"",C471*D471)</f>
        <v/>
      </c>
      <c r="F471" s="4"/>
      <c r="G471" s="4"/>
      <c r="H471" s="9" t="str">
        <f>IF(OR(B471="",C471=""),"",C471*IFERROR(INDEX(Articles!$D:$D,MATCH(B471,Articles!$B:$B,0)),0))</f>
        <v/>
      </c>
      <c r="I471" s="9" t="str">
        <f>IF(OR(E471="",H471=""),"",E471-H471)</f>
        <v/>
      </c>
      <c r="J471" s="4"/>
    </row>
    <row r="472">
      <c r="A472" s="7"/>
      <c r="B472" s="4"/>
      <c r="C472" s="6"/>
      <c r="D472" s="5" t="str">
        <f>IF(B472="","",IFERROR(INDEX(Articles!$E:$E,MATCH(B472,Articles!$B:$B,0)),""))</f>
        <v/>
      </c>
      <c r="E472" s="9" t="str">
        <f>IF(OR(C472="",D472=""),"",C472*D472)</f>
        <v/>
      </c>
      <c r="F472" s="4"/>
      <c r="G472" s="4"/>
      <c r="H472" s="9" t="str">
        <f>IF(OR(B472="",C472=""),"",C472*IFERROR(INDEX(Articles!$D:$D,MATCH(B472,Articles!$B:$B,0)),0))</f>
        <v/>
      </c>
      <c r="I472" s="9" t="str">
        <f>IF(OR(E472="",H472=""),"",E472-H472)</f>
        <v/>
      </c>
      <c r="J472" s="4"/>
    </row>
    <row r="473">
      <c r="A473" s="7"/>
      <c r="B473" s="4"/>
      <c r="C473" s="6"/>
      <c r="D473" s="5" t="str">
        <f>IF(B473="","",IFERROR(INDEX(Articles!$E:$E,MATCH(B473,Articles!$B:$B,0)),""))</f>
        <v/>
      </c>
      <c r="E473" s="9" t="str">
        <f>IF(OR(C473="",D473=""),"",C473*D473)</f>
        <v/>
      </c>
      <c r="F473" s="4"/>
      <c r="G473" s="4"/>
      <c r="H473" s="9" t="str">
        <f>IF(OR(B473="",C473=""),"",C473*IFERROR(INDEX(Articles!$D:$D,MATCH(B473,Articles!$B:$B,0)),0))</f>
        <v/>
      </c>
      <c r="I473" s="9" t="str">
        <f>IF(OR(E473="",H473=""),"",E473-H473)</f>
        <v/>
      </c>
      <c r="J473" s="4"/>
    </row>
    <row r="474">
      <c r="A474" s="7"/>
      <c r="B474" s="4"/>
      <c r="C474" s="6"/>
      <c r="D474" s="5" t="str">
        <f>IF(B474="","",IFERROR(INDEX(Articles!$E:$E,MATCH(B474,Articles!$B:$B,0)),""))</f>
        <v/>
      </c>
      <c r="E474" s="9" t="str">
        <f>IF(OR(C474="",D474=""),"",C474*D474)</f>
        <v/>
      </c>
      <c r="F474" s="4"/>
      <c r="G474" s="4"/>
      <c r="H474" s="9" t="str">
        <f>IF(OR(B474="",C474=""),"",C474*IFERROR(INDEX(Articles!$D:$D,MATCH(B474,Articles!$B:$B,0)),0))</f>
        <v/>
      </c>
      <c r="I474" s="9" t="str">
        <f>IF(OR(E474="",H474=""),"",E474-H474)</f>
        <v/>
      </c>
      <c r="J474" s="4"/>
    </row>
    <row r="475">
      <c r="A475" s="7"/>
      <c r="B475" s="4"/>
      <c r="C475" s="6"/>
      <c r="D475" s="5" t="str">
        <f>IF(B475="","",IFERROR(INDEX(Articles!$E:$E,MATCH(B475,Articles!$B:$B,0)),""))</f>
        <v/>
      </c>
      <c r="E475" s="9" t="str">
        <f>IF(OR(C475="",D475=""),"",C475*D475)</f>
        <v/>
      </c>
      <c r="F475" s="4"/>
      <c r="G475" s="4"/>
      <c r="H475" s="9" t="str">
        <f>IF(OR(B475="",C475=""),"",C475*IFERROR(INDEX(Articles!$D:$D,MATCH(B475,Articles!$B:$B,0)),0))</f>
        <v/>
      </c>
      <c r="I475" s="9" t="str">
        <f>IF(OR(E475="",H475=""),"",E475-H475)</f>
        <v/>
      </c>
      <c r="J475" s="4"/>
    </row>
    <row r="476">
      <c r="A476" s="7"/>
      <c r="B476" s="4"/>
      <c r="C476" s="6"/>
      <c r="D476" s="5" t="str">
        <f>IF(B476="","",IFERROR(INDEX(Articles!$E:$E,MATCH(B476,Articles!$B:$B,0)),""))</f>
        <v/>
      </c>
      <c r="E476" s="9" t="str">
        <f>IF(OR(C476="",D476=""),"",C476*D476)</f>
        <v/>
      </c>
      <c r="F476" s="4"/>
      <c r="G476" s="4"/>
      <c r="H476" s="9" t="str">
        <f>IF(OR(B476="",C476=""),"",C476*IFERROR(INDEX(Articles!$D:$D,MATCH(B476,Articles!$B:$B,0)),0))</f>
        <v/>
      </c>
      <c r="I476" s="9" t="str">
        <f>IF(OR(E476="",H476=""),"",E476-H476)</f>
        <v/>
      </c>
      <c r="J476" s="4"/>
    </row>
    <row r="477">
      <c r="A477" s="7"/>
      <c r="B477" s="4"/>
      <c r="C477" s="6"/>
      <c r="D477" s="5" t="str">
        <f>IF(B477="","",IFERROR(INDEX(Articles!$E:$E,MATCH(B477,Articles!$B:$B,0)),""))</f>
        <v/>
      </c>
      <c r="E477" s="9" t="str">
        <f>IF(OR(C477="",D477=""),"",C477*D477)</f>
        <v/>
      </c>
      <c r="F477" s="4"/>
      <c r="G477" s="4"/>
      <c r="H477" s="9" t="str">
        <f>IF(OR(B477="",C477=""),"",C477*IFERROR(INDEX(Articles!$D:$D,MATCH(B477,Articles!$B:$B,0)),0))</f>
        <v/>
      </c>
      <c r="I477" s="9" t="str">
        <f>IF(OR(E477="",H477=""),"",E477-H477)</f>
        <v/>
      </c>
      <c r="J477" s="4"/>
    </row>
    <row r="478">
      <c r="A478" s="7"/>
      <c r="B478" s="4"/>
      <c r="C478" s="6"/>
      <c r="D478" s="5" t="str">
        <f>IF(B478="","",IFERROR(INDEX(Articles!$E:$E,MATCH(B478,Articles!$B:$B,0)),""))</f>
        <v/>
      </c>
      <c r="E478" s="9" t="str">
        <f>IF(OR(C478="",D478=""),"",C478*D478)</f>
        <v/>
      </c>
      <c r="F478" s="4"/>
      <c r="G478" s="4"/>
      <c r="H478" s="9" t="str">
        <f>IF(OR(B478="",C478=""),"",C478*IFERROR(INDEX(Articles!$D:$D,MATCH(B478,Articles!$B:$B,0)),0))</f>
        <v/>
      </c>
      <c r="I478" s="9" t="str">
        <f>IF(OR(E478="",H478=""),"",E478-H478)</f>
        <v/>
      </c>
      <c r="J478" s="4"/>
    </row>
    <row r="479">
      <c r="A479" s="7"/>
      <c r="B479" s="4"/>
      <c r="C479" s="6"/>
      <c r="D479" s="5" t="str">
        <f>IF(B479="","",IFERROR(INDEX(Articles!$E:$E,MATCH(B479,Articles!$B:$B,0)),""))</f>
        <v/>
      </c>
      <c r="E479" s="9" t="str">
        <f>IF(OR(C479="",D479=""),"",C479*D479)</f>
        <v/>
      </c>
      <c r="F479" s="4"/>
      <c r="G479" s="4"/>
      <c r="H479" s="9" t="str">
        <f>IF(OR(B479="",C479=""),"",C479*IFERROR(INDEX(Articles!$D:$D,MATCH(B479,Articles!$B:$B,0)),0))</f>
        <v/>
      </c>
      <c r="I479" s="9" t="str">
        <f>IF(OR(E479="",H479=""),"",E479-H479)</f>
        <v/>
      </c>
      <c r="J479" s="4"/>
    </row>
    <row r="480">
      <c r="A480" s="7"/>
      <c r="B480" s="4"/>
      <c r="C480" s="6"/>
      <c r="D480" s="5" t="str">
        <f>IF(B480="","",IFERROR(INDEX(Articles!$E:$E,MATCH(B480,Articles!$B:$B,0)),""))</f>
        <v/>
      </c>
      <c r="E480" s="9" t="str">
        <f>IF(OR(C480="",D480=""),"",C480*D480)</f>
        <v/>
      </c>
      <c r="F480" s="4"/>
      <c r="G480" s="4"/>
      <c r="H480" s="9" t="str">
        <f>IF(OR(B480="",C480=""),"",C480*IFERROR(INDEX(Articles!$D:$D,MATCH(B480,Articles!$B:$B,0)),0))</f>
        <v/>
      </c>
      <c r="I480" s="9" t="str">
        <f>IF(OR(E480="",H480=""),"",E480-H480)</f>
        <v/>
      </c>
      <c r="J480" s="4"/>
    </row>
    <row r="481">
      <c r="A481" s="7"/>
      <c r="B481" s="4"/>
      <c r="C481" s="6"/>
      <c r="D481" s="5" t="str">
        <f>IF(B481="","",IFERROR(INDEX(Articles!$E:$E,MATCH(B481,Articles!$B:$B,0)),""))</f>
        <v/>
      </c>
      <c r="E481" s="9" t="str">
        <f>IF(OR(C481="",D481=""),"",C481*D481)</f>
        <v/>
      </c>
      <c r="F481" s="4"/>
      <c r="G481" s="4"/>
      <c r="H481" s="9" t="str">
        <f>IF(OR(B481="",C481=""),"",C481*IFERROR(INDEX(Articles!$D:$D,MATCH(B481,Articles!$B:$B,0)),0))</f>
        <v/>
      </c>
      <c r="I481" s="9" t="str">
        <f>IF(OR(E481="",H481=""),"",E481-H481)</f>
        <v/>
      </c>
      <c r="J481" s="4"/>
    </row>
    <row r="482">
      <c r="A482" s="7"/>
      <c r="B482" s="4"/>
      <c r="C482" s="6"/>
      <c r="D482" s="5" t="str">
        <f>IF(B482="","",IFERROR(INDEX(Articles!$E:$E,MATCH(B482,Articles!$B:$B,0)),""))</f>
        <v/>
      </c>
      <c r="E482" s="9" t="str">
        <f>IF(OR(C482="",D482=""),"",C482*D482)</f>
        <v/>
      </c>
      <c r="F482" s="4"/>
      <c r="G482" s="4"/>
      <c r="H482" s="9" t="str">
        <f>IF(OR(B482="",C482=""),"",C482*IFERROR(INDEX(Articles!$D:$D,MATCH(B482,Articles!$B:$B,0)),0))</f>
        <v/>
      </c>
      <c r="I482" s="9" t="str">
        <f>IF(OR(E482="",H482=""),"",E482-H482)</f>
        <v/>
      </c>
      <c r="J482" s="4"/>
    </row>
    <row r="483">
      <c r="A483" s="7"/>
      <c r="B483" s="4"/>
      <c r="C483" s="6"/>
      <c r="D483" s="5" t="str">
        <f>IF(B483="","",IFERROR(INDEX(Articles!$E:$E,MATCH(B483,Articles!$B:$B,0)),""))</f>
        <v/>
      </c>
      <c r="E483" s="9" t="str">
        <f>IF(OR(C483="",D483=""),"",C483*D483)</f>
        <v/>
      </c>
      <c r="F483" s="4"/>
      <c r="G483" s="4"/>
      <c r="H483" s="9" t="str">
        <f>IF(OR(B483="",C483=""),"",C483*IFERROR(INDEX(Articles!$D:$D,MATCH(B483,Articles!$B:$B,0)),0))</f>
        <v/>
      </c>
      <c r="I483" s="9" t="str">
        <f>IF(OR(E483="",H483=""),"",E483-H483)</f>
        <v/>
      </c>
      <c r="J483" s="4"/>
    </row>
    <row r="484">
      <c r="A484" s="7"/>
      <c r="B484" s="4"/>
      <c r="C484" s="6"/>
      <c r="D484" s="5" t="str">
        <f>IF(B484="","",IFERROR(INDEX(Articles!$E:$E,MATCH(B484,Articles!$B:$B,0)),""))</f>
        <v/>
      </c>
      <c r="E484" s="9" t="str">
        <f>IF(OR(C484="",D484=""),"",C484*D484)</f>
        <v/>
      </c>
      <c r="F484" s="4"/>
      <c r="G484" s="4"/>
      <c r="H484" s="9" t="str">
        <f>IF(OR(B484="",C484=""),"",C484*IFERROR(INDEX(Articles!$D:$D,MATCH(B484,Articles!$B:$B,0)),0))</f>
        <v/>
      </c>
      <c r="I484" s="9" t="str">
        <f>IF(OR(E484="",H484=""),"",E484-H484)</f>
        <v/>
      </c>
      <c r="J484" s="4"/>
    </row>
    <row r="485">
      <c r="A485" s="7"/>
      <c r="B485" s="4"/>
      <c r="C485" s="6"/>
      <c r="D485" s="5" t="str">
        <f>IF(B485="","",IFERROR(INDEX(Articles!$E:$E,MATCH(B485,Articles!$B:$B,0)),""))</f>
        <v/>
      </c>
      <c r="E485" s="9" t="str">
        <f>IF(OR(C485="",D485=""),"",C485*D485)</f>
        <v/>
      </c>
      <c r="F485" s="4"/>
      <c r="G485" s="4"/>
      <c r="H485" s="9" t="str">
        <f>IF(OR(B485="",C485=""),"",C485*IFERROR(INDEX(Articles!$D:$D,MATCH(B485,Articles!$B:$B,0)),0))</f>
        <v/>
      </c>
      <c r="I485" s="9" t="str">
        <f>IF(OR(E485="",H485=""),"",E485-H485)</f>
        <v/>
      </c>
      <c r="J485" s="4"/>
    </row>
    <row r="486">
      <c r="A486" s="7"/>
      <c r="B486" s="4"/>
      <c r="C486" s="6"/>
      <c r="D486" s="5" t="str">
        <f>IF(B486="","",IFERROR(INDEX(Articles!$E:$E,MATCH(B486,Articles!$B:$B,0)),""))</f>
        <v/>
      </c>
      <c r="E486" s="9" t="str">
        <f>IF(OR(C486="",D486=""),"",C486*D486)</f>
        <v/>
      </c>
      <c r="F486" s="4"/>
      <c r="G486" s="4"/>
      <c r="H486" s="9" t="str">
        <f>IF(OR(B486="",C486=""),"",C486*IFERROR(INDEX(Articles!$D:$D,MATCH(B486,Articles!$B:$B,0)),0))</f>
        <v/>
      </c>
      <c r="I486" s="9" t="str">
        <f>IF(OR(E486="",H486=""),"",E486-H486)</f>
        <v/>
      </c>
      <c r="J486" s="4"/>
    </row>
    <row r="487">
      <c r="A487" s="7"/>
      <c r="B487" s="4"/>
      <c r="C487" s="6"/>
      <c r="D487" s="5" t="str">
        <f>IF(B487="","",IFERROR(INDEX(Articles!$E:$E,MATCH(B487,Articles!$B:$B,0)),""))</f>
        <v/>
      </c>
      <c r="E487" s="9" t="str">
        <f>IF(OR(C487="",D487=""),"",C487*D487)</f>
        <v/>
      </c>
      <c r="F487" s="4"/>
      <c r="G487" s="4"/>
      <c r="H487" s="9" t="str">
        <f>IF(OR(B487="",C487=""),"",C487*IFERROR(INDEX(Articles!$D:$D,MATCH(B487,Articles!$B:$B,0)),0))</f>
        <v/>
      </c>
      <c r="I487" s="9" t="str">
        <f>IF(OR(E487="",H487=""),"",E487-H487)</f>
        <v/>
      </c>
      <c r="J487" s="4"/>
    </row>
    <row r="488">
      <c r="A488" s="7"/>
      <c r="B488" s="4"/>
      <c r="C488" s="6"/>
      <c r="D488" s="5" t="str">
        <f>IF(B488="","",IFERROR(INDEX(Articles!$E:$E,MATCH(B488,Articles!$B:$B,0)),""))</f>
        <v/>
      </c>
      <c r="E488" s="9" t="str">
        <f>IF(OR(C488="",D488=""),"",C488*D488)</f>
        <v/>
      </c>
      <c r="F488" s="4"/>
      <c r="G488" s="4"/>
      <c r="H488" s="9" t="str">
        <f>IF(OR(B488="",C488=""),"",C488*IFERROR(INDEX(Articles!$D:$D,MATCH(B488,Articles!$B:$B,0)),0))</f>
        <v/>
      </c>
      <c r="I488" s="9" t="str">
        <f>IF(OR(E488="",H488=""),"",E488-H488)</f>
        <v/>
      </c>
      <c r="J488" s="4"/>
    </row>
    <row r="489">
      <c r="A489" s="7"/>
      <c r="B489" s="4"/>
      <c r="C489" s="6"/>
      <c r="D489" s="5" t="str">
        <f>IF(B489="","",IFERROR(INDEX(Articles!$E:$E,MATCH(B489,Articles!$B:$B,0)),""))</f>
        <v/>
      </c>
      <c r="E489" s="9" t="str">
        <f>IF(OR(C489="",D489=""),"",C489*D489)</f>
        <v/>
      </c>
      <c r="F489" s="4"/>
      <c r="G489" s="4"/>
      <c r="H489" s="9" t="str">
        <f>IF(OR(B489="",C489=""),"",C489*IFERROR(INDEX(Articles!$D:$D,MATCH(B489,Articles!$B:$B,0)),0))</f>
        <v/>
      </c>
      <c r="I489" s="9" t="str">
        <f>IF(OR(E489="",H489=""),"",E489-H489)</f>
        <v/>
      </c>
      <c r="J489" s="4"/>
    </row>
    <row r="490">
      <c r="A490" s="7"/>
      <c r="B490" s="4"/>
      <c r="C490" s="6"/>
      <c r="D490" s="5" t="str">
        <f>IF(B490="","",IFERROR(INDEX(Articles!$E:$E,MATCH(B490,Articles!$B:$B,0)),""))</f>
        <v/>
      </c>
      <c r="E490" s="9" t="str">
        <f>IF(OR(C490="",D490=""),"",C490*D490)</f>
        <v/>
      </c>
      <c r="F490" s="4"/>
      <c r="G490" s="4"/>
      <c r="H490" s="9" t="str">
        <f>IF(OR(B490="",C490=""),"",C490*IFERROR(INDEX(Articles!$D:$D,MATCH(B490,Articles!$B:$B,0)),0))</f>
        <v/>
      </c>
      <c r="I490" s="9" t="str">
        <f>IF(OR(E490="",H490=""),"",E490-H490)</f>
        <v/>
      </c>
      <c r="J490" s="4"/>
    </row>
    <row r="491">
      <c r="A491" s="7"/>
      <c r="B491" s="4"/>
      <c r="C491" s="6"/>
      <c r="D491" s="5" t="str">
        <f>IF(B491="","",IFERROR(INDEX(Articles!$E:$E,MATCH(B491,Articles!$B:$B,0)),""))</f>
        <v/>
      </c>
      <c r="E491" s="9" t="str">
        <f>IF(OR(C491="",D491=""),"",C491*D491)</f>
        <v/>
      </c>
      <c r="F491" s="4"/>
      <c r="G491" s="4"/>
      <c r="H491" s="9" t="str">
        <f>IF(OR(B491="",C491=""),"",C491*IFERROR(INDEX(Articles!$D:$D,MATCH(B491,Articles!$B:$B,0)),0))</f>
        <v/>
      </c>
      <c r="I491" s="9" t="str">
        <f>IF(OR(E491="",H491=""),"",E491-H491)</f>
        <v/>
      </c>
      <c r="J491" s="4"/>
    </row>
    <row r="492">
      <c r="A492" s="7"/>
      <c r="B492" s="4"/>
      <c r="C492" s="6"/>
      <c r="D492" s="5" t="str">
        <f>IF(B492="","",IFERROR(INDEX(Articles!$E:$E,MATCH(B492,Articles!$B:$B,0)),""))</f>
        <v/>
      </c>
      <c r="E492" s="9" t="str">
        <f>IF(OR(C492="",D492=""),"",C492*D492)</f>
        <v/>
      </c>
      <c r="F492" s="4"/>
      <c r="G492" s="4"/>
      <c r="H492" s="9" t="str">
        <f>IF(OR(B492="",C492=""),"",C492*IFERROR(INDEX(Articles!$D:$D,MATCH(B492,Articles!$B:$B,0)),0))</f>
        <v/>
      </c>
      <c r="I492" s="9" t="str">
        <f>IF(OR(E492="",H492=""),"",E492-H492)</f>
        <v/>
      </c>
      <c r="J492" s="4"/>
    </row>
    <row r="493">
      <c r="A493" s="7"/>
      <c r="B493" s="4"/>
      <c r="C493" s="6"/>
      <c r="D493" s="5" t="str">
        <f>IF(B493="","",IFERROR(INDEX(Articles!$E:$E,MATCH(B493,Articles!$B:$B,0)),""))</f>
        <v/>
      </c>
      <c r="E493" s="9" t="str">
        <f>IF(OR(C493="",D493=""),"",C493*D493)</f>
        <v/>
      </c>
      <c r="F493" s="4"/>
      <c r="G493" s="4"/>
      <c r="H493" s="9" t="str">
        <f>IF(OR(B493="",C493=""),"",C493*IFERROR(INDEX(Articles!$D:$D,MATCH(B493,Articles!$B:$B,0)),0))</f>
        <v/>
      </c>
      <c r="I493" s="9" t="str">
        <f>IF(OR(E493="",H493=""),"",E493-H493)</f>
        <v/>
      </c>
      <c r="J493" s="4"/>
    </row>
    <row r="494">
      <c r="A494" s="7"/>
      <c r="B494" s="4"/>
      <c r="C494" s="6"/>
      <c r="D494" s="5" t="str">
        <f>IF(B494="","",IFERROR(INDEX(Articles!$E:$E,MATCH(B494,Articles!$B:$B,0)),""))</f>
        <v/>
      </c>
      <c r="E494" s="9" t="str">
        <f>IF(OR(C494="",D494=""),"",C494*D494)</f>
        <v/>
      </c>
      <c r="F494" s="4"/>
      <c r="G494" s="4"/>
      <c r="H494" s="9" t="str">
        <f>IF(OR(B494="",C494=""),"",C494*IFERROR(INDEX(Articles!$D:$D,MATCH(B494,Articles!$B:$B,0)),0))</f>
        <v/>
      </c>
      <c r="I494" s="9" t="str">
        <f>IF(OR(E494="",H494=""),"",E494-H494)</f>
        <v/>
      </c>
      <c r="J494" s="4"/>
    </row>
    <row r="495">
      <c r="A495" s="7"/>
      <c r="B495" s="4"/>
      <c r="C495" s="6"/>
      <c r="D495" s="5" t="str">
        <f>IF(B495="","",IFERROR(INDEX(Articles!$E:$E,MATCH(B495,Articles!$B:$B,0)),""))</f>
        <v/>
      </c>
      <c r="E495" s="9" t="str">
        <f>IF(OR(C495="",D495=""),"",C495*D495)</f>
        <v/>
      </c>
      <c r="F495" s="4"/>
      <c r="G495" s="4"/>
      <c r="H495" s="9" t="str">
        <f>IF(OR(B495="",C495=""),"",C495*IFERROR(INDEX(Articles!$D:$D,MATCH(B495,Articles!$B:$B,0)),0))</f>
        <v/>
      </c>
      <c r="I495" s="9" t="str">
        <f>IF(OR(E495="",H495=""),"",E495-H495)</f>
        <v/>
      </c>
      <c r="J495" s="4"/>
    </row>
    <row r="496">
      <c r="A496" s="7"/>
      <c r="B496" s="4"/>
      <c r="C496" s="6"/>
      <c r="D496" s="5" t="str">
        <f>IF(B496="","",IFERROR(INDEX(Articles!$E:$E,MATCH(B496,Articles!$B:$B,0)),""))</f>
        <v/>
      </c>
      <c r="E496" s="9" t="str">
        <f>IF(OR(C496="",D496=""),"",C496*D496)</f>
        <v/>
      </c>
      <c r="F496" s="4"/>
      <c r="G496" s="4"/>
      <c r="H496" s="9" t="str">
        <f>IF(OR(B496="",C496=""),"",C496*IFERROR(INDEX(Articles!$D:$D,MATCH(B496,Articles!$B:$B,0)),0))</f>
        <v/>
      </c>
      <c r="I496" s="9" t="str">
        <f>IF(OR(E496="",H496=""),"",E496-H496)</f>
        <v/>
      </c>
      <c r="J496" s="4"/>
    </row>
    <row r="497">
      <c r="A497" s="7"/>
      <c r="B497" s="4"/>
      <c r="C497" s="6"/>
      <c r="D497" s="5" t="str">
        <f>IF(B497="","",IFERROR(INDEX(Articles!$E:$E,MATCH(B497,Articles!$B:$B,0)),""))</f>
        <v/>
      </c>
      <c r="E497" s="9" t="str">
        <f>IF(OR(C497="",D497=""),"",C497*D497)</f>
        <v/>
      </c>
      <c r="F497" s="4"/>
      <c r="G497" s="4"/>
      <c r="H497" s="9" t="str">
        <f>IF(OR(B497="",C497=""),"",C497*IFERROR(INDEX(Articles!$D:$D,MATCH(B497,Articles!$B:$B,0)),0))</f>
        <v/>
      </c>
      <c r="I497" s="9" t="str">
        <f>IF(OR(E497="",H497=""),"",E497-H497)</f>
        <v/>
      </c>
      <c r="J497" s="4"/>
    </row>
    <row r="498">
      <c r="A498" s="7"/>
      <c r="B498" s="4"/>
      <c r="C498" s="6"/>
      <c r="D498" s="5" t="str">
        <f>IF(B498="","",IFERROR(INDEX(Articles!$E:$E,MATCH(B498,Articles!$B:$B,0)),""))</f>
        <v/>
      </c>
      <c r="E498" s="9" t="str">
        <f>IF(OR(C498="",D498=""),"",C498*D498)</f>
        <v/>
      </c>
      <c r="F498" s="4"/>
      <c r="G498" s="4"/>
      <c r="H498" s="9" t="str">
        <f>IF(OR(B498="",C498=""),"",C498*IFERROR(INDEX(Articles!$D:$D,MATCH(B498,Articles!$B:$B,0)),0))</f>
        <v/>
      </c>
      <c r="I498" s="9" t="str">
        <f>IF(OR(E498="",H498=""),"",E498-H498)</f>
        <v/>
      </c>
      <c r="J498" s="4"/>
    </row>
    <row r="499">
      <c r="A499" s="7"/>
      <c r="B499" s="4"/>
      <c r="C499" s="6"/>
      <c r="D499" s="5" t="str">
        <f>IF(B499="","",IFERROR(INDEX(Articles!$E:$E,MATCH(B499,Articles!$B:$B,0)),""))</f>
        <v/>
      </c>
      <c r="E499" s="9" t="str">
        <f>IF(OR(C499="",D499=""),"",C499*D499)</f>
        <v/>
      </c>
      <c r="F499" s="4"/>
      <c r="G499" s="4"/>
      <c r="H499" s="9" t="str">
        <f>IF(OR(B499="",C499=""),"",C499*IFERROR(INDEX(Articles!$D:$D,MATCH(B499,Articles!$B:$B,0)),0))</f>
        <v/>
      </c>
      <c r="I499" s="9" t="str">
        <f>IF(OR(E499="",H499=""),"",E499-H499)</f>
        <v/>
      </c>
      <c r="J499" s="4"/>
    </row>
    <row r="500">
      <c r="A500" s="7"/>
      <c r="B500" s="4"/>
      <c r="C500" s="6"/>
      <c r="D500" s="5" t="str">
        <f>IF(B500="","",IFERROR(INDEX(Articles!$E:$E,MATCH(B500,Articles!$B:$B,0)),""))</f>
        <v/>
      </c>
      <c r="E500" s="9" t="str">
        <f>IF(OR(C500="",D500=""),"",C500*D500)</f>
        <v/>
      </c>
      <c r="F500" s="4"/>
      <c r="G500" s="4"/>
      <c r="H500" s="9" t="str">
        <f>IF(OR(B500="",C500=""),"",C500*IFERROR(INDEX(Articles!$D:$D,MATCH(B500,Articles!$B:$B,0)),0))</f>
        <v/>
      </c>
      <c r="I500" s="9" t="str">
        <f>IF(OR(E500="",H500=""),"",E500-H500)</f>
        <v/>
      </c>
      <c r="J500" s="4"/>
    </row>
    <row r="501">
      <c r="A501" s="7"/>
      <c r="B501" s="4"/>
      <c r="C501" s="6"/>
      <c r="D501" s="5" t="str">
        <f>IF(B501="","",IFERROR(INDEX(Articles!$E:$E,MATCH(B501,Articles!$B:$B,0)),""))</f>
        <v/>
      </c>
      <c r="E501" s="9" t="str">
        <f>IF(OR(C501="",D501=""),"",C501*D501)</f>
        <v/>
      </c>
      <c r="F501" s="4"/>
      <c r="G501" s="4"/>
      <c r="H501" s="9" t="str">
        <f>IF(OR(B501="",C501=""),"",C501*IFERROR(INDEX(Articles!$D:$D,MATCH(B501,Articles!$B:$B,0)),0))</f>
        <v/>
      </c>
      <c r="I501" s="9" t="str">
        <f>IF(OR(E501="",H501=""),"",E501-H501)</f>
        <v/>
      </c>
      <c r="J501" s="4"/>
    </row>
    <row r="502">
      <c r="A502" s="7"/>
      <c r="B502" s="4"/>
      <c r="C502" s="6"/>
      <c r="D502" s="5" t="str">
        <f>IF(B502="","",IFERROR(INDEX(Articles!$E:$E,MATCH(B502,Articles!$B:$B,0)),""))</f>
        <v/>
      </c>
      <c r="E502" s="9" t="str">
        <f>IF(OR(C502="",D502=""),"",C502*D502)</f>
        <v/>
      </c>
      <c r="F502" s="4"/>
      <c r="G502" s="4"/>
      <c r="H502" s="9" t="str">
        <f>IF(OR(B502="",C502=""),"",C502*IFERROR(INDEX(Articles!$D:$D,MATCH(B502,Articles!$B:$B,0)),0))</f>
        <v/>
      </c>
      <c r="I502" s="9" t="str">
        <f>IF(OR(E502="",H502=""),"",E502-H502)</f>
        <v/>
      </c>
      <c r="J502" s="4"/>
    </row>
    <row r="503">
      <c r="A503" s="7"/>
      <c r="B503" s="4"/>
      <c r="C503" s="6"/>
      <c r="D503" s="5" t="str">
        <f>IF(B503="","",IFERROR(INDEX(Articles!$E:$E,MATCH(B503,Articles!$B:$B,0)),""))</f>
        <v/>
      </c>
      <c r="E503" s="9" t="str">
        <f>IF(OR(C503="",D503=""),"",C503*D503)</f>
        <v/>
      </c>
      <c r="F503" s="4"/>
      <c r="G503" s="4"/>
      <c r="H503" s="9" t="str">
        <f>IF(OR(B503="",C503=""),"",C503*IFERROR(INDEX(Articles!$D:$D,MATCH(B503,Articles!$B:$B,0)),0))</f>
        <v/>
      </c>
      <c r="I503" s="9" t="str">
        <f>IF(OR(E503="",H503=""),"",E503-H503)</f>
        <v/>
      </c>
      <c r="J503" s="4"/>
    </row>
    <row r="504">
      <c r="A504" s="7"/>
      <c r="B504" s="4"/>
      <c r="C504" s="6"/>
      <c r="D504" s="5" t="str">
        <f>IF(B504="","",IFERROR(INDEX(Articles!$E:$E,MATCH(B504,Articles!$B:$B,0)),""))</f>
        <v/>
      </c>
      <c r="E504" s="9" t="str">
        <f>IF(OR(C504="",D504=""),"",C504*D504)</f>
        <v/>
      </c>
      <c r="F504" s="4"/>
      <c r="G504" s="4"/>
      <c r="H504" s="9" t="str">
        <f>IF(OR(B504="",C504=""),"",C504*IFERROR(INDEX(Articles!$D:$D,MATCH(B504,Articles!$B:$B,0)),0))</f>
        <v/>
      </c>
      <c r="I504" s="9" t="str">
        <f>IF(OR(E504="",H504=""),"",E504-H504)</f>
        <v/>
      </c>
      <c r="J504" s="4"/>
    </row>
    <row r="505">
      <c r="A505" s="7"/>
      <c r="B505" s="4"/>
      <c r="C505" s="6"/>
      <c r="D505" s="5" t="str">
        <f>IF(B505="","",IFERROR(INDEX(Articles!$E:$E,MATCH(B505,Articles!$B:$B,0)),""))</f>
        <v/>
      </c>
      <c r="E505" s="9" t="str">
        <f>IF(OR(C505="",D505=""),"",C505*D505)</f>
        <v/>
      </c>
      <c r="F505" s="4"/>
      <c r="G505" s="4"/>
      <c r="H505" s="9" t="str">
        <f>IF(OR(B505="",C505=""),"",C505*IFERROR(INDEX(Articles!$D:$D,MATCH(B505,Articles!$B:$B,0)),0))</f>
        <v/>
      </c>
      <c r="I505" s="9" t="str">
        <f>IF(OR(E505="",H505=""),"",E505-H505)</f>
        <v/>
      </c>
      <c r="J505" s="4"/>
    </row>
    <row r="506">
      <c r="A506" s="7"/>
      <c r="B506" s="4"/>
      <c r="C506" s="6"/>
      <c r="D506" s="5" t="str">
        <f>IF(B506="","",IFERROR(INDEX(Articles!$E:$E,MATCH(B506,Articles!$B:$B,0)),""))</f>
        <v/>
      </c>
      <c r="E506" s="9" t="str">
        <f>IF(OR(C506="",D506=""),"",C506*D506)</f>
        <v/>
      </c>
      <c r="F506" s="4"/>
      <c r="G506" s="4"/>
      <c r="H506" s="9" t="str">
        <f>IF(OR(B506="",C506=""),"",C506*IFERROR(INDEX(Articles!$D:$D,MATCH(B506,Articles!$B:$B,0)),0))</f>
        <v/>
      </c>
      <c r="I506" s="9" t="str">
        <f>IF(OR(E506="",H506=""),"",E506-H506)</f>
        <v/>
      </c>
      <c r="J506" s="4"/>
    </row>
    <row r="507">
      <c r="A507" s="7"/>
      <c r="B507" s="4"/>
      <c r="C507" s="6"/>
      <c r="D507" s="5" t="str">
        <f>IF(B507="","",IFERROR(INDEX(Articles!$E:$E,MATCH(B507,Articles!$B:$B,0)),""))</f>
        <v/>
      </c>
      <c r="E507" s="9" t="str">
        <f>IF(OR(C507="",D507=""),"",C507*D507)</f>
        <v/>
      </c>
      <c r="F507" s="4"/>
      <c r="G507" s="4"/>
      <c r="H507" s="9" t="str">
        <f>IF(OR(B507="",C507=""),"",C507*IFERROR(INDEX(Articles!$D:$D,MATCH(B507,Articles!$B:$B,0)),0))</f>
        <v/>
      </c>
      <c r="I507" s="9" t="str">
        <f>IF(OR(E507="",H507=""),"",E507-H507)</f>
        <v/>
      </c>
      <c r="J507" s="4"/>
    </row>
    <row r="508">
      <c r="A508" s="7"/>
      <c r="B508" s="4"/>
      <c r="C508" s="6"/>
      <c r="D508" s="5" t="str">
        <f>IF(B508="","",IFERROR(INDEX(Articles!$E:$E,MATCH(B508,Articles!$B:$B,0)),""))</f>
        <v/>
      </c>
      <c r="E508" s="9" t="str">
        <f>IF(OR(C508="",D508=""),"",C508*D508)</f>
        <v/>
      </c>
      <c r="F508" s="4"/>
      <c r="G508" s="4"/>
      <c r="H508" s="9" t="str">
        <f>IF(OR(B508="",C508=""),"",C508*IFERROR(INDEX(Articles!$D:$D,MATCH(B508,Articles!$B:$B,0)),0))</f>
        <v/>
      </c>
      <c r="I508" s="9" t="str">
        <f>IF(OR(E508="",H508=""),"",E508-H508)</f>
        <v/>
      </c>
      <c r="J508" s="4"/>
    </row>
    <row r="509">
      <c r="A509" s="7"/>
      <c r="B509" s="4"/>
      <c r="C509" s="6"/>
      <c r="D509" s="5" t="str">
        <f>IF(B509="","",IFERROR(INDEX(Articles!$E:$E,MATCH(B509,Articles!$B:$B,0)),""))</f>
        <v/>
      </c>
      <c r="E509" s="9" t="str">
        <f>IF(OR(C509="",D509=""),"",C509*D509)</f>
        <v/>
      </c>
      <c r="F509" s="4"/>
      <c r="G509" s="4"/>
      <c r="H509" s="9" t="str">
        <f>IF(OR(B509="",C509=""),"",C509*IFERROR(INDEX(Articles!$D:$D,MATCH(B509,Articles!$B:$B,0)),0))</f>
        <v/>
      </c>
      <c r="I509" s="9" t="str">
        <f>IF(OR(E509="",H509=""),"",E509-H509)</f>
        <v/>
      </c>
      <c r="J509" s="4"/>
    </row>
    <row r="510">
      <c r="A510" s="7"/>
      <c r="B510" s="4"/>
      <c r="C510" s="6"/>
      <c r="D510" s="5" t="str">
        <f>IF(B510="","",IFERROR(INDEX(Articles!$E:$E,MATCH(B510,Articles!$B:$B,0)),""))</f>
        <v/>
      </c>
      <c r="E510" s="9" t="str">
        <f>IF(OR(C510="",D510=""),"",C510*D510)</f>
        <v/>
      </c>
      <c r="F510" s="4"/>
      <c r="G510" s="4"/>
      <c r="H510" s="9" t="str">
        <f>IF(OR(B510="",C510=""),"",C510*IFERROR(INDEX(Articles!$D:$D,MATCH(B510,Articles!$B:$B,0)),0))</f>
        <v/>
      </c>
      <c r="I510" s="9" t="str">
        <f>IF(OR(E510="",H510=""),"",E510-H510)</f>
        <v/>
      </c>
      <c r="J510" s="4"/>
    </row>
    <row r="511">
      <c r="A511" s="7"/>
      <c r="B511" s="4"/>
      <c r="C511" s="6"/>
      <c r="D511" s="5" t="str">
        <f>IF(B511="","",IFERROR(INDEX(Articles!$E:$E,MATCH(B511,Articles!$B:$B,0)),""))</f>
        <v/>
      </c>
      <c r="E511" s="9" t="str">
        <f>IF(OR(C511="",D511=""),"",C511*D511)</f>
        <v/>
      </c>
      <c r="F511" s="4"/>
      <c r="G511" s="4"/>
      <c r="H511" s="9" t="str">
        <f>IF(OR(B511="",C511=""),"",C511*IFERROR(INDEX(Articles!$D:$D,MATCH(B511,Articles!$B:$B,0)),0))</f>
        <v/>
      </c>
      <c r="I511" s="9" t="str">
        <f>IF(OR(E511="",H511=""),"",E511-H511)</f>
        <v/>
      </c>
      <c r="J511" s="4"/>
    </row>
    <row r="512">
      <c r="A512" s="7"/>
      <c r="B512" s="4"/>
      <c r="C512" s="6"/>
      <c r="D512" s="5" t="str">
        <f>IF(B512="","",IFERROR(INDEX(Articles!$E:$E,MATCH(B512,Articles!$B:$B,0)),""))</f>
        <v/>
      </c>
      <c r="E512" s="9" t="str">
        <f>IF(OR(C512="",D512=""),"",C512*D512)</f>
        <v/>
      </c>
      <c r="F512" s="4"/>
      <c r="G512" s="4"/>
      <c r="H512" s="9" t="str">
        <f>IF(OR(B512="",C512=""),"",C512*IFERROR(INDEX(Articles!$D:$D,MATCH(B512,Articles!$B:$B,0)),0))</f>
        <v/>
      </c>
      <c r="I512" s="9" t="str">
        <f>IF(OR(E512="",H512=""),"",E512-H512)</f>
        <v/>
      </c>
      <c r="J512" s="4"/>
    </row>
    <row r="513">
      <c r="A513" s="7"/>
      <c r="B513" s="4"/>
      <c r="C513" s="6"/>
      <c r="D513" s="5" t="str">
        <f>IF(B513="","",IFERROR(INDEX(Articles!$E:$E,MATCH(B513,Articles!$B:$B,0)),""))</f>
        <v/>
      </c>
      <c r="E513" s="9" t="str">
        <f>IF(OR(C513="",D513=""),"",C513*D513)</f>
        <v/>
      </c>
      <c r="F513" s="4"/>
      <c r="G513" s="4"/>
      <c r="H513" s="9" t="str">
        <f>IF(OR(B513="",C513=""),"",C513*IFERROR(INDEX(Articles!$D:$D,MATCH(B513,Articles!$B:$B,0)),0))</f>
        <v/>
      </c>
      <c r="I513" s="9" t="str">
        <f>IF(OR(E513="",H513=""),"",E513-H513)</f>
        <v/>
      </c>
      <c r="J513" s="4"/>
    </row>
    <row r="514">
      <c r="A514" s="7"/>
      <c r="B514" s="4"/>
      <c r="C514" s="6"/>
      <c r="D514" s="5" t="str">
        <f>IF(B514="","",IFERROR(INDEX(Articles!$E:$E,MATCH(B514,Articles!$B:$B,0)),""))</f>
        <v/>
      </c>
      <c r="E514" s="9" t="str">
        <f>IF(OR(C514="",D514=""),"",C514*D514)</f>
        <v/>
      </c>
      <c r="F514" s="4"/>
      <c r="G514" s="4"/>
      <c r="H514" s="9" t="str">
        <f>IF(OR(B514="",C514=""),"",C514*IFERROR(INDEX(Articles!$D:$D,MATCH(B514,Articles!$B:$B,0)),0))</f>
        <v/>
      </c>
      <c r="I514" s="9" t="str">
        <f>IF(OR(E514="",H514=""),"",E514-H514)</f>
        <v/>
      </c>
      <c r="J514" s="4"/>
    </row>
    <row r="515">
      <c r="A515" s="7"/>
      <c r="B515" s="4"/>
      <c r="C515" s="6"/>
      <c r="D515" s="5" t="str">
        <f>IF(B515="","",IFERROR(INDEX(Articles!$E:$E,MATCH(B515,Articles!$B:$B,0)),""))</f>
        <v/>
      </c>
      <c r="E515" s="9" t="str">
        <f>IF(OR(C515="",D515=""),"",C515*D515)</f>
        <v/>
      </c>
      <c r="F515" s="4"/>
      <c r="G515" s="4"/>
      <c r="H515" s="9" t="str">
        <f>IF(OR(B515="",C515=""),"",C515*IFERROR(INDEX(Articles!$D:$D,MATCH(B515,Articles!$B:$B,0)),0))</f>
        <v/>
      </c>
      <c r="I515" s="9" t="str">
        <f>IF(OR(E515="",H515=""),"",E515-H515)</f>
        <v/>
      </c>
      <c r="J515" s="4"/>
    </row>
    <row r="516">
      <c r="A516" s="7"/>
      <c r="B516" s="4"/>
      <c r="C516" s="6"/>
      <c r="D516" s="5" t="str">
        <f>IF(B516="","",IFERROR(INDEX(Articles!$E:$E,MATCH(B516,Articles!$B:$B,0)),""))</f>
        <v/>
      </c>
      <c r="E516" s="9" t="str">
        <f>IF(OR(C516="",D516=""),"",C516*D516)</f>
        <v/>
      </c>
      <c r="F516" s="4"/>
      <c r="G516" s="4"/>
      <c r="H516" s="9" t="str">
        <f>IF(OR(B516="",C516=""),"",C516*IFERROR(INDEX(Articles!$D:$D,MATCH(B516,Articles!$B:$B,0)),0))</f>
        <v/>
      </c>
      <c r="I516" s="9" t="str">
        <f>IF(OR(E516="",H516=""),"",E516-H516)</f>
        <v/>
      </c>
      <c r="J516" s="4"/>
    </row>
    <row r="517">
      <c r="A517" s="7"/>
      <c r="B517" s="4"/>
      <c r="C517" s="6"/>
      <c r="D517" s="5" t="str">
        <f>IF(B517="","",IFERROR(INDEX(Articles!$E:$E,MATCH(B517,Articles!$B:$B,0)),""))</f>
        <v/>
      </c>
      <c r="E517" s="9" t="str">
        <f>IF(OR(C517="",D517=""),"",C517*D517)</f>
        <v/>
      </c>
      <c r="F517" s="4"/>
      <c r="G517" s="4"/>
      <c r="H517" s="9" t="str">
        <f>IF(OR(B517="",C517=""),"",C517*IFERROR(INDEX(Articles!$D:$D,MATCH(B517,Articles!$B:$B,0)),0))</f>
        <v/>
      </c>
      <c r="I517" s="9" t="str">
        <f>IF(OR(E517="",H517=""),"",E517-H517)</f>
        <v/>
      </c>
      <c r="J517" s="4"/>
    </row>
    <row r="518">
      <c r="A518" s="7"/>
      <c r="B518" s="4"/>
      <c r="C518" s="6"/>
      <c r="D518" s="5" t="str">
        <f>IF(B518="","",IFERROR(INDEX(Articles!$E:$E,MATCH(B518,Articles!$B:$B,0)),""))</f>
        <v/>
      </c>
      <c r="E518" s="9" t="str">
        <f>IF(OR(C518="",D518=""),"",C518*D518)</f>
        <v/>
      </c>
      <c r="F518" s="4"/>
      <c r="G518" s="4"/>
      <c r="H518" s="9" t="str">
        <f>IF(OR(B518="",C518=""),"",C518*IFERROR(INDEX(Articles!$D:$D,MATCH(B518,Articles!$B:$B,0)),0))</f>
        <v/>
      </c>
      <c r="I518" s="9" t="str">
        <f>IF(OR(E518="",H518=""),"",E518-H518)</f>
        <v/>
      </c>
      <c r="J518" s="4"/>
    </row>
    <row r="519">
      <c r="A519" s="7"/>
      <c r="B519" s="4"/>
      <c r="C519" s="6"/>
      <c r="D519" s="5" t="str">
        <f>IF(B519="","",IFERROR(INDEX(Articles!$E:$E,MATCH(B519,Articles!$B:$B,0)),""))</f>
        <v/>
      </c>
      <c r="E519" s="9" t="str">
        <f>IF(OR(C519="",D519=""),"",C519*D519)</f>
        <v/>
      </c>
      <c r="F519" s="4"/>
      <c r="G519" s="4"/>
      <c r="H519" s="9" t="str">
        <f>IF(OR(B519="",C519=""),"",C519*IFERROR(INDEX(Articles!$D:$D,MATCH(B519,Articles!$B:$B,0)),0))</f>
        <v/>
      </c>
      <c r="I519" s="9" t="str">
        <f>IF(OR(E519="",H519=""),"",E519-H519)</f>
        <v/>
      </c>
      <c r="J519" s="4"/>
    </row>
    <row r="520">
      <c r="A520" s="7"/>
      <c r="B520" s="4"/>
      <c r="C520" s="6"/>
      <c r="D520" s="5" t="str">
        <f>IF(B520="","",IFERROR(INDEX(Articles!$E:$E,MATCH(B520,Articles!$B:$B,0)),""))</f>
        <v/>
      </c>
      <c r="E520" s="9" t="str">
        <f>IF(OR(C520="",D520=""),"",C520*D520)</f>
        <v/>
      </c>
      <c r="F520" s="4"/>
      <c r="G520" s="4"/>
      <c r="H520" s="9" t="str">
        <f>IF(OR(B520="",C520=""),"",C520*IFERROR(INDEX(Articles!$D:$D,MATCH(B520,Articles!$B:$B,0)),0))</f>
        <v/>
      </c>
      <c r="I520" s="9" t="str">
        <f>IF(OR(E520="",H520=""),"",E520-H520)</f>
        <v/>
      </c>
      <c r="J520" s="4"/>
    </row>
    <row r="521">
      <c r="A521" s="7"/>
      <c r="B521" s="4"/>
      <c r="C521" s="6"/>
      <c r="D521" s="5" t="str">
        <f>IF(B521="","",IFERROR(INDEX(Articles!$E:$E,MATCH(B521,Articles!$B:$B,0)),""))</f>
        <v/>
      </c>
      <c r="E521" s="9" t="str">
        <f>IF(OR(C521="",D521=""),"",C521*D521)</f>
        <v/>
      </c>
      <c r="F521" s="4"/>
      <c r="G521" s="4"/>
      <c r="H521" s="9" t="str">
        <f>IF(OR(B521="",C521=""),"",C521*IFERROR(INDEX(Articles!$D:$D,MATCH(B521,Articles!$B:$B,0)),0))</f>
        <v/>
      </c>
      <c r="I521" s="9" t="str">
        <f>IF(OR(E521="",H521=""),"",E521-H521)</f>
        <v/>
      </c>
      <c r="J521" s="4"/>
    </row>
    <row r="522">
      <c r="A522" s="7"/>
      <c r="B522" s="4"/>
      <c r="C522" s="6"/>
      <c r="D522" s="5" t="str">
        <f>IF(B522="","",IFERROR(INDEX(Articles!$E:$E,MATCH(B522,Articles!$B:$B,0)),""))</f>
        <v/>
      </c>
      <c r="E522" s="9" t="str">
        <f>IF(OR(C522="",D522=""),"",C522*D522)</f>
        <v/>
      </c>
      <c r="F522" s="4"/>
      <c r="G522" s="4"/>
      <c r="H522" s="9" t="str">
        <f>IF(OR(B522="",C522=""),"",C522*IFERROR(INDEX(Articles!$D:$D,MATCH(B522,Articles!$B:$B,0)),0))</f>
        <v/>
      </c>
      <c r="I522" s="9" t="str">
        <f>IF(OR(E522="",H522=""),"",E522-H522)</f>
        <v/>
      </c>
      <c r="J522" s="4"/>
    </row>
    <row r="523">
      <c r="A523" s="7"/>
      <c r="B523" s="4"/>
      <c r="C523" s="6"/>
      <c r="D523" s="5" t="str">
        <f>IF(B523="","",IFERROR(INDEX(Articles!$E:$E,MATCH(B523,Articles!$B:$B,0)),""))</f>
        <v/>
      </c>
      <c r="E523" s="9" t="str">
        <f>IF(OR(C523="",D523=""),"",C523*D523)</f>
        <v/>
      </c>
      <c r="F523" s="4"/>
      <c r="G523" s="4"/>
      <c r="H523" s="9" t="str">
        <f>IF(OR(B523="",C523=""),"",C523*IFERROR(INDEX(Articles!$D:$D,MATCH(B523,Articles!$B:$B,0)),0))</f>
        <v/>
      </c>
      <c r="I523" s="9" t="str">
        <f>IF(OR(E523="",H523=""),"",E523-H523)</f>
        <v/>
      </c>
      <c r="J523" s="4"/>
    </row>
    <row r="524">
      <c r="A524" s="7"/>
      <c r="B524" s="4"/>
      <c r="C524" s="6"/>
      <c r="D524" s="5" t="str">
        <f>IF(B524="","",IFERROR(INDEX(Articles!$E:$E,MATCH(B524,Articles!$B:$B,0)),""))</f>
        <v/>
      </c>
      <c r="E524" s="9" t="str">
        <f>IF(OR(C524="",D524=""),"",C524*D524)</f>
        <v/>
      </c>
      <c r="F524" s="4"/>
      <c r="G524" s="4"/>
      <c r="H524" s="9" t="str">
        <f>IF(OR(B524="",C524=""),"",C524*IFERROR(INDEX(Articles!$D:$D,MATCH(B524,Articles!$B:$B,0)),0))</f>
        <v/>
      </c>
      <c r="I524" s="9" t="str">
        <f>IF(OR(E524="",H524=""),"",E524-H524)</f>
        <v/>
      </c>
      <c r="J524" s="4"/>
    </row>
    <row r="525">
      <c r="A525" s="7"/>
      <c r="B525" s="4"/>
      <c r="C525" s="6"/>
      <c r="D525" s="5" t="str">
        <f>IF(B525="","",IFERROR(INDEX(Articles!$E:$E,MATCH(B525,Articles!$B:$B,0)),""))</f>
        <v/>
      </c>
      <c r="E525" s="9" t="str">
        <f>IF(OR(C525="",D525=""),"",C525*D525)</f>
        <v/>
      </c>
      <c r="F525" s="4"/>
      <c r="G525" s="4"/>
      <c r="H525" s="9" t="str">
        <f>IF(OR(B525="",C525=""),"",C525*IFERROR(INDEX(Articles!$D:$D,MATCH(B525,Articles!$B:$B,0)),0))</f>
        <v/>
      </c>
      <c r="I525" s="9" t="str">
        <f>IF(OR(E525="",H525=""),"",E525-H525)</f>
        <v/>
      </c>
      <c r="J525" s="4"/>
    </row>
    <row r="526">
      <c r="A526" s="7"/>
      <c r="B526" s="4"/>
      <c r="C526" s="6"/>
      <c r="D526" s="5" t="str">
        <f>IF(B526="","",IFERROR(INDEX(Articles!$E:$E,MATCH(B526,Articles!$B:$B,0)),""))</f>
        <v/>
      </c>
      <c r="E526" s="9" t="str">
        <f>IF(OR(C526="",D526=""),"",C526*D526)</f>
        <v/>
      </c>
      <c r="F526" s="4"/>
      <c r="G526" s="4"/>
      <c r="H526" s="9" t="str">
        <f>IF(OR(B526="",C526=""),"",C526*IFERROR(INDEX(Articles!$D:$D,MATCH(B526,Articles!$B:$B,0)),0))</f>
        <v/>
      </c>
      <c r="I526" s="9" t="str">
        <f>IF(OR(E526="",H526=""),"",E526-H526)</f>
        <v/>
      </c>
      <c r="J526" s="4"/>
    </row>
    <row r="527">
      <c r="A527" s="7"/>
      <c r="B527" s="4"/>
      <c r="C527" s="6"/>
      <c r="D527" s="5" t="str">
        <f>IF(B527="","",IFERROR(INDEX(Articles!$E:$E,MATCH(B527,Articles!$B:$B,0)),""))</f>
        <v/>
      </c>
      <c r="E527" s="9" t="str">
        <f>IF(OR(C527="",D527=""),"",C527*D527)</f>
        <v/>
      </c>
      <c r="F527" s="4"/>
      <c r="G527" s="4"/>
      <c r="H527" s="9" t="str">
        <f>IF(OR(B527="",C527=""),"",C527*IFERROR(INDEX(Articles!$D:$D,MATCH(B527,Articles!$B:$B,0)),0))</f>
        <v/>
      </c>
      <c r="I527" s="9" t="str">
        <f>IF(OR(E527="",H527=""),"",E527-H527)</f>
        <v/>
      </c>
      <c r="J527" s="4"/>
    </row>
    <row r="528">
      <c r="A528" s="7"/>
      <c r="B528" s="4"/>
      <c r="C528" s="6"/>
      <c r="D528" s="5" t="str">
        <f>IF(B528="","",IFERROR(INDEX(Articles!$E:$E,MATCH(B528,Articles!$B:$B,0)),""))</f>
        <v/>
      </c>
      <c r="E528" s="9" t="str">
        <f>IF(OR(C528="",D528=""),"",C528*D528)</f>
        <v/>
      </c>
      <c r="F528" s="4"/>
      <c r="G528" s="4"/>
      <c r="H528" s="9" t="str">
        <f>IF(OR(B528="",C528=""),"",C528*IFERROR(INDEX(Articles!$D:$D,MATCH(B528,Articles!$B:$B,0)),0))</f>
        <v/>
      </c>
      <c r="I528" s="9" t="str">
        <f>IF(OR(E528="",H528=""),"",E528-H528)</f>
        <v/>
      </c>
      <c r="J528" s="4"/>
    </row>
    <row r="529">
      <c r="A529" s="7"/>
      <c r="B529" s="4"/>
      <c r="C529" s="6"/>
      <c r="D529" s="5" t="str">
        <f>IF(B529="","",IFERROR(INDEX(Articles!$E:$E,MATCH(B529,Articles!$B:$B,0)),""))</f>
        <v/>
      </c>
      <c r="E529" s="9" t="str">
        <f>IF(OR(C529="",D529=""),"",C529*D529)</f>
        <v/>
      </c>
      <c r="F529" s="4"/>
      <c r="G529" s="4"/>
      <c r="H529" s="9" t="str">
        <f>IF(OR(B529="",C529=""),"",C529*IFERROR(INDEX(Articles!$D:$D,MATCH(B529,Articles!$B:$B,0)),0))</f>
        <v/>
      </c>
      <c r="I529" s="9" t="str">
        <f>IF(OR(E529="",H529=""),"",E529-H529)</f>
        <v/>
      </c>
      <c r="J529" s="4"/>
    </row>
    <row r="530">
      <c r="A530" s="7"/>
      <c r="B530" s="4"/>
      <c r="C530" s="6"/>
      <c r="D530" s="5" t="str">
        <f>IF(B530="","",IFERROR(INDEX(Articles!$E:$E,MATCH(B530,Articles!$B:$B,0)),""))</f>
        <v/>
      </c>
      <c r="E530" s="9" t="str">
        <f>IF(OR(C530="",D530=""),"",C530*D530)</f>
        <v/>
      </c>
      <c r="F530" s="4"/>
      <c r="G530" s="4"/>
      <c r="H530" s="9" t="str">
        <f>IF(OR(B530="",C530=""),"",C530*IFERROR(INDEX(Articles!$D:$D,MATCH(B530,Articles!$B:$B,0)),0))</f>
        <v/>
      </c>
      <c r="I530" s="9" t="str">
        <f>IF(OR(E530="",H530=""),"",E530-H530)</f>
        <v/>
      </c>
      <c r="J530" s="4"/>
    </row>
    <row r="531">
      <c r="A531" s="7"/>
      <c r="B531" s="4"/>
      <c r="C531" s="6"/>
      <c r="D531" s="5" t="str">
        <f>IF(B531="","",IFERROR(INDEX(Articles!$E:$E,MATCH(B531,Articles!$B:$B,0)),""))</f>
        <v/>
      </c>
      <c r="E531" s="9" t="str">
        <f>IF(OR(C531="",D531=""),"",C531*D531)</f>
        <v/>
      </c>
      <c r="F531" s="4"/>
      <c r="G531" s="4"/>
      <c r="H531" s="9" t="str">
        <f>IF(OR(B531="",C531=""),"",C531*IFERROR(INDEX(Articles!$D:$D,MATCH(B531,Articles!$B:$B,0)),0))</f>
        <v/>
      </c>
      <c r="I531" s="9" t="str">
        <f>IF(OR(E531="",H531=""),"",E531-H531)</f>
        <v/>
      </c>
      <c r="J531" s="4"/>
    </row>
    <row r="532">
      <c r="A532" s="7"/>
      <c r="B532" s="4"/>
      <c r="C532" s="6"/>
      <c r="D532" s="5" t="str">
        <f>IF(B532="","",IFERROR(INDEX(Articles!$E:$E,MATCH(B532,Articles!$B:$B,0)),""))</f>
        <v/>
      </c>
      <c r="E532" s="9" t="str">
        <f>IF(OR(C532="",D532=""),"",C532*D532)</f>
        <v/>
      </c>
      <c r="F532" s="4"/>
      <c r="G532" s="4"/>
      <c r="H532" s="9" t="str">
        <f>IF(OR(B532="",C532=""),"",C532*IFERROR(INDEX(Articles!$D:$D,MATCH(B532,Articles!$B:$B,0)),0))</f>
        <v/>
      </c>
      <c r="I532" s="9" t="str">
        <f>IF(OR(E532="",H532=""),"",E532-H532)</f>
        <v/>
      </c>
      <c r="J532" s="4"/>
    </row>
    <row r="533">
      <c r="A533" s="7"/>
      <c r="B533" s="4"/>
      <c r="C533" s="6"/>
      <c r="D533" s="5" t="str">
        <f>IF(B533="","",IFERROR(INDEX(Articles!$E:$E,MATCH(B533,Articles!$B:$B,0)),""))</f>
        <v/>
      </c>
      <c r="E533" s="9" t="str">
        <f>IF(OR(C533="",D533=""),"",C533*D533)</f>
        <v/>
      </c>
      <c r="F533" s="4"/>
      <c r="G533" s="4"/>
      <c r="H533" s="9" t="str">
        <f>IF(OR(B533="",C533=""),"",C533*IFERROR(INDEX(Articles!$D:$D,MATCH(B533,Articles!$B:$B,0)),0))</f>
        <v/>
      </c>
      <c r="I533" s="9" t="str">
        <f>IF(OR(E533="",H533=""),"",E533-H533)</f>
        <v/>
      </c>
      <c r="J533" s="4"/>
    </row>
    <row r="534">
      <c r="A534" s="7"/>
      <c r="B534" s="4"/>
      <c r="C534" s="6"/>
      <c r="D534" s="5" t="str">
        <f>IF(B534="","",IFERROR(INDEX(Articles!$E:$E,MATCH(B534,Articles!$B:$B,0)),""))</f>
        <v/>
      </c>
      <c r="E534" s="9" t="str">
        <f>IF(OR(C534="",D534=""),"",C534*D534)</f>
        <v/>
      </c>
      <c r="F534" s="4"/>
      <c r="G534" s="4"/>
      <c r="H534" s="9" t="str">
        <f>IF(OR(B534="",C534=""),"",C534*IFERROR(INDEX(Articles!$D:$D,MATCH(B534,Articles!$B:$B,0)),0))</f>
        <v/>
      </c>
      <c r="I534" s="9" t="str">
        <f>IF(OR(E534="",H534=""),"",E534-H534)</f>
        <v/>
      </c>
      <c r="J534" s="4"/>
    </row>
    <row r="535">
      <c r="A535" s="7"/>
      <c r="B535" s="4"/>
      <c r="C535" s="6"/>
      <c r="D535" s="5" t="str">
        <f>IF(B535="","",IFERROR(INDEX(Articles!$E:$E,MATCH(B535,Articles!$B:$B,0)),""))</f>
        <v/>
      </c>
      <c r="E535" s="9" t="str">
        <f>IF(OR(C535="",D535=""),"",C535*D535)</f>
        <v/>
      </c>
      <c r="F535" s="4"/>
      <c r="G535" s="4"/>
      <c r="H535" s="9" t="str">
        <f>IF(OR(B535="",C535=""),"",C535*IFERROR(INDEX(Articles!$D:$D,MATCH(B535,Articles!$B:$B,0)),0))</f>
        <v/>
      </c>
      <c r="I535" s="9" t="str">
        <f>IF(OR(E535="",H535=""),"",E535-H535)</f>
        <v/>
      </c>
      <c r="J535" s="4"/>
    </row>
    <row r="536">
      <c r="A536" s="7"/>
      <c r="B536" s="4"/>
      <c r="C536" s="6"/>
      <c r="D536" s="5" t="str">
        <f>IF(B536="","",IFERROR(INDEX(Articles!$E:$E,MATCH(B536,Articles!$B:$B,0)),""))</f>
        <v/>
      </c>
      <c r="E536" s="9" t="str">
        <f>IF(OR(C536="",D536=""),"",C536*D536)</f>
        <v/>
      </c>
      <c r="F536" s="4"/>
      <c r="G536" s="4"/>
      <c r="H536" s="9" t="str">
        <f>IF(OR(B536="",C536=""),"",C536*IFERROR(INDEX(Articles!$D:$D,MATCH(B536,Articles!$B:$B,0)),0))</f>
        <v/>
      </c>
      <c r="I536" s="9" t="str">
        <f>IF(OR(E536="",H536=""),"",E536-H536)</f>
        <v/>
      </c>
      <c r="J536" s="4"/>
    </row>
    <row r="537">
      <c r="A537" s="7"/>
      <c r="B537" s="4"/>
      <c r="C537" s="6"/>
      <c r="D537" s="5" t="str">
        <f>IF(B537="","",IFERROR(INDEX(Articles!$E:$E,MATCH(B537,Articles!$B:$B,0)),""))</f>
        <v/>
      </c>
      <c r="E537" s="9" t="str">
        <f>IF(OR(C537="",D537=""),"",C537*D537)</f>
        <v/>
      </c>
      <c r="F537" s="4"/>
      <c r="G537" s="4"/>
      <c r="H537" s="9" t="str">
        <f>IF(OR(B537="",C537=""),"",C537*IFERROR(INDEX(Articles!$D:$D,MATCH(B537,Articles!$B:$B,0)),0))</f>
        <v/>
      </c>
      <c r="I537" s="9" t="str">
        <f>IF(OR(E537="",H537=""),"",E537-H537)</f>
        <v/>
      </c>
      <c r="J537" s="4"/>
    </row>
    <row r="538">
      <c r="A538" s="7"/>
      <c r="B538" s="4"/>
      <c r="C538" s="6"/>
      <c r="D538" s="5" t="str">
        <f>IF(B538="","",IFERROR(INDEX(Articles!$E:$E,MATCH(B538,Articles!$B:$B,0)),""))</f>
        <v/>
      </c>
      <c r="E538" s="9" t="str">
        <f>IF(OR(C538="",D538=""),"",C538*D538)</f>
        <v/>
      </c>
      <c r="F538" s="4"/>
      <c r="G538" s="4"/>
      <c r="H538" s="9" t="str">
        <f>IF(OR(B538="",C538=""),"",C538*IFERROR(INDEX(Articles!$D:$D,MATCH(B538,Articles!$B:$B,0)),0))</f>
        <v/>
      </c>
      <c r="I538" s="9" t="str">
        <f>IF(OR(E538="",H538=""),"",E538-H538)</f>
        <v/>
      </c>
      <c r="J538" s="4"/>
    </row>
    <row r="539">
      <c r="A539" s="7"/>
      <c r="B539" s="4"/>
      <c r="C539" s="6"/>
      <c r="D539" s="5" t="str">
        <f>IF(B539="","",IFERROR(INDEX(Articles!$E:$E,MATCH(B539,Articles!$B:$B,0)),""))</f>
        <v/>
      </c>
      <c r="E539" s="9" t="str">
        <f>IF(OR(C539="",D539=""),"",C539*D539)</f>
        <v/>
      </c>
      <c r="F539" s="4"/>
      <c r="G539" s="4"/>
      <c r="H539" s="9" t="str">
        <f>IF(OR(B539="",C539=""),"",C539*IFERROR(INDEX(Articles!$D:$D,MATCH(B539,Articles!$B:$B,0)),0))</f>
        <v/>
      </c>
      <c r="I539" s="9" t="str">
        <f>IF(OR(E539="",H539=""),"",E539-H539)</f>
        <v/>
      </c>
      <c r="J539" s="4"/>
    </row>
    <row r="540">
      <c r="A540" s="7"/>
      <c r="B540" s="4"/>
      <c r="C540" s="6"/>
      <c r="D540" s="5" t="str">
        <f>IF(B540="","",IFERROR(INDEX(Articles!$E:$E,MATCH(B540,Articles!$B:$B,0)),""))</f>
        <v/>
      </c>
      <c r="E540" s="9" t="str">
        <f>IF(OR(C540="",D540=""),"",C540*D540)</f>
        <v/>
      </c>
      <c r="F540" s="4"/>
      <c r="G540" s="4"/>
      <c r="H540" s="9" t="str">
        <f>IF(OR(B540="",C540=""),"",C540*IFERROR(INDEX(Articles!$D:$D,MATCH(B540,Articles!$B:$B,0)),0))</f>
        <v/>
      </c>
      <c r="I540" s="9" t="str">
        <f>IF(OR(E540="",H540=""),"",E540-H540)</f>
        <v/>
      </c>
      <c r="J540" s="4"/>
    </row>
    <row r="541">
      <c r="A541" s="7"/>
      <c r="B541" s="4"/>
      <c r="C541" s="6"/>
      <c r="D541" s="5" t="str">
        <f>IF(B541="","",IFERROR(INDEX(Articles!$E:$E,MATCH(B541,Articles!$B:$B,0)),""))</f>
        <v/>
      </c>
      <c r="E541" s="9" t="str">
        <f>IF(OR(C541="",D541=""),"",C541*D541)</f>
        <v/>
      </c>
      <c r="F541" s="4"/>
      <c r="G541" s="4"/>
      <c r="H541" s="9" t="str">
        <f>IF(OR(B541="",C541=""),"",C541*IFERROR(INDEX(Articles!$D:$D,MATCH(B541,Articles!$B:$B,0)),0))</f>
        <v/>
      </c>
      <c r="I541" s="9" t="str">
        <f>IF(OR(E541="",H541=""),"",E541-H541)</f>
        <v/>
      </c>
      <c r="J541" s="4"/>
    </row>
    <row r="542">
      <c r="A542" s="7"/>
      <c r="B542" s="4"/>
      <c r="C542" s="6"/>
      <c r="D542" s="5" t="str">
        <f>IF(B542="","",IFERROR(INDEX(Articles!$E:$E,MATCH(B542,Articles!$B:$B,0)),""))</f>
        <v/>
      </c>
      <c r="E542" s="9" t="str">
        <f>IF(OR(C542="",D542=""),"",C542*D542)</f>
        <v/>
      </c>
      <c r="F542" s="4"/>
      <c r="G542" s="4"/>
      <c r="H542" s="9" t="str">
        <f>IF(OR(B542="",C542=""),"",C542*IFERROR(INDEX(Articles!$D:$D,MATCH(B542,Articles!$B:$B,0)),0))</f>
        <v/>
      </c>
      <c r="I542" s="9" t="str">
        <f>IF(OR(E542="",H542=""),"",E542-H542)</f>
        <v/>
      </c>
      <c r="J542" s="4"/>
    </row>
    <row r="543">
      <c r="A543" s="7"/>
      <c r="B543" s="4"/>
      <c r="C543" s="6"/>
      <c r="D543" s="5" t="str">
        <f>IF(B543="","",IFERROR(INDEX(Articles!$E:$E,MATCH(B543,Articles!$B:$B,0)),""))</f>
        <v/>
      </c>
      <c r="E543" s="9" t="str">
        <f>IF(OR(C543="",D543=""),"",C543*D543)</f>
        <v/>
      </c>
      <c r="F543" s="4"/>
      <c r="G543" s="4"/>
      <c r="H543" s="9" t="str">
        <f>IF(OR(B543="",C543=""),"",C543*IFERROR(INDEX(Articles!$D:$D,MATCH(B543,Articles!$B:$B,0)),0))</f>
        <v/>
      </c>
      <c r="I543" s="9" t="str">
        <f>IF(OR(E543="",H543=""),"",E543-H543)</f>
        <v/>
      </c>
      <c r="J543" s="4"/>
    </row>
    <row r="544">
      <c r="A544" s="7"/>
      <c r="B544" s="4"/>
      <c r="C544" s="6"/>
      <c r="D544" s="5" t="str">
        <f>IF(B544="","",IFERROR(INDEX(Articles!$E:$E,MATCH(B544,Articles!$B:$B,0)),""))</f>
        <v/>
      </c>
      <c r="E544" s="9" t="str">
        <f>IF(OR(C544="",D544=""),"",C544*D544)</f>
        <v/>
      </c>
      <c r="F544" s="4"/>
      <c r="G544" s="4"/>
      <c r="H544" s="9" t="str">
        <f>IF(OR(B544="",C544=""),"",C544*IFERROR(INDEX(Articles!$D:$D,MATCH(B544,Articles!$B:$B,0)),0))</f>
        <v/>
      </c>
      <c r="I544" s="9" t="str">
        <f>IF(OR(E544="",H544=""),"",E544-H544)</f>
        <v/>
      </c>
      <c r="J544" s="4"/>
    </row>
    <row r="545">
      <c r="A545" s="7"/>
      <c r="B545" s="4"/>
      <c r="C545" s="6"/>
      <c r="D545" s="5" t="str">
        <f>IF(B545="","",IFERROR(INDEX(Articles!$E:$E,MATCH(B545,Articles!$B:$B,0)),""))</f>
        <v/>
      </c>
      <c r="E545" s="9" t="str">
        <f>IF(OR(C545="",D545=""),"",C545*D545)</f>
        <v/>
      </c>
      <c r="F545" s="4"/>
      <c r="G545" s="4"/>
      <c r="H545" s="9" t="str">
        <f>IF(OR(B545="",C545=""),"",C545*IFERROR(INDEX(Articles!$D:$D,MATCH(B545,Articles!$B:$B,0)),0))</f>
        <v/>
      </c>
      <c r="I545" s="9" t="str">
        <f>IF(OR(E545="",H545=""),"",E545-H545)</f>
        <v/>
      </c>
      <c r="J545" s="4"/>
    </row>
    <row r="546">
      <c r="A546" s="7"/>
      <c r="B546" s="4"/>
      <c r="C546" s="6"/>
      <c r="D546" s="5" t="str">
        <f>IF(B546="","",IFERROR(INDEX(Articles!$E:$E,MATCH(B546,Articles!$B:$B,0)),""))</f>
        <v/>
      </c>
      <c r="E546" s="9" t="str">
        <f>IF(OR(C546="",D546=""),"",C546*D546)</f>
        <v/>
      </c>
      <c r="F546" s="4"/>
      <c r="G546" s="4"/>
      <c r="H546" s="9" t="str">
        <f>IF(OR(B546="",C546=""),"",C546*IFERROR(INDEX(Articles!$D:$D,MATCH(B546,Articles!$B:$B,0)),0))</f>
        <v/>
      </c>
      <c r="I546" s="9" t="str">
        <f>IF(OR(E546="",H546=""),"",E546-H546)</f>
        <v/>
      </c>
      <c r="J546" s="4"/>
    </row>
    <row r="547">
      <c r="A547" s="7"/>
      <c r="B547" s="4"/>
      <c r="C547" s="6"/>
      <c r="D547" s="5" t="str">
        <f>IF(B547="","",IFERROR(INDEX(Articles!$E:$E,MATCH(B547,Articles!$B:$B,0)),""))</f>
        <v/>
      </c>
      <c r="E547" s="9" t="str">
        <f>IF(OR(C547="",D547=""),"",C547*D547)</f>
        <v/>
      </c>
      <c r="F547" s="4"/>
      <c r="G547" s="4"/>
      <c r="H547" s="9" t="str">
        <f>IF(OR(B547="",C547=""),"",C547*IFERROR(INDEX(Articles!$D:$D,MATCH(B547,Articles!$B:$B,0)),0))</f>
        <v/>
      </c>
      <c r="I547" s="9" t="str">
        <f>IF(OR(E547="",H547=""),"",E547-H547)</f>
        <v/>
      </c>
      <c r="J547" s="4"/>
    </row>
    <row r="548">
      <c r="A548" s="7"/>
      <c r="B548" s="4"/>
      <c r="C548" s="6"/>
      <c r="D548" s="5" t="str">
        <f>IF(B548="","",IFERROR(INDEX(Articles!$E:$E,MATCH(B548,Articles!$B:$B,0)),""))</f>
        <v/>
      </c>
      <c r="E548" s="9" t="str">
        <f>IF(OR(C548="",D548=""),"",C548*D548)</f>
        <v/>
      </c>
      <c r="F548" s="4"/>
      <c r="G548" s="4"/>
      <c r="H548" s="9" t="str">
        <f>IF(OR(B548="",C548=""),"",C548*IFERROR(INDEX(Articles!$D:$D,MATCH(B548,Articles!$B:$B,0)),0))</f>
        <v/>
      </c>
      <c r="I548" s="9" t="str">
        <f>IF(OR(E548="",H548=""),"",E548-H548)</f>
        <v/>
      </c>
      <c r="J548" s="4"/>
    </row>
    <row r="549">
      <c r="A549" s="7"/>
      <c r="B549" s="4"/>
      <c r="C549" s="6"/>
      <c r="D549" s="5" t="str">
        <f>IF(B549="","",IFERROR(INDEX(Articles!$E:$E,MATCH(B549,Articles!$B:$B,0)),""))</f>
        <v/>
      </c>
      <c r="E549" s="9" t="str">
        <f>IF(OR(C549="",D549=""),"",C549*D549)</f>
        <v/>
      </c>
      <c r="F549" s="4"/>
      <c r="G549" s="4"/>
      <c r="H549" s="9" t="str">
        <f>IF(OR(B549="",C549=""),"",C549*IFERROR(INDEX(Articles!$D:$D,MATCH(B549,Articles!$B:$B,0)),0))</f>
        <v/>
      </c>
      <c r="I549" s="9" t="str">
        <f>IF(OR(E549="",H549=""),"",E549-H549)</f>
        <v/>
      </c>
      <c r="J549" s="4"/>
    </row>
    <row r="550">
      <c r="A550" s="7"/>
      <c r="B550" s="4"/>
      <c r="C550" s="6"/>
      <c r="D550" s="5" t="str">
        <f>IF(B550="","",IFERROR(INDEX(Articles!$E:$E,MATCH(B550,Articles!$B:$B,0)),""))</f>
        <v/>
      </c>
      <c r="E550" s="9" t="str">
        <f>IF(OR(C550="",D550=""),"",C550*D550)</f>
        <v/>
      </c>
      <c r="F550" s="4"/>
      <c r="G550" s="4"/>
      <c r="H550" s="9" t="str">
        <f>IF(OR(B550="",C550=""),"",C550*IFERROR(INDEX(Articles!$D:$D,MATCH(B550,Articles!$B:$B,0)),0))</f>
        <v/>
      </c>
      <c r="I550" s="9" t="str">
        <f>IF(OR(E550="",H550=""),"",E550-H550)</f>
        <v/>
      </c>
      <c r="J550" s="4"/>
    </row>
    <row r="551">
      <c r="A551" s="7"/>
      <c r="B551" s="4"/>
      <c r="C551" s="6"/>
      <c r="D551" s="5" t="str">
        <f>IF(B551="","",IFERROR(INDEX(Articles!$E:$E,MATCH(B551,Articles!$B:$B,0)),""))</f>
        <v/>
      </c>
      <c r="E551" s="9" t="str">
        <f>IF(OR(C551="",D551=""),"",C551*D551)</f>
        <v/>
      </c>
      <c r="F551" s="4"/>
      <c r="G551" s="4"/>
      <c r="H551" s="9" t="str">
        <f>IF(OR(B551="",C551=""),"",C551*IFERROR(INDEX(Articles!$D:$D,MATCH(B551,Articles!$B:$B,0)),0))</f>
        <v/>
      </c>
      <c r="I551" s="9" t="str">
        <f>IF(OR(E551="",H551=""),"",E551-H551)</f>
        <v/>
      </c>
      <c r="J551" s="4"/>
    </row>
    <row r="552">
      <c r="A552" s="7"/>
      <c r="B552" s="4"/>
      <c r="C552" s="6"/>
      <c r="D552" s="5" t="str">
        <f>IF(B552="","",IFERROR(INDEX(Articles!$E:$E,MATCH(B552,Articles!$B:$B,0)),""))</f>
        <v/>
      </c>
      <c r="E552" s="9" t="str">
        <f>IF(OR(C552="",D552=""),"",C552*D552)</f>
        <v/>
      </c>
      <c r="F552" s="4"/>
      <c r="G552" s="4"/>
      <c r="H552" s="9" t="str">
        <f>IF(OR(B552="",C552=""),"",C552*IFERROR(INDEX(Articles!$D:$D,MATCH(B552,Articles!$B:$B,0)),0))</f>
        <v/>
      </c>
      <c r="I552" s="9" t="str">
        <f>IF(OR(E552="",H552=""),"",E552-H552)</f>
        <v/>
      </c>
      <c r="J552" s="4"/>
    </row>
    <row r="553">
      <c r="A553" s="7"/>
      <c r="B553" s="4"/>
      <c r="C553" s="6"/>
      <c r="D553" s="5" t="str">
        <f>IF(B553="","",IFERROR(INDEX(Articles!$E:$E,MATCH(B553,Articles!$B:$B,0)),""))</f>
        <v/>
      </c>
      <c r="E553" s="9" t="str">
        <f>IF(OR(C553="",D553=""),"",C553*D553)</f>
        <v/>
      </c>
      <c r="F553" s="4"/>
      <c r="G553" s="4"/>
      <c r="H553" s="9" t="str">
        <f>IF(OR(B553="",C553=""),"",C553*IFERROR(INDEX(Articles!$D:$D,MATCH(B553,Articles!$B:$B,0)),0))</f>
        <v/>
      </c>
      <c r="I553" s="9" t="str">
        <f>IF(OR(E553="",H553=""),"",E553-H553)</f>
        <v/>
      </c>
      <c r="J553" s="4"/>
    </row>
    <row r="554">
      <c r="A554" s="7"/>
      <c r="B554" s="4"/>
      <c r="C554" s="6"/>
      <c r="D554" s="5" t="str">
        <f>IF(B554="","",IFERROR(INDEX(Articles!$E:$E,MATCH(B554,Articles!$B:$B,0)),""))</f>
        <v/>
      </c>
      <c r="E554" s="9" t="str">
        <f>IF(OR(C554="",D554=""),"",C554*D554)</f>
        <v/>
      </c>
      <c r="F554" s="4"/>
      <c r="G554" s="4"/>
      <c r="H554" s="9" t="str">
        <f>IF(OR(B554="",C554=""),"",C554*IFERROR(INDEX(Articles!$D:$D,MATCH(B554,Articles!$B:$B,0)),0))</f>
        <v/>
      </c>
      <c r="I554" s="9" t="str">
        <f>IF(OR(E554="",H554=""),"",E554-H554)</f>
        <v/>
      </c>
      <c r="J554" s="4"/>
    </row>
    <row r="555">
      <c r="A555" s="7"/>
      <c r="B555" s="4"/>
      <c r="C555" s="6"/>
      <c r="D555" s="5" t="str">
        <f>IF(B555="","",IFERROR(INDEX(Articles!$E:$E,MATCH(B555,Articles!$B:$B,0)),""))</f>
        <v/>
      </c>
      <c r="E555" s="9" t="str">
        <f>IF(OR(C555="",D555=""),"",C555*D555)</f>
        <v/>
      </c>
      <c r="F555" s="4"/>
      <c r="G555" s="4"/>
      <c r="H555" s="9" t="str">
        <f>IF(OR(B555="",C555=""),"",C555*IFERROR(INDEX(Articles!$D:$D,MATCH(B555,Articles!$B:$B,0)),0))</f>
        <v/>
      </c>
      <c r="I555" s="9" t="str">
        <f>IF(OR(E555="",H555=""),"",E555-H555)</f>
        <v/>
      </c>
      <c r="J555" s="4"/>
    </row>
    <row r="556">
      <c r="A556" s="7"/>
      <c r="B556" s="4"/>
      <c r="C556" s="6"/>
      <c r="D556" s="5" t="str">
        <f>IF(B556="","",IFERROR(INDEX(Articles!$E:$E,MATCH(B556,Articles!$B:$B,0)),""))</f>
        <v/>
      </c>
      <c r="E556" s="9" t="str">
        <f>IF(OR(C556="",D556=""),"",C556*D556)</f>
        <v/>
      </c>
      <c r="F556" s="4"/>
      <c r="G556" s="4"/>
      <c r="H556" s="9" t="str">
        <f>IF(OR(B556="",C556=""),"",C556*IFERROR(INDEX(Articles!$D:$D,MATCH(B556,Articles!$B:$B,0)),0))</f>
        <v/>
      </c>
      <c r="I556" s="9" t="str">
        <f>IF(OR(E556="",H556=""),"",E556-H556)</f>
        <v/>
      </c>
      <c r="J556" s="4"/>
    </row>
    <row r="557">
      <c r="A557" s="7"/>
      <c r="B557" s="4"/>
      <c r="C557" s="6"/>
      <c r="D557" s="5" t="str">
        <f>IF(B557="","",IFERROR(INDEX(Articles!$E:$E,MATCH(B557,Articles!$B:$B,0)),""))</f>
        <v/>
      </c>
      <c r="E557" s="9" t="str">
        <f>IF(OR(C557="",D557=""),"",C557*D557)</f>
        <v/>
      </c>
      <c r="F557" s="4"/>
      <c r="G557" s="4"/>
      <c r="H557" s="9" t="str">
        <f>IF(OR(B557="",C557=""),"",C557*IFERROR(INDEX(Articles!$D:$D,MATCH(B557,Articles!$B:$B,0)),0))</f>
        <v/>
      </c>
      <c r="I557" s="9" t="str">
        <f>IF(OR(E557="",H557=""),"",E557-H557)</f>
        <v/>
      </c>
      <c r="J557" s="4"/>
    </row>
    <row r="558">
      <c r="A558" s="7"/>
      <c r="B558" s="4"/>
      <c r="C558" s="6"/>
      <c r="D558" s="5" t="str">
        <f>IF(B558="","",IFERROR(INDEX(Articles!$E:$E,MATCH(B558,Articles!$B:$B,0)),""))</f>
        <v/>
      </c>
      <c r="E558" s="9" t="str">
        <f>IF(OR(C558="",D558=""),"",C558*D558)</f>
        <v/>
      </c>
      <c r="F558" s="4"/>
      <c r="G558" s="4"/>
      <c r="H558" s="9" t="str">
        <f>IF(OR(B558="",C558=""),"",C558*IFERROR(INDEX(Articles!$D:$D,MATCH(B558,Articles!$B:$B,0)),0))</f>
        <v/>
      </c>
      <c r="I558" s="9" t="str">
        <f>IF(OR(E558="",H558=""),"",E558-H558)</f>
        <v/>
      </c>
      <c r="J558" s="4"/>
    </row>
    <row r="559">
      <c r="A559" s="7"/>
      <c r="B559" s="4"/>
      <c r="C559" s="6"/>
      <c r="D559" s="5" t="str">
        <f>IF(B559="","",IFERROR(INDEX(Articles!$E:$E,MATCH(B559,Articles!$B:$B,0)),""))</f>
        <v/>
      </c>
      <c r="E559" s="9" t="str">
        <f>IF(OR(C559="",D559=""),"",C559*D559)</f>
        <v/>
      </c>
      <c r="F559" s="4"/>
      <c r="G559" s="4"/>
      <c r="H559" s="9" t="str">
        <f>IF(OR(B559="",C559=""),"",C559*IFERROR(INDEX(Articles!$D:$D,MATCH(B559,Articles!$B:$B,0)),0))</f>
        <v/>
      </c>
      <c r="I559" s="9" t="str">
        <f>IF(OR(E559="",H559=""),"",E559-H559)</f>
        <v/>
      </c>
      <c r="J559" s="4"/>
    </row>
    <row r="560">
      <c r="A560" s="7"/>
      <c r="B560" s="4"/>
      <c r="C560" s="6"/>
      <c r="D560" s="5" t="str">
        <f>IF(B560="","",IFERROR(INDEX(Articles!$E:$E,MATCH(B560,Articles!$B:$B,0)),""))</f>
        <v/>
      </c>
      <c r="E560" s="9" t="str">
        <f>IF(OR(C560="",D560=""),"",C560*D560)</f>
        <v/>
      </c>
      <c r="F560" s="4"/>
      <c r="G560" s="4"/>
      <c r="H560" s="9" t="str">
        <f>IF(OR(B560="",C560=""),"",C560*IFERROR(INDEX(Articles!$D:$D,MATCH(B560,Articles!$B:$B,0)),0))</f>
        <v/>
      </c>
      <c r="I560" s="9" t="str">
        <f>IF(OR(E560="",H560=""),"",E560-H560)</f>
        <v/>
      </c>
      <c r="J560" s="4"/>
    </row>
    <row r="561">
      <c r="A561" s="7"/>
      <c r="B561" s="4"/>
      <c r="C561" s="6"/>
      <c r="D561" s="5" t="str">
        <f>IF(B561="","",IFERROR(INDEX(Articles!$E:$E,MATCH(B561,Articles!$B:$B,0)),""))</f>
        <v/>
      </c>
      <c r="E561" s="9" t="str">
        <f>IF(OR(C561="",D561=""),"",C561*D561)</f>
        <v/>
      </c>
      <c r="F561" s="4"/>
      <c r="G561" s="4"/>
      <c r="H561" s="9" t="str">
        <f>IF(OR(B561="",C561=""),"",C561*IFERROR(INDEX(Articles!$D:$D,MATCH(B561,Articles!$B:$B,0)),0))</f>
        <v/>
      </c>
      <c r="I561" s="9" t="str">
        <f>IF(OR(E561="",H561=""),"",E561-H561)</f>
        <v/>
      </c>
      <c r="J561" s="4"/>
    </row>
    <row r="562">
      <c r="A562" s="7"/>
      <c r="B562" s="4"/>
      <c r="C562" s="6"/>
      <c r="D562" s="5" t="str">
        <f>IF(B562="","",IFERROR(INDEX(Articles!$E:$E,MATCH(B562,Articles!$B:$B,0)),""))</f>
        <v/>
      </c>
      <c r="E562" s="9" t="str">
        <f>IF(OR(C562="",D562=""),"",C562*D562)</f>
        <v/>
      </c>
      <c r="F562" s="4"/>
      <c r="G562" s="4"/>
      <c r="H562" s="9" t="str">
        <f>IF(OR(B562="",C562=""),"",C562*IFERROR(INDEX(Articles!$D:$D,MATCH(B562,Articles!$B:$B,0)),0))</f>
        <v/>
      </c>
      <c r="I562" s="9" t="str">
        <f>IF(OR(E562="",H562=""),"",E562-H562)</f>
        <v/>
      </c>
      <c r="J562" s="4"/>
    </row>
    <row r="563">
      <c r="A563" s="7"/>
      <c r="B563" s="4"/>
      <c r="C563" s="6"/>
      <c r="D563" s="5" t="str">
        <f>IF(B563="","",IFERROR(INDEX(Articles!$E:$E,MATCH(B563,Articles!$B:$B,0)),""))</f>
        <v/>
      </c>
      <c r="E563" s="9" t="str">
        <f>IF(OR(C563="",D563=""),"",C563*D563)</f>
        <v/>
      </c>
      <c r="F563" s="4"/>
      <c r="G563" s="4"/>
      <c r="H563" s="9" t="str">
        <f>IF(OR(B563="",C563=""),"",C563*IFERROR(INDEX(Articles!$D:$D,MATCH(B563,Articles!$B:$B,0)),0))</f>
        <v/>
      </c>
      <c r="I563" s="9" t="str">
        <f>IF(OR(E563="",H563=""),"",E563-H563)</f>
        <v/>
      </c>
      <c r="J563" s="4"/>
    </row>
    <row r="564">
      <c r="A564" s="7"/>
      <c r="B564" s="4"/>
      <c r="C564" s="6"/>
      <c r="D564" s="5" t="str">
        <f>IF(B564="","",IFERROR(INDEX(Articles!$E:$E,MATCH(B564,Articles!$B:$B,0)),""))</f>
        <v/>
      </c>
      <c r="E564" s="9" t="str">
        <f>IF(OR(C564="",D564=""),"",C564*D564)</f>
        <v/>
      </c>
      <c r="F564" s="4"/>
      <c r="G564" s="4"/>
      <c r="H564" s="9" t="str">
        <f>IF(OR(B564="",C564=""),"",C564*IFERROR(INDEX(Articles!$D:$D,MATCH(B564,Articles!$B:$B,0)),0))</f>
        <v/>
      </c>
      <c r="I564" s="9" t="str">
        <f>IF(OR(E564="",H564=""),"",E564-H564)</f>
        <v/>
      </c>
      <c r="J564" s="4"/>
    </row>
    <row r="565">
      <c r="A565" s="7"/>
      <c r="B565" s="4"/>
      <c r="C565" s="6"/>
      <c r="D565" s="5" t="str">
        <f>IF(B565="","",IFERROR(INDEX(Articles!$E:$E,MATCH(B565,Articles!$B:$B,0)),""))</f>
        <v/>
      </c>
      <c r="E565" s="9" t="str">
        <f>IF(OR(C565="",D565=""),"",C565*D565)</f>
        <v/>
      </c>
      <c r="F565" s="4"/>
      <c r="G565" s="4"/>
      <c r="H565" s="9" t="str">
        <f>IF(OR(B565="",C565=""),"",C565*IFERROR(INDEX(Articles!$D:$D,MATCH(B565,Articles!$B:$B,0)),0))</f>
        <v/>
      </c>
      <c r="I565" s="9" t="str">
        <f>IF(OR(E565="",H565=""),"",E565-H565)</f>
        <v/>
      </c>
      <c r="J565" s="4"/>
    </row>
    <row r="566">
      <c r="A566" s="7"/>
      <c r="B566" s="4"/>
      <c r="C566" s="6"/>
      <c r="D566" s="5" t="str">
        <f>IF(B566="","",IFERROR(INDEX(Articles!$E:$E,MATCH(B566,Articles!$B:$B,0)),""))</f>
        <v/>
      </c>
      <c r="E566" s="9" t="str">
        <f>IF(OR(C566="",D566=""),"",C566*D566)</f>
        <v/>
      </c>
      <c r="F566" s="4"/>
      <c r="G566" s="4"/>
      <c r="H566" s="9" t="str">
        <f>IF(OR(B566="",C566=""),"",C566*IFERROR(INDEX(Articles!$D:$D,MATCH(B566,Articles!$B:$B,0)),0))</f>
        <v/>
      </c>
      <c r="I566" s="9" t="str">
        <f>IF(OR(E566="",H566=""),"",E566-H566)</f>
        <v/>
      </c>
      <c r="J566" s="4"/>
    </row>
    <row r="567">
      <c r="A567" s="7"/>
      <c r="B567" s="4"/>
      <c r="C567" s="6"/>
      <c r="D567" s="5" t="str">
        <f>IF(B567="","",IFERROR(INDEX(Articles!$E:$E,MATCH(B567,Articles!$B:$B,0)),""))</f>
        <v/>
      </c>
      <c r="E567" s="9" t="str">
        <f>IF(OR(C567="",D567=""),"",C567*D567)</f>
        <v/>
      </c>
      <c r="F567" s="4"/>
      <c r="G567" s="4"/>
      <c r="H567" s="9" t="str">
        <f>IF(OR(B567="",C567=""),"",C567*IFERROR(INDEX(Articles!$D:$D,MATCH(B567,Articles!$B:$B,0)),0))</f>
        <v/>
      </c>
      <c r="I567" s="9" t="str">
        <f>IF(OR(E567="",H567=""),"",E567-H567)</f>
        <v/>
      </c>
      <c r="J567" s="4"/>
    </row>
    <row r="568">
      <c r="A568" s="7"/>
      <c r="B568" s="4"/>
      <c r="C568" s="6"/>
      <c r="D568" s="5" t="str">
        <f>IF(B568="","",IFERROR(INDEX(Articles!$E:$E,MATCH(B568,Articles!$B:$B,0)),""))</f>
        <v/>
      </c>
      <c r="E568" s="9" t="str">
        <f>IF(OR(C568="",D568=""),"",C568*D568)</f>
        <v/>
      </c>
      <c r="F568" s="4"/>
      <c r="G568" s="4"/>
      <c r="H568" s="9" t="str">
        <f>IF(OR(B568="",C568=""),"",C568*IFERROR(INDEX(Articles!$D:$D,MATCH(B568,Articles!$B:$B,0)),0))</f>
        <v/>
      </c>
      <c r="I568" s="9" t="str">
        <f>IF(OR(E568="",H568=""),"",E568-H568)</f>
        <v/>
      </c>
      <c r="J568" s="4"/>
    </row>
    <row r="569">
      <c r="A569" s="7"/>
      <c r="B569" s="4"/>
      <c r="C569" s="6"/>
      <c r="D569" s="5" t="str">
        <f>IF(B569="","",IFERROR(INDEX(Articles!$E:$E,MATCH(B569,Articles!$B:$B,0)),""))</f>
        <v/>
      </c>
      <c r="E569" s="9" t="str">
        <f>IF(OR(C569="",D569=""),"",C569*D569)</f>
        <v/>
      </c>
      <c r="F569" s="4"/>
      <c r="G569" s="4"/>
      <c r="H569" s="9" t="str">
        <f>IF(OR(B569="",C569=""),"",C569*IFERROR(INDEX(Articles!$D:$D,MATCH(B569,Articles!$B:$B,0)),0))</f>
        <v/>
      </c>
      <c r="I569" s="9" t="str">
        <f>IF(OR(E569="",H569=""),"",E569-H569)</f>
        <v/>
      </c>
      <c r="J569" s="4"/>
    </row>
    <row r="570">
      <c r="A570" s="7"/>
      <c r="B570" s="4"/>
      <c r="C570" s="6"/>
      <c r="D570" s="5" t="str">
        <f>IF(B570="","",IFERROR(INDEX(Articles!$E:$E,MATCH(B570,Articles!$B:$B,0)),""))</f>
        <v/>
      </c>
      <c r="E570" s="9" t="str">
        <f>IF(OR(C570="",D570=""),"",C570*D570)</f>
        <v/>
      </c>
      <c r="F570" s="4"/>
      <c r="G570" s="4"/>
      <c r="H570" s="9" t="str">
        <f>IF(OR(B570="",C570=""),"",C570*IFERROR(INDEX(Articles!$D:$D,MATCH(B570,Articles!$B:$B,0)),0))</f>
        <v/>
      </c>
      <c r="I570" s="9" t="str">
        <f>IF(OR(E570="",H570=""),"",E570-H570)</f>
        <v/>
      </c>
      <c r="J570" s="4"/>
    </row>
    <row r="571">
      <c r="A571" s="7"/>
      <c r="B571" s="4"/>
      <c r="C571" s="6"/>
      <c r="D571" s="5" t="str">
        <f>IF(B571="","",IFERROR(INDEX(Articles!$E:$E,MATCH(B571,Articles!$B:$B,0)),""))</f>
        <v/>
      </c>
      <c r="E571" s="9" t="str">
        <f>IF(OR(C571="",D571=""),"",C571*D571)</f>
        <v/>
      </c>
      <c r="F571" s="4"/>
      <c r="G571" s="4"/>
      <c r="H571" s="9" t="str">
        <f>IF(OR(B571="",C571=""),"",C571*IFERROR(INDEX(Articles!$D:$D,MATCH(B571,Articles!$B:$B,0)),0))</f>
        <v/>
      </c>
      <c r="I571" s="9" t="str">
        <f>IF(OR(E571="",H571=""),"",E571-H571)</f>
        <v/>
      </c>
      <c r="J571" s="4"/>
    </row>
    <row r="572">
      <c r="A572" s="7"/>
      <c r="B572" s="4"/>
      <c r="C572" s="6"/>
      <c r="D572" s="5" t="str">
        <f>IF(B572="","",IFERROR(INDEX(Articles!$E:$E,MATCH(B572,Articles!$B:$B,0)),""))</f>
        <v/>
      </c>
      <c r="E572" s="9" t="str">
        <f>IF(OR(C572="",D572=""),"",C572*D572)</f>
        <v/>
      </c>
      <c r="F572" s="4"/>
      <c r="G572" s="4"/>
      <c r="H572" s="9" t="str">
        <f>IF(OR(B572="",C572=""),"",C572*IFERROR(INDEX(Articles!$D:$D,MATCH(B572,Articles!$B:$B,0)),0))</f>
        <v/>
      </c>
      <c r="I572" s="9" t="str">
        <f>IF(OR(E572="",H572=""),"",E572-H572)</f>
        <v/>
      </c>
      <c r="J572" s="4"/>
    </row>
    <row r="573">
      <c r="A573" s="7"/>
      <c r="B573" s="4"/>
      <c r="C573" s="6"/>
      <c r="D573" s="5" t="str">
        <f>IF(B573="","",IFERROR(INDEX(Articles!$E:$E,MATCH(B573,Articles!$B:$B,0)),""))</f>
        <v/>
      </c>
      <c r="E573" s="9" t="str">
        <f>IF(OR(C573="",D573=""),"",C573*D573)</f>
        <v/>
      </c>
      <c r="F573" s="4"/>
      <c r="G573" s="4"/>
      <c r="H573" s="9" t="str">
        <f>IF(OR(B573="",C573=""),"",C573*IFERROR(INDEX(Articles!$D:$D,MATCH(B573,Articles!$B:$B,0)),0))</f>
        <v/>
      </c>
      <c r="I573" s="9" t="str">
        <f>IF(OR(E573="",H573=""),"",E573-H573)</f>
        <v/>
      </c>
      <c r="J573" s="4"/>
    </row>
    <row r="574">
      <c r="A574" s="7"/>
      <c r="B574" s="4"/>
      <c r="C574" s="6"/>
      <c r="D574" s="5" t="str">
        <f>IF(B574="","",IFERROR(INDEX(Articles!$E:$E,MATCH(B574,Articles!$B:$B,0)),""))</f>
        <v/>
      </c>
      <c r="E574" s="9" t="str">
        <f>IF(OR(C574="",D574=""),"",C574*D574)</f>
        <v/>
      </c>
      <c r="F574" s="4"/>
      <c r="G574" s="4"/>
      <c r="H574" s="9" t="str">
        <f>IF(OR(B574="",C574=""),"",C574*IFERROR(INDEX(Articles!$D:$D,MATCH(B574,Articles!$B:$B,0)),0))</f>
        <v/>
      </c>
      <c r="I574" s="9" t="str">
        <f>IF(OR(E574="",H574=""),"",E574-H574)</f>
        <v/>
      </c>
      <c r="J574" s="4"/>
    </row>
    <row r="575">
      <c r="A575" s="7"/>
      <c r="B575" s="4"/>
      <c r="C575" s="6"/>
      <c r="D575" s="5" t="str">
        <f>IF(B575="","",IFERROR(INDEX(Articles!$E:$E,MATCH(B575,Articles!$B:$B,0)),""))</f>
        <v/>
      </c>
      <c r="E575" s="9" t="str">
        <f>IF(OR(C575="",D575=""),"",C575*D575)</f>
        <v/>
      </c>
      <c r="F575" s="4"/>
      <c r="G575" s="4"/>
      <c r="H575" s="9" t="str">
        <f>IF(OR(B575="",C575=""),"",C575*IFERROR(INDEX(Articles!$D:$D,MATCH(B575,Articles!$B:$B,0)),0))</f>
        <v/>
      </c>
      <c r="I575" s="9" t="str">
        <f>IF(OR(E575="",H575=""),"",E575-H575)</f>
        <v/>
      </c>
      <c r="J575" s="4"/>
    </row>
    <row r="576">
      <c r="A576" s="7"/>
      <c r="B576" s="4"/>
      <c r="C576" s="6"/>
      <c r="D576" s="5" t="str">
        <f>IF(B576="","",IFERROR(INDEX(Articles!$E:$E,MATCH(B576,Articles!$B:$B,0)),""))</f>
        <v/>
      </c>
      <c r="E576" s="9" t="str">
        <f>IF(OR(C576="",D576=""),"",C576*D576)</f>
        <v/>
      </c>
      <c r="F576" s="4"/>
      <c r="G576" s="4"/>
      <c r="H576" s="9" t="str">
        <f>IF(OR(B576="",C576=""),"",C576*IFERROR(INDEX(Articles!$D:$D,MATCH(B576,Articles!$B:$B,0)),0))</f>
        <v/>
      </c>
      <c r="I576" s="9" t="str">
        <f>IF(OR(E576="",H576=""),"",E576-H576)</f>
        <v/>
      </c>
      <c r="J576" s="4"/>
    </row>
    <row r="577">
      <c r="A577" s="7"/>
      <c r="B577" s="4"/>
      <c r="C577" s="6"/>
      <c r="D577" s="5" t="str">
        <f>IF(B577="","",IFERROR(INDEX(Articles!$E:$E,MATCH(B577,Articles!$B:$B,0)),""))</f>
        <v/>
      </c>
      <c r="E577" s="9" t="str">
        <f>IF(OR(C577="",D577=""),"",C577*D577)</f>
        <v/>
      </c>
      <c r="F577" s="4"/>
      <c r="G577" s="4"/>
      <c r="H577" s="9" t="str">
        <f>IF(OR(B577="",C577=""),"",C577*IFERROR(INDEX(Articles!$D:$D,MATCH(B577,Articles!$B:$B,0)),0))</f>
        <v/>
      </c>
      <c r="I577" s="9" t="str">
        <f>IF(OR(E577="",H577=""),"",E577-H577)</f>
        <v/>
      </c>
      <c r="J577" s="4"/>
    </row>
    <row r="578">
      <c r="A578" s="7"/>
      <c r="B578" s="4"/>
      <c r="C578" s="6"/>
      <c r="D578" s="5" t="str">
        <f>IF(B578="","",IFERROR(INDEX(Articles!$E:$E,MATCH(B578,Articles!$B:$B,0)),""))</f>
        <v/>
      </c>
      <c r="E578" s="9" t="str">
        <f>IF(OR(C578="",D578=""),"",C578*D578)</f>
        <v/>
      </c>
      <c r="F578" s="4"/>
      <c r="G578" s="4"/>
      <c r="H578" s="9" t="str">
        <f>IF(OR(B578="",C578=""),"",C578*IFERROR(INDEX(Articles!$D:$D,MATCH(B578,Articles!$B:$B,0)),0))</f>
        <v/>
      </c>
      <c r="I578" s="9" t="str">
        <f>IF(OR(E578="",H578=""),"",E578-H578)</f>
        <v/>
      </c>
      <c r="J578" s="4"/>
    </row>
    <row r="579">
      <c r="A579" s="7"/>
      <c r="B579" s="4"/>
      <c r="C579" s="6"/>
      <c r="D579" s="5" t="str">
        <f>IF(B579="","",IFERROR(INDEX(Articles!$E:$E,MATCH(B579,Articles!$B:$B,0)),""))</f>
        <v/>
      </c>
      <c r="E579" s="9" t="str">
        <f>IF(OR(C579="",D579=""),"",C579*D579)</f>
        <v/>
      </c>
      <c r="F579" s="4"/>
      <c r="G579" s="4"/>
      <c r="H579" s="9" t="str">
        <f>IF(OR(B579="",C579=""),"",C579*IFERROR(INDEX(Articles!$D:$D,MATCH(B579,Articles!$B:$B,0)),0))</f>
        <v/>
      </c>
      <c r="I579" s="9" t="str">
        <f>IF(OR(E579="",H579=""),"",E579-H579)</f>
        <v/>
      </c>
      <c r="J579" s="4"/>
    </row>
    <row r="580">
      <c r="A580" s="7"/>
      <c r="B580" s="4"/>
      <c r="C580" s="6"/>
      <c r="D580" s="5" t="str">
        <f>IF(B580="","",IFERROR(INDEX(Articles!$E:$E,MATCH(B580,Articles!$B:$B,0)),""))</f>
        <v/>
      </c>
      <c r="E580" s="9" t="str">
        <f>IF(OR(C580="",D580=""),"",C580*D580)</f>
        <v/>
      </c>
      <c r="F580" s="4"/>
      <c r="G580" s="4"/>
      <c r="H580" s="9" t="str">
        <f>IF(OR(B580="",C580=""),"",C580*IFERROR(INDEX(Articles!$D:$D,MATCH(B580,Articles!$B:$B,0)),0))</f>
        <v/>
      </c>
      <c r="I580" s="9" t="str">
        <f>IF(OR(E580="",H580=""),"",E580-H580)</f>
        <v/>
      </c>
      <c r="J580" s="4"/>
    </row>
    <row r="581">
      <c r="A581" s="7"/>
      <c r="B581" s="4"/>
      <c r="C581" s="6"/>
      <c r="D581" s="5" t="str">
        <f>IF(B581="","",IFERROR(INDEX(Articles!$E:$E,MATCH(B581,Articles!$B:$B,0)),""))</f>
        <v/>
      </c>
      <c r="E581" s="9" t="str">
        <f>IF(OR(C581="",D581=""),"",C581*D581)</f>
        <v/>
      </c>
      <c r="F581" s="4"/>
      <c r="G581" s="4"/>
      <c r="H581" s="9" t="str">
        <f>IF(OR(B581="",C581=""),"",C581*IFERROR(INDEX(Articles!$D:$D,MATCH(B581,Articles!$B:$B,0)),0))</f>
        <v/>
      </c>
      <c r="I581" s="9" t="str">
        <f>IF(OR(E581="",H581=""),"",E581-H581)</f>
        <v/>
      </c>
      <c r="J581" s="4"/>
    </row>
    <row r="582">
      <c r="A582" s="7"/>
      <c r="B582" s="4"/>
      <c r="C582" s="6"/>
      <c r="D582" s="5" t="str">
        <f>IF(B582="","",IFERROR(INDEX(Articles!$E:$E,MATCH(B582,Articles!$B:$B,0)),""))</f>
        <v/>
      </c>
      <c r="E582" s="9" t="str">
        <f>IF(OR(C582="",D582=""),"",C582*D582)</f>
        <v/>
      </c>
      <c r="F582" s="4"/>
      <c r="G582" s="4"/>
      <c r="H582" s="9" t="str">
        <f>IF(OR(B582="",C582=""),"",C582*IFERROR(INDEX(Articles!$D:$D,MATCH(B582,Articles!$B:$B,0)),0))</f>
        <v/>
      </c>
      <c r="I582" s="9" t="str">
        <f>IF(OR(E582="",H582=""),"",E582-H582)</f>
        <v/>
      </c>
      <c r="J582" s="4"/>
    </row>
    <row r="583">
      <c r="A583" s="7"/>
      <c r="B583" s="4"/>
      <c r="C583" s="6"/>
      <c r="D583" s="5" t="str">
        <f>IF(B583="","",IFERROR(INDEX(Articles!$E:$E,MATCH(B583,Articles!$B:$B,0)),""))</f>
        <v/>
      </c>
      <c r="E583" s="9" t="str">
        <f>IF(OR(C583="",D583=""),"",C583*D583)</f>
        <v/>
      </c>
      <c r="F583" s="4"/>
      <c r="G583" s="4"/>
      <c r="H583" s="9" t="str">
        <f>IF(OR(B583="",C583=""),"",C583*IFERROR(INDEX(Articles!$D:$D,MATCH(B583,Articles!$B:$B,0)),0))</f>
        <v/>
      </c>
      <c r="I583" s="9" t="str">
        <f>IF(OR(E583="",H583=""),"",E583-H583)</f>
        <v/>
      </c>
      <c r="J583" s="4"/>
    </row>
    <row r="584">
      <c r="A584" s="7"/>
      <c r="B584" s="4"/>
      <c r="C584" s="6"/>
      <c r="D584" s="5" t="str">
        <f>IF(B584="","",IFERROR(INDEX(Articles!$E:$E,MATCH(B584,Articles!$B:$B,0)),""))</f>
        <v/>
      </c>
      <c r="E584" s="9" t="str">
        <f>IF(OR(C584="",D584=""),"",C584*D584)</f>
        <v/>
      </c>
      <c r="F584" s="4"/>
      <c r="G584" s="4"/>
      <c r="H584" s="9" t="str">
        <f>IF(OR(B584="",C584=""),"",C584*IFERROR(INDEX(Articles!$D:$D,MATCH(B584,Articles!$B:$B,0)),0))</f>
        <v/>
      </c>
      <c r="I584" s="9" t="str">
        <f>IF(OR(E584="",H584=""),"",E584-H584)</f>
        <v/>
      </c>
      <c r="J584" s="4"/>
    </row>
    <row r="585">
      <c r="A585" s="7"/>
      <c r="B585" s="4"/>
      <c r="C585" s="6"/>
      <c r="D585" s="5" t="str">
        <f>IF(B585="","",IFERROR(INDEX(Articles!$E:$E,MATCH(B585,Articles!$B:$B,0)),""))</f>
        <v/>
      </c>
      <c r="E585" s="9" t="str">
        <f>IF(OR(C585="",D585=""),"",C585*D585)</f>
        <v/>
      </c>
      <c r="F585" s="4"/>
      <c r="G585" s="4"/>
      <c r="H585" s="9" t="str">
        <f>IF(OR(B585="",C585=""),"",C585*IFERROR(INDEX(Articles!$D:$D,MATCH(B585,Articles!$B:$B,0)),0))</f>
        <v/>
      </c>
      <c r="I585" s="9" t="str">
        <f>IF(OR(E585="",H585=""),"",E585-H585)</f>
        <v/>
      </c>
      <c r="J585" s="4"/>
    </row>
    <row r="586">
      <c r="A586" s="7"/>
      <c r="B586" s="4"/>
      <c r="C586" s="6"/>
      <c r="D586" s="5" t="str">
        <f>IF(B586="","",IFERROR(INDEX(Articles!$E:$E,MATCH(B586,Articles!$B:$B,0)),""))</f>
        <v/>
      </c>
      <c r="E586" s="9" t="str">
        <f>IF(OR(C586="",D586=""),"",C586*D586)</f>
        <v/>
      </c>
      <c r="F586" s="4"/>
      <c r="G586" s="4"/>
      <c r="H586" s="9" t="str">
        <f>IF(OR(B586="",C586=""),"",C586*IFERROR(INDEX(Articles!$D:$D,MATCH(B586,Articles!$B:$B,0)),0))</f>
        <v/>
      </c>
      <c r="I586" s="9" t="str">
        <f>IF(OR(E586="",H586=""),"",E586-H586)</f>
        <v/>
      </c>
      <c r="J586" s="4"/>
    </row>
    <row r="587">
      <c r="A587" s="7"/>
      <c r="B587" s="4"/>
      <c r="C587" s="6"/>
      <c r="D587" s="5" t="str">
        <f>IF(B587="","",IFERROR(INDEX(Articles!$E:$E,MATCH(B587,Articles!$B:$B,0)),""))</f>
        <v/>
      </c>
      <c r="E587" s="9" t="str">
        <f>IF(OR(C587="",D587=""),"",C587*D587)</f>
        <v/>
      </c>
      <c r="F587" s="4"/>
      <c r="G587" s="4"/>
      <c r="H587" s="9" t="str">
        <f>IF(OR(B587="",C587=""),"",C587*IFERROR(INDEX(Articles!$D:$D,MATCH(B587,Articles!$B:$B,0)),0))</f>
        <v/>
      </c>
      <c r="I587" s="9" t="str">
        <f>IF(OR(E587="",H587=""),"",E587-H587)</f>
        <v/>
      </c>
      <c r="J587" s="4"/>
    </row>
    <row r="588">
      <c r="A588" s="7"/>
      <c r="B588" s="4"/>
      <c r="C588" s="6"/>
      <c r="D588" s="5" t="str">
        <f>IF(B588="","",IFERROR(INDEX(Articles!$E:$E,MATCH(B588,Articles!$B:$B,0)),""))</f>
        <v/>
      </c>
      <c r="E588" s="9" t="str">
        <f>IF(OR(C588="",D588=""),"",C588*D588)</f>
        <v/>
      </c>
      <c r="F588" s="4"/>
      <c r="G588" s="4"/>
      <c r="H588" s="9" t="str">
        <f>IF(OR(B588="",C588=""),"",C588*IFERROR(INDEX(Articles!$D:$D,MATCH(B588,Articles!$B:$B,0)),0))</f>
        <v/>
      </c>
      <c r="I588" s="9" t="str">
        <f>IF(OR(E588="",H588=""),"",E588-H588)</f>
        <v/>
      </c>
      <c r="J588" s="4"/>
    </row>
    <row r="589">
      <c r="A589" s="7"/>
      <c r="B589" s="4"/>
      <c r="C589" s="6"/>
      <c r="D589" s="5" t="str">
        <f>IF(B589="","",IFERROR(INDEX(Articles!$E:$E,MATCH(B589,Articles!$B:$B,0)),""))</f>
        <v/>
      </c>
      <c r="E589" s="9" t="str">
        <f>IF(OR(C589="",D589=""),"",C589*D589)</f>
        <v/>
      </c>
      <c r="F589" s="4"/>
      <c r="G589" s="4"/>
      <c r="H589" s="9" t="str">
        <f>IF(OR(B589="",C589=""),"",C589*IFERROR(INDEX(Articles!$D:$D,MATCH(B589,Articles!$B:$B,0)),0))</f>
        <v/>
      </c>
      <c r="I589" s="9" t="str">
        <f>IF(OR(E589="",H589=""),"",E589-H589)</f>
        <v/>
      </c>
      <c r="J589" s="4"/>
    </row>
    <row r="590">
      <c r="A590" s="7"/>
      <c r="B590" s="4"/>
      <c r="C590" s="6"/>
      <c r="D590" s="5" t="str">
        <f>IF(B590="","",IFERROR(INDEX(Articles!$E:$E,MATCH(B590,Articles!$B:$B,0)),""))</f>
        <v/>
      </c>
      <c r="E590" s="9" t="str">
        <f>IF(OR(C590="",D590=""),"",C590*D590)</f>
        <v/>
      </c>
      <c r="F590" s="4"/>
      <c r="G590" s="4"/>
      <c r="H590" s="9" t="str">
        <f>IF(OR(B590="",C590=""),"",C590*IFERROR(INDEX(Articles!$D:$D,MATCH(B590,Articles!$B:$B,0)),0))</f>
        <v/>
      </c>
      <c r="I590" s="9" t="str">
        <f>IF(OR(E590="",H590=""),"",E590-H590)</f>
        <v/>
      </c>
      <c r="J590" s="4"/>
    </row>
    <row r="591">
      <c r="A591" s="7"/>
      <c r="B591" s="4"/>
      <c r="C591" s="6"/>
      <c r="D591" s="5" t="str">
        <f>IF(B591="","",IFERROR(INDEX(Articles!$E:$E,MATCH(B591,Articles!$B:$B,0)),""))</f>
        <v/>
      </c>
      <c r="E591" s="9" t="str">
        <f>IF(OR(C591="",D591=""),"",C591*D591)</f>
        <v/>
      </c>
      <c r="F591" s="4"/>
      <c r="G591" s="4"/>
      <c r="H591" s="9" t="str">
        <f>IF(OR(B591="",C591=""),"",C591*IFERROR(INDEX(Articles!$D:$D,MATCH(B591,Articles!$B:$B,0)),0))</f>
        <v/>
      </c>
      <c r="I591" s="9" t="str">
        <f>IF(OR(E591="",H591=""),"",E591-H591)</f>
        <v/>
      </c>
      <c r="J591" s="4"/>
    </row>
    <row r="592">
      <c r="A592" s="7"/>
      <c r="B592" s="4"/>
      <c r="C592" s="6"/>
      <c r="D592" s="5" t="str">
        <f>IF(B592="","",IFERROR(INDEX(Articles!$E:$E,MATCH(B592,Articles!$B:$B,0)),""))</f>
        <v/>
      </c>
      <c r="E592" s="9" t="str">
        <f>IF(OR(C592="",D592=""),"",C592*D592)</f>
        <v/>
      </c>
      <c r="F592" s="4"/>
      <c r="G592" s="4"/>
      <c r="H592" s="9" t="str">
        <f>IF(OR(B592="",C592=""),"",C592*IFERROR(INDEX(Articles!$D:$D,MATCH(B592,Articles!$B:$B,0)),0))</f>
        <v/>
      </c>
      <c r="I592" s="9" t="str">
        <f>IF(OR(E592="",H592=""),"",E592-H592)</f>
        <v/>
      </c>
      <c r="J592" s="4"/>
    </row>
    <row r="593">
      <c r="A593" s="7"/>
      <c r="B593" s="4"/>
      <c r="C593" s="6"/>
      <c r="D593" s="5" t="str">
        <f>IF(B593="","",IFERROR(INDEX(Articles!$E:$E,MATCH(B593,Articles!$B:$B,0)),""))</f>
        <v/>
      </c>
      <c r="E593" s="9" t="str">
        <f>IF(OR(C593="",D593=""),"",C593*D593)</f>
        <v/>
      </c>
      <c r="F593" s="4"/>
      <c r="G593" s="4"/>
      <c r="H593" s="9" t="str">
        <f>IF(OR(B593="",C593=""),"",C593*IFERROR(INDEX(Articles!$D:$D,MATCH(B593,Articles!$B:$B,0)),0))</f>
        <v/>
      </c>
      <c r="I593" s="9" t="str">
        <f>IF(OR(E593="",H593=""),"",E593-H593)</f>
        <v/>
      </c>
      <c r="J593" s="4"/>
    </row>
    <row r="594">
      <c r="A594" s="7"/>
      <c r="B594" s="4"/>
      <c r="C594" s="6"/>
      <c r="D594" s="5" t="str">
        <f>IF(B594="","",IFERROR(INDEX(Articles!$E:$E,MATCH(B594,Articles!$B:$B,0)),""))</f>
        <v/>
      </c>
      <c r="E594" s="9" t="str">
        <f>IF(OR(C594="",D594=""),"",C594*D594)</f>
        <v/>
      </c>
      <c r="F594" s="4"/>
      <c r="G594" s="4"/>
      <c r="H594" s="9" t="str">
        <f>IF(OR(B594="",C594=""),"",C594*IFERROR(INDEX(Articles!$D:$D,MATCH(B594,Articles!$B:$B,0)),0))</f>
        <v/>
      </c>
      <c r="I594" s="9" t="str">
        <f>IF(OR(E594="",H594=""),"",E594-H594)</f>
        <v/>
      </c>
      <c r="J594" s="4"/>
    </row>
    <row r="595">
      <c r="A595" s="7"/>
      <c r="B595" s="4"/>
      <c r="C595" s="6"/>
      <c r="D595" s="5" t="str">
        <f>IF(B595="","",IFERROR(INDEX(Articles!$E:$E,MATCH(B595,Articles!$B:$B,0)),""))</f>
        <v/>
      </c>
      <c r="E595" s="9" t="str">
        <f>IF(OR(C595="",D595=""),"",C595*D595)</f>
        <v/>
      </c>
      <c r="F595" s="4"/>
      <c r="G595" s="4"/>
      <c r="H595" s="9" t="str">
        <f>IF(OR(B595="",C595=""),"",C595*IFERROR(INDEX(Articles!$D:$D,MATCH(B595,Articles!$B:$B,0)),0))</f>
        <v/>
      </c>
      <c r="I595" s="9" t="str">
        <f>IF(OR(E595="",H595=""),"",E595-H595)</f>
        <v/>
      </c>
      <c r="J595" s="4"/>
    </row>
    <row r="596">
      <c r="A596" s="7"/>
      <c r="B596" s="4"/>
      <c r="C596" s="6"/>
      <c r="D596" s="5" t="str">
        <f>IF(B596="","",IFERROR(INDEX(Articles!$E:$E,MATCH(B596,Articles!$B:$B,0)),""))</f>
        <v/>
      </c>
      <c r="E596" s="9" t="str">
        <f>IF(OR(C596="",D596=""),"",C596*D596)</f>
        <v/>
      </c>
      <c r="F596" s="4"/>
      <c r="G596" s="4"/>
      <c r="H596" s="9" t="str">
        <f>IF(OR(B596="",C596=""),"",C596*IFERROR(INDEX(Articles!$D:$D,MATCH(B596,Articles!$B:$B,0)),0))</f>
        <v/>
      </c>
      <c r="I596" s="9" t="str">
        <f>IF(OR(E596="",H596=""),"",E596-H596)</f>
        <v/>
      </c>
      <c r="J596" s="4"/>
    </row>
    <row r="597">
      <c r="A597" s="7"/>
      <c r="B597" s="4"/>
      <c r="C597" s="6"/>
      <c r="D597" s="5" t="str">
        <f>IF(B597="","",IFERROR(INDEX(Articles!$E:$E,MATCH(B597,Articles!$B:$B,0)),""))</f>
        <v/>
      </c>
      <c r="E597" s="9" t="str">
        <f>IF(OR(C597="",D597=""),"",C597*D597)</f>
        <v/>
      </c>
      <c r="F597" s="4"/>
      <c r="G597" s="4"/>
      <c r="H597" s="9" t="str">
        <f>IF(OR(B597="",C597=""),"",C597*IFERROR(INDEX(Articles!$D:$D,MATCH(B597,Articles!$B:$B,0)),0))</f>
        <v/>
      </c>
      <c r="I597" s="9" t="str">
        <f>IF(OR(E597="",H597=""),"",E597-H597)</f>
        <v/>
      </c>
      <c r="J597" s="4"/>
    </row>
    <row r="598">
      <c r="A598" s="7"/>
      <c r="B598" s="4"/>
      <c r="C598" s="6"/>
      <c r="D598" s="5" t="str">
        <f>IF(B598="","",IFERROR(INDEX(Articles!$E:$E,MATCH(B598,Articles!$B:$B,0)),""))</f>
        <v/>
      </c>
      <c r="E598" s="9" t="str">
        <f>IF(OR(C598="",D598=""),"",C598*D598)</f>
        <v/>
      </c>
      <c r="F598" s="4"/>
      <c r="G598" s="4"/>
      <c r="H598" s="9" t="str">
        <f>IF(OR(B598="",C598=""),"",C598*IFERROR(INDEX(Articles!$D:$D,MATCH(B598,Articles!$B:$B,0)),0))</f>
        <v/>
      </c>
      <c r="I598" s="9" t="str">
        <f>IF(OR(E598="",H598=""),"",E598-H598)</f>
        <v/>
      </c>
      <c r="J598" s="4"/>
    </row>
    <row r="599">
      <c r="A599" s="7"/>
      <c r="B599" s="4"/>
      <c r="C599" s="6"/>
      <c r="D599" s="5" t="str">
        <f>IF(B599="","",IFERROR(INDEX(Articles!$E:$E,MATCH(B599,Articles!$B:$B,0)),""))</f>
        <v/>
      </c>
      <c r="E599" s="9" t="str">
        <f>IF(OR(C599="",D599=""),"",C599*D599)</f>
        <v/>
      </c>
      <c r="F599" s="4"/>
      <c r="G599" s="4"/>
      <c r="H599" s="9" t="str">
        <f>IF(OR(B599="",C599=""),"",C599*IFERROR(INDEX(Articles!$D:$D,MATCH(B599,Articles!$B:$B,0)),0))</f>
        <v/>
      </c>
      <c r="I599" s="9" t="str">
        <f>IF(OR(E599="",H599=""),"",E599-H599)</f>
        <v/>
      </c>
      <c r="J599" s="4"/>
    </row>
    <row r="600">
      <c r="A600" s="7"/>
      <c r="B600" s="4"/>
      <c r="C600" s="6"/>
      <c r="D600" s="5" t="str">
        <f>IF(B600="","",IFERROR(INDEX(Articles!$E:$E,MATCH(B600,Articles!$B:$B,0)),""))</f>
        <v/>
      </c>
      <c r="E600" s="9" t="str">
        <f>IF(OR(C600="",D600=""),"",C600*D600)</f>
        <v/>
      </c>
      <c r="F600" s="4"/>
      <c r="G600" s="4"/>
      <c r="H600" s="9" t="str">
        <f>IF(OR(B600="",C600=""),"",C600*IFERROR(INDEX(Articles!$D:$D,MATCH(B600,Articles!$B:$B,0)),0))</f>
        <v/>
      </c>
      <c r="I600" s="9" t="str">
        <f>IF(OR(E600="",H600=""),"",E600-H600)</f>
        <v/>
      </c>
      <c r="J600" s="4"/>
    </row>
    <row r="601">
      <c r="A601" s="7"/>
      <c r="B601" s="4"/>
      <c r="C601" s="6"/>
      <c r="D601" s="5" t="str">
        <f>IF(B601="","",IFERROR(INDEX(Articles!$E:$E,MATCH(B601,Articles!$B:$B,0)),""))</f>
        <v/>
      </c>
      <c r="E601" s="9" t="str">
        <f>IF(OR(C601="",D601=""),"",C601*D601)</f>
        <v/>
      </c>
      <c r="F601" s="4"/>
      <c r="G601" s="4"/>
      <c r="H601" s="9" t="str">
        <f>IF(OR(B601="",C601=""),"",C601*IFERROR(INDEX(Articles!$D:$D,MATCH(B601,Articles!$B:$B,0)),0))</f>
        <v/>
      </c>
      <c r="I601" s="9" t="str">
        <f>IF(OR(E601="",H601=""),"",E601-H601)</f>
        <v/>
      </c>
      <c r="J601" s="4"/>
    </row>
    <row r="602">
      <c r="A602" s="7"/>
      <c r="B602" s="4"/>
      <c r="C602" s="6"/>
      <c r="D602" s="5" t="str">
        <f>IF(B602="","",IFERROR(INDEX(Articles!$E:$E,MATCH(B602,Articles!$B:$B,0)),""))</f>
        <v/>
      </c>
      <c r="E602" s="9" t="str">
        <f>IF(OR(C602="",D602=""),"",C602*D602)</f>
        <v/>
      </c>
      <c r="F602" s="4"/>
      <c r="G602" s="4"/>
      <c r="H602" s="9" t="str">
        <f>IF(OR(B602="",C602=""),"",C602*IFERROR(INDEX(Articles!$D:$D,MATCH(B602,Articles!$B:$B,0)),0))</f>
        <v/>
      </c>
      <c r="I602" s="9" t="str">
        <f>IF(OR(E602="",H602=""),"",E602-H602)</f>
        <v/>
      </c>
      <c r="J602" s="4"/>
    </row>
    <row r="603">
      <c r="A603" s="7"/>
      <c r="B603" s="4"/>
      <c r="C603" s="6"/>
      <c r="D603" s="5" t="str">
        <f>IF(B603="","",IFERROR(INDEX(Articles!$E:$E,MATCH(B603,Articles!$B:$B,0)),""))</f>
        <v/>
      </c>
      <c r="E603" s="9" t="str">
        <f>IF(OR(C603="",D603=""),"",C603*D603)</f>
        <v/>
      </c>
      <c r="F603" s="4"/>
      <c r="G603" s="4"/>
      <c r="H603" s="9" t="str">
        <f>IF(OR(B603="",C603=""),"",C603*IFERROR(INDEX(Articles!$D:$D,MATCH(B603,Articles!$B:$B,0)),0))</f>
        <v/>
      </c>
      <c r="I603" s="9" t="str">
        <f>IF(OR(E603="",H603=""),"",E603-H603)</f>
        <v/>
      </c>
      <c r="J603" s="4"/>
    </row>
    <row r="604">
      <c r="A604" s="7"/>
      <c r="B604" s="4"/>
      <c r="C604" s="6"/>
      <c r="D604" s="5" t="str">
        <f>IF(B604="","",IFERROR(INDEX(Articles!$E:$E,MATCH(B604,Articles!$B:$B,0)),""))</f>
        <v/>
      </c>
      <c r="E604" s="9" t="str">
        <f>IF(OR(C604="",D604=""),"",C604*D604)</f>
        <v/>
      </c>
      <c r="F604" s="4"/>
      <c r="G604" s="4"/>
      <c r="H604" s="9" t="str">
        <f>IF(OR(B604="",C604=""),"",C604*IFERROR(INDEX(Articles!$D:$D,MATCH(B604,Articles!$B:$B,0)),0))</f>
        <v/>
      </c>
      <c r="I604" s="9" t="str">
        <f>IF(OR(E604="",H604=""),"",E604-H604)</f>
        <v/>
      </c>
      <c r="J604" s="4"/>
    </row>
    <row r="605">
      <c r="A605" s="7"/>
      <c r="B605" s="4"/>
      <c r="C605" s="6"/>
      <c r="D605" s="5" t="str">
        <f>IF(B605="","",IFERROR(INDEX(Articles!$E:$E,MATCH(B605,Articles!$B:$B,0)),""))</f>
        <v/>
      </c>
      <c r="E605" s="9" t="str">
        <f>IF(OR(C605="",D605=""),"",C605*D605)</f>
        <v/>
      </c>
      <c r="F605" s="4"/>
      <c r="G605" s="4"/>
      <c r="H605" s="9" t="str">
        <f>IF(OR(B605="",C605=""),"",C605*IFERROR(INDEX(Articles!$D:$D,MATCH(B605,Articles!$B:$B,0)),0))</f>
        <v/>
      </c>
      <c r="I605" s="9" t="str">
        <f>IF(OR(E605="",H605=""),"",E605-H605)</f>
        <v/>
      </c>
      <c r="J605" s="4"/>
    </row>
    <row r="606">
      <c r="A606" s="7"/>
      <c r="B606" s="4"/>
      <c r="C606" s="6"/>
      <c r="D606" s="5" t="str">
        <f>IF(B606="","",IFERROR(INDEX(Articles!$E:$E,MATCH(B606,Articles!$B:$B,0)),""))</f>
        <v/>
      </c>
      <c r="E606" s="9" t="str">
        <f>IF(OR(C606="",D606=""),"",C606*D606)</f>
        <v/>
      </c>
      <c r="F606" s="4"/>
      <c r="G606" s="4"/>
      <c r="H606" s="9" t="str">
        <f>IF(OR(B606="",C606=""),"",C606*IFERROR(INDEX(Articles!$D:$D,MATCH(B606,Articles!$B:$B,0)),0))</f>
        <v/>
      </c>
      <c r="I606" s="9" t="str">
        <f>IF(OR(E606="",H606=""),"",E606-H606)</f>
        <v/>
      </c>
      <c r="J606" s="4"/>
    </row>
    <row r="607">
      <c r="A607" s="7"/>
      <c r="B607" s="4"/>
      <c r="C607" s="6"/>
      <c r="D607" s="5" t="str">
        <f>IF(B607="","",IFERROR(INDEX(Articles!$E:$E,MATCH(B607,Articles!$B:$B,0)),""))</f>
        <v/>
      </c>
      <c r="E607" s="9" t="str">
        <f>IF(OR(C607="",D607=""),"",C607*D607)</f>
        <v/>
      </c>
      <c r="F607" s="4"/>
      <c r="G607" s="4"/>
      <c r="H607" s="9" t="str">
        <f>IF(OR(B607="",C607=""),"",C607*IFERROR(INDEX(Articles!$D:$D,MATCH(B607,Articles!$B:$B,0)),0))</f>
        <v/>
      </c>
      <c r="I607" s="9" t="str">
        <f>IF(OR(E607="",H607=""),"",E607-H607)</f>
        <v/>
      </c>
      <c r="J607" s="4"/>
    </row>
    <row r="608">
      <c r="A608" s="7"/>
      <c r="B608" s="4"/>
      <c r="C608" s="6"/>
      <c r="D608" s="5" t="str">
        <f>IF(B608="","",IFERROR(INDEX(Articles!$E:$E,MATCH(B608,Articles!$B:$B,0)),""))</f>
        <v/>
      </c>
      <c r="E608" s="9" t="str">
        <f>IF(OR(C608="",D608=""),"",C608*D608)</f>
        <v/>
      </c>
      <c r="F608" s="4"/>
      <c r="G608" s="4"/>
      <c r="H608" s="9" t="str">
        <f>IF(OR(B608="",C608=""),"",C608*IFERROR(INDEX(Articles!$D:$D,MATCH(B608,Articles!$B:$B,0)),0))</f>
        <v/>
      </c>
      <c r="I608" s="9" t="str">
        <f>IF(OR(E608="",H608=""),"",E608-H608)</f>
        <v/>
      </c>
      <c r="J608" s="4"/>
    </row>
    <row r="609">
      <c r="A609" s="7"/>
      <c r="B609" s="4"/>
      <c r="C609" s="6"/>
      <c r="D609" s="5" t="str">
        <f>IF(B609="","",IFERROR(INDEX(Articles!$E:$E,MATCH(B609,Articles!$B:$B,0)),""))</f>
        <v/>
      </c>
      <c r="E609" s="9" t="str">
        <f>IF(OR(C609="",D609=""),"",C609*D609)</f>
        <v/>
      </c>
      <c r="F609" s="4"/>
      <c r="G609" s="4"/>
      <c r="H609" s="9" t="str">
        <f>IF(OR(B609="",C609=""),"",C609*IFERROR(INDEX(Articles!$D:$D,MATCH(B609,Articles!$B:$B,0)),0))</f>
        <v/>
      </c>
      <c r="I609" s="9" t="str">
        <f>IF(OR(E609="",H609=""),"",E609-H609)</f>
        <v/>
      </c>
      <c r="J609" s="4"/>
    </row>
    <row r="610">
      <c r="A610" s="7"/>
      <c r="B610" s="4"/>
      <c r="C610" s="6"/>
      <c r="D610" s="5" t="str">
        <f>IF(B610="","",IFERROR(INDEX(Articles!$E:$E,MATCH(B610,Articles!$B:$B,0)),""))</f>
        <v/>
      </c>
      <c r="E610" s="9" t="str">
        <f>IF(OR(C610="",D610=""),"",C610*D610)</f>
        <v/>
      </c>
      <c r="F610" s="4"/>
      <c r="G610" s="4"/>
      <c r="H610" s="9" t="str">
        <f>IF(OR(B610="",C610=""),"",C610*IFERROR(INDEX(Articles!$D:$D,MATCH(B610,Articles!$B:$B,0)),0))</f>
        <v/>
      </c>
      <c r="I610" s="9" t="str">
        <f>IF(OR(E610="",H610=""),"",E610-H610)</f>
        <v/>
      </c>
      <c r="J610" s="4"/>
    </row>
    <row r="611">
      <c r="A611" s="7"/>
      <c r="B611" s="4"/>
      <c r="C611" s="6"/>
      <c r="D611" s="5" t="str">
        <f>IF(B611="","",IFERROR(INDEX(Articles!$E:$E,MATCH(B611,Articles!$B:$B,0)),""))</f>
        <v/>
      </c>
      <c r="E611" s="9" t="str">
        <f>IF(OR(C611="",D611=""),"",C611*D611)</f>
        <v/>
      </c>
      <c r="F611" s="4"/>
      <c r="G611" s="4"/>
      <c r="H611" s="9" t="str">
        <f>IF(OR(B611="",C611=""),"",C611*IFERROR(INDEX(Articles!$D:$D,MATCH(B611,Articles!$B:$B,0)),0))</f>
        <v/>
      </c>
      <c r="I611" s="9" t="str">
        <f>IF(OR(E611="",H611=""),"",E611-H611)</f>
        <v/>
      </c>
      <c r="J611" s="4"/>
    </row>
    <row r="612">
      <c r="A612" s="7"/>
      <c r="B612" s="4"/>
      <c r="C612" s="6"/>
      <c r="D612" s="5" t="str">
        <f>IF(B612="","",IFERROR(INDEX(Articles!$E:$E,MATCH(B612,Articles!$B:$B,0)),""))</f>
        <v/>
      </c>
      <c r="E612" s="9" t="str">
        <f>IF(OR(C612="",D612=""),"",C612*D612)</f>
        <v/>
      </c>
      <c r="F612" s="4"/>
      <c r="G612" s="4"/>
      <c r="H612" s="9" t="str">
        <f>IF(OR(B612="",C612=""),"",C612*IFERROR(INDEX(Articles!$D:$D,MATCH(B612,Articles!$B:$B,0)),0))</f>
        <v/>
      </c>
      <c r="I612" s="9" t="str">
        <f>IF(OR(E612="",H612=""),"",E612-H612)</f>
        <v/>
      </c>
      <c r="J612" s="4"/>
    </row>
    <row r="613">
      <c r="A613" s="7"/>
      <c r="B613" s="4"/>
      <c r="C613" s="6"/>
      <c r="D613" s="5" t="str">
        <f>IF(B613="","",IFERROR(INDEX(Articles!$E:$E,MATCH(B613,Articles!$B:$B,0)),""))</f>
        <v/>
      </c>
      <c r="E613" s="9" t="str">
        <f>IF(OR(C613="",D613=""),"",C613*D613)</f>
        <v/>
      </c>
      <c r="F613" s="4"/>
      <c r="G613" s="4"/>
      <c r="H613" s="9" t="str">
        <f>IF(OR(B613="",C613=""),"",C613*IFERROR(INDEX(Articles!$D:$D,MATCH(B613,Articles!$B:$B,0)),0))</f>
        <v/>
      </c>
      <c r="I613" s="9" t="str">
        <f>IF(OR(E613="",H613=""),"",E613-H613)</f>
        <v/>
      </c>
      <c r="J613" s="4"/>
    </row>
    <row r="614">
      <c r="A614" s="7"/>
      <c r="B614" s="4"/>
      <c r="C614" s="6"/>
      <c r="D614" s="5" t="str">
        <f>IF(B614="","",IFERROR(INDEX(Articles!$E:$E,MATCH(B614,Articles!$B:$B,0)),""))</f>
        <v/>
      </c>
      <c r="E614" s="9" t="str">
        <f>IF(OR(C614="",D614=""),"",C614*D614)</f>
        <v/>
      </c>
      <c r="F614" s="4"/>
      <c r="G614" s="4"/>
      <c r="H614" s="9" t="str">
        <f>IF(OR(B614="",C614=""),"",C614*IFERROR(INDEX(Articles!$D:$D,MATCH(B614,Articles!$B:$B,0)),0))</f>
        <v/>
      </c>
      <c r="I614" s="9" t="str">
        <f>IF(OR(E614="",H614=""),"",E614-H614)</f>
        <v/>
      </c>
      <c r="J614" s="4"/>
    </row>
    <row r="615">
      <c r="A615" s="7"/>
      <c r="B615" s="4"/>
      <c r="C615" s="6"/>
      <c r="D615" s="5" t="str">
        <f>IF(B615="","",IFERROR(INDEX(Articles!$E:$E,MATCH(B615,Articles!$B:$B,0)),""))</f>
        <v/>
      </c>
      <c r="E615" s="9" t="str">
        <f>IF(OR(C615="",D615=""),"",C615*D615)</f>
        <v/>
      </c>
      <c r="F615" s="4"/>
      <c r="G615" s="4"/>
      <c r="H615" s="9" t="str">
        <f>IF(OR(B615="",C615=""),"",C615*IFERROR(INDEX(Articles!$D:$D,MATCH(B615,Articles!$B:$B,0)),0))</f>
        <v/>
      </c>
      <c r="I615" s="9" t="str">
        <f>IF(OR(E615="",H615=""),"",E615-H615)</f>
        <v/>
      </c>
      <c r="J615" s="4"/>
    </row>
    <row r="616">
      <c r="A616" s="7"/>
      <c r="B616" s="4"/>
      <c r="C616" s="6"/>
      <c r="D616" s="5" t="str">
        <f>IF(B616="","",IFERROR(INDEX(Articles!$E:$E,MATCH(B616,Articles!$B:$B,0)),""))</f>
        <v/>
      </c>
      <c r="E616" s="9" t="str">
        <f>IF(OR(C616="",D616=""),"",C616*D616)</f>
        <v/>
      </c>
      <c r="F616" s="4"/>
      <c r="G616" s="4"/>
      <c r="H616" s="9" t="str">
        <f>IF(OR(B616="",C616=""),"",C616*IFERROR(INDEX(Articles!$D:$D,MATCH(B616,Articles!$B:$B,0)),0))</f>
        <v/>
      </c>
      <c r="I616" s="9" t="str">
        <f>IF(OR(E616="",H616=""),"",E616-H616)</f>
        <v/>
      </c>
      <c r="J616" s="4"/>
    </row>
    <row r="617">
      <c r="A617" s="7"/>
      <c r="B617" s="4"/>
      <c r="C617" s="6"/>
      <c r="D617" s="5" t="str">
        <f>IF(B617="","",IFERROR(INDEX(Articles!$E:$E,MATCH(B617,Articles!$B:$B,0)),""))</f>
        <v/>
      </c>
      <c r="E617" s="9" t="str">
        <f>IF(OR(C617="",D617=""),"",C617*D617)</f>
        <v/>
      </c>
      <c r="F617" s="4"/>
      <c r="G617" s="4"/>
      <c r="H617" s="9" t="str">
        <f>IF(OR(B617="",C617=""),"",C617*IFERROR(INDEX(Articles!$D:$D,MATCH(B617,Articles!$B:$B,0)),0))</f>
        <v/>
      </c>
      <c r="I617" s="9" t="str">
        <f>IF(OR(E617="",H617=""),"",E617-H617)</f>
        <v/>
      </c>
      <c r="J617" s="4"/>
    </row>
    <row r="618">
      <c r="A618" s="7"/>
      <c r="B618" s="4"/>
      <c r="C618" s="6"/>
      <c r="D618" s="5" t="str">
        <f>IF(B618="","",IFERROR(INDEX(Articles!$E:$E,MATCH(B618,Articles!$B:$B,0)),""))</f>
        <v/>
      </c>
      <c r="E618" s="9" t="str">
        <f>IF(OR(C618="",D618=""),"",C618*D618)</f>
        <v/>
      </c>
      <c r="F618" s="4"/>
      <c r="G618" s="4"/>
      <c r="H618" s="9" t="str">
        <f>IF(OR(B618="",C618=""),"",C618*IFERROR(INDEX(Articles!$D:$D,MATCH(B618,Articles!$B:$B,0)),0))</f>
        <v/>
      </c>
      <c r="I618" s="9" t="str">
        <f>IF(OR(E618="",H618=""),"",E618-H618)</f>
        <v/>
      </c>
      <c r="J618" s="4"/>
    </row>
    <row r="619">
      <c r="A619" s="7"/>
      <c r="B619" s="4"/>
      <c r="C619" s="6"/>
      <c r="D619" s="5" t="str">
        <f>IF(B619="","",IFERROR(INDEX(Articles!$E:$E,MATCH(B619,Articles!$B:$B,0)),""))</f>
        <v/>
      </c>
      <c r="E619" s="9" t="str">
        <f>IF(OR(C619="",D619=""),"",C619*D619)</f>
        <v/>
      </c>
      <c r="F619" s="4"/>
      <c r="G619" s="4"/>
      <c r="H619" s="9" t="str">
        <f>IF(OR(B619="",C619=""),"",C619*IFERROR(INDEX(Articles!$D:$D,MATCH(B619,Articles!$B:$B,0)),0))</f>
        <v/>
      </c>
      <c r="I619" s="9" t="str">
        <f>IF(OR(E619="",H619=""),"",E619-H619)</f>
        <v/>
      </c>
      <c r="J619" s="4"/>
    </row>
    <row r="620">
      <c r="A620" s="7"/>
      <c r="B620" s="4"/>
      <c r="C620" s="6"/>
      <c r="D620" s="5" t="str">
        <f>IF(B620="","",IFERROR(INDEX(Articles!$E:$E,MATCH(B620,Articles!$B:$B,0)),""))</f>
        <v/>
      </c>
      <c r="E620" s="9" t="str">
        <f>IF(OR(C620="",D620=""),"",C620*D620)</f>
        <v/>
      </c>
      <c r="F620" s="4"/>
      <c r="G620" s="4"/>
      <c r="H620" s="9" t="str">
        <f>IF(OR(B620="",C620=""),"",C620*IFERROR(INDEX(Articles!$D:$D,MATCH(B620,Articles!$B:$B,0)),0))</f>
        <v/>
      </c>
      <c r="I620" s="9" t="str">
        <f>IF(OR(E620="",H620=""),"",E620-H620)</f>
        <v/>
      </c>
      <c r="J620" s="4"/>
    </row>
    <row r="621">
      <c r="A621" s="7"/>
      <c r="B621" s="4"/>
      <c r="C621" s="6"/>
      <c r="D621" s="5" t="str">
        <f>IF(B621="","",IFERROR(INDEX(Articles!$E:$E,MATCH(B621,Articles!$B:$B,0)),""))</f>
        <v/>
      </c>
      <c r="E621" s="9" t="str">
        <f>IF(OR(C621="",D621=""),"",C621*D621)</f>
        <v/>
      </c>
      <c r="F621" s="4"/>
      <c r="G621" s="4"/>
      <c r="H621" s="9" t="str">
        <f>IF(OR(B621="",C621=""),"",C621*IFERROR(INDEX(Articles!$D:$D,MATCH(B621,Articles!$B:$B,0)),0))</f>
        <v/>
      </c>
      <c r="I621" s="9" t="str">
        <f>IF(OR(E621="",H621=""),"",E621-H621)</f>
        <v/>
      </c>
      <c r="J621" s="4"/>
    </row>
    <row r="622">
      <c r="A622" s="7"/>
      <c r="B622" s="4"/>
      <c r="C622" s="6"/>
      <c r="D622" s="5" t="str">
        <f>IF(B622="","",IFERROR(INDEX(Articles!$E:$E,MATCH(B622,Articles!$B:$B,0)),""))</f>
        <v/>
      </c>
      <c r="E622" s="9" t="str">
        <f>IF(OR(C622="",D622=""),"",C622*D622)</f>
        <v/>
      </c>
      <c r="F622" s="4"/>
      <c r="G622" s="4"/>
      <c r="H622" s="9" t="str">
        <f>IF(OR(B622="",C622=""),"",C622*IFERROR(INDEX(Articles!$D:$D,MATCH(B622,Articles!$B:$B,0)),0))</f>
        <v/>
      </c>
      <c r="I622" s="9" t="str">
        <f>IF(OR(E622="",H622=""),"",E622-H622)</f>
        <v/>
      </c>
      <c r="J622" s="4"/>
    </row>
    <row r="623">
      <c r="A623" s="7"/>
      <c r="B623" s="4"/>
      <c r="C623" s="6"/>
      <c r="D623" s="5" t="str">
        <f>IF(B623="","",IFERROR(INDEX(Articles!$E:$E,MATCH(B623,Articles!$B:$B,0)),""))</f>
        <v/>
      </c>
      <c r="E623" s="9" t="str">
        <f>IF(OR(C623="",D623=""),"",C623*D623)</f>
        <v/>
      </c>
      <c r="F623" s="4"/>
      <c r="G623" s="4"/>
      <c r="H623" s="9" t="str">
        <f>IF(OR(B623="",C623=""),"",C623*IFERROR(INDEX(Articles!$D:$D,MATCH(B623,Articles!$B:$B,0)),0))</f>
        <v/>
      </c>
      <c r="I623" s="9" t="str">
        <f>IF(OR(E623="",H623=""),"",E623-H623)</f>
        <v/>
      </c>
      <c r="J623" s="4"/>
    </row>
    <row r="624">
      <c r="A624" s="7"/>
      <c r="B624" s="4"/>
      <c r="C624" s="6"/>
      <c r="D624" s="5" t="str">
        <f>IF(B624="","",IFERROR(INDEX(Articles!$E:$E,MATCH(B624,Articles!$B:$B,0)),""))</f>
        <v/>
      </c>
      <c r="E624" s="9" t="str">
        <f>IF(OR(C624="",D624=""),"",C624*D624)</f>
        <v/>
      </c>
      <c r="F624" s="4"/>
      <c r="G624" s="4"/>
      <c r="H624" s="9" t="str">
        <f>IF(OR(B624="",C624=""),"",C624*IFERROR(INDEX(Articles!$D:$D,MATCH(B624,Articles!$B:$B,0)),0))</f>
        <v/>
      </c>
      <c r="I624" s="9" t="str">
        <f>IF(OR(E624="",H624=""),"",E624-H624)</f>
        <v/>
      </c>
      <c r="J624" s="4"/>
    </row>
    <row r="625">
      <c r="A625" s="7"/>
      <c r="B625" s="4"/>
      <c r="C625" s="6"/>
      <c r="D625" s="5" t="str">
        <f>IF(B625="","",IFERROR(INDEX(Articles!$E:$E,MATCH(B625,Articles!$B:$B,0)),""))</f>
        <v/>
      </c>
      <c r="E625" s="9" t="str">
        <f>IF(OR(C625="",D625=""),"",C625*D625)</f>
        <v/>
      </c>
      <c r="F625" s="4"/>
      <c r="G625" s="4"/>
      <c r="H625" s="9" t="str">
        <f>IF(OR(B625="",C625=""),"",C625*IFERROR(INDEX(Articles!$D:$D,MATCH(B625,Articles!$B:$B,0)),0))</f>
        <v/>
      </c>
      <c r="I625" s="9" t="str">
        <f>IF(OR(E625="",H625=""),"",E625-H625)</f>
        <v/>
      </c>
      <c r="J625" s="4"/>
    </row>
    <row r="626">
      <c r="A626" s="7"/>
      <c r="B626" s="4"/>
      <c r="C626" s="6"/>
      <c r="D626" s="5" t="str">
        <f>IF(B626="","",IFERROR(INDEX(Articles!$E:$E,MATCH(B626,Articles!$B:$B,0)),""))</f>
        <v/>
      </c>
      <c r="E626" s="9" t="str">
        <f>IF(OR(C626="",D626=""),"",C626*D626)</f>
        <v/>
      </c>
      <c r="F626" s="4"/>
      <c r="G626" s="4"/>
      <c r="H626" s="9" t="str">
        <f>IF(OR(B626="",C626=""),"",C626*IFERROR(INDEX(Articles!$D:$D,MATCH(B626,Articles!$B:$B,0)),0))</f>
        <v/>
      </c>
      <c r="I626" s="9" t="str">
        <f>IF(OR(E626="",H626=""),"",E626-H626)</f>
        <v/>
      </c>
      <c r="J626" s="4"/>
    </row>
    <row r="627">
      <c r="A627" s="7"/>
      <c r="B627" s="4"/>
      <c r="C627" s="6"/>
      <c r="D627" s="5" t="str">
        <f>IF(B627="","",IFERROR(INDEX(Articles!$E:$E,MATCH(B627,Articles!$B:$B,0)),""))</f>
        <v/>
      </c>
      <c r="E627" s="9" t="str">
        <f>IF(OR(C627="",D627=""),"",C627*D627)</f>
        <v/>
      </c>
      <c r="F627" s="4"/>
      <c r="G627" s="4"/>
      <c r="H627" s="9" t="str">
        <f>IF(OR(B627="",C627=""),"",C627*IFERROR(INDEX(Articles!$D:$D,MATCH(B627,Articles!$B:$B,0)),0))</f>
        <v/>
      </c>
      <c r="I627" s="9" t="str">
        <f>IF(OR(E627="",H627=""),"",E627-H627)</f>
        <v/>
      </c>
      <c r="J627" s="4"/>
    </row>
    <row r="628">
      <c r="A628" s="7"/>
      <c r="B628" s="4"/>
      <c r="C628" s="6"/>
      <c r="D628" s="5" t="str">
        <f>IF(B628="","",IFERROR(INDEX(Articles!$E:$E,MATCH(B628,Articles!$B:$B,0)),""))</f>
        <v/>
      </c>
      <c r="E628" s="9" t="str">
        <f>IF(OR(C628="",D628=""),"",C628*D628)</f>
        <v/>
      </c>
      <c r="F628" s="4"/>
      <c r="G628" s="4"/>
      <c r="H628" s="9" t="str">
        <f>IF(OR(B628="",C628=""),"",C628*IFERROR(INDEX(Articles!$D:$D,MATCH(B628,Articles!$B:$B,0)),0))</f>
        <v/>
      </c>
      <c r="I628" s="9" t="str">
        <f>IF(OR(E628="",H628=""),"",E628-H628)</f>
        <v/>
      </c>
      <c r="J628" s="4"/>
    </row>
    <row r="629">
      <c r="A629" s="7"/>
      <c r="B629" s="4"/>
      <c r="C629" s="6"/>
      <c r="D629" s="5" t="str">
        <f>IF(B629="","",IFERROR(INDEX(Articles!$E:$E,MATCH(B629,Articles!$B:$B,0)),""))</f>
        <v/>
      </c>
      <c r="E629" s="9" t="str">
        <f>IF(OR(C629="",D629=""),"",C629*D629)</f>
        <v/>
      </c>
      <c r="F629" s="4"/>
      <c r="G629" s="4"/>
      <c r="H629" s="9" t="str">
        <f>IF(OR(B629="",C629=""),"",C629*IFERROR(INDEX(Articles!$D:$D,MATCH(B629,Articles!$B:$B,0)),0))</f>
        <v/>
      </c>
      <c r="I629" s="9" t="str">
        <f>IF(OR(E629="",H629=""),"",E629-H629)</f>
        <v/>
      </c>
      <c r="J629" s="4"/>
    </row>
    <row r="630">
      <c r="A630" s="7"/>
      <c r="B630" s="4"/>
      <c r="C630" s="6"/>
      <c r="D630" s="5" t="str">
        <f>IF(B630="","",IFERROR(INDEX(Articles!$E:$E,MATCH(B630,Articles!$B:$B,0)),""))</f>
        <v/>
      </c>
      <c r="E630" s="9" t="str">
        <f>IF(OR(C630="",D630=""),"",C630*D630)</f>
        <v/>
      </c>
      <c r="F630" s="4"/>
      <c r="G630" s="4"/>
      <c r="H630" s="9" t="str">
        <f>IF(OR(B630="",C630=""),"",C630*IFERROR(INDEX(Articles!$D:$D,MATCH(B630,Articles!$B:$B,0)),0))</f>
        <v/>
      </c>
      <c r="I630" s="9" t="str">
        <f>IF(OR(E630="",H630=""),"",E630-H630)</f>
        <v/>
      </c>
      <c r="J630" s="4"/>
    </row>
    <row r="631">
      <c r="A631" s="7"/>
      <c r="B631" s="4"/>
      <c r="C631" s="6"/>
      <c r="D631" s="5" t="str">
        <f>IF(B631="","",IFERROR(INDEX(Articles!$E:$E,MATCH(B631,Articles!$B:$B,0)),""))</f>
        <v/>
      </c>
      <c r="E631" s="9" t="str">
        <f>IF(OR(C631="",D631=""),"",C631*D631)</f>
        <v/>
      </c>
      <c r="F631" s="4"/>
      <c r="G631" s="4"/>
      <c r="H631" s="9" t="str">
        <f>IF(OR(B631="",C631=""),"",C631*IFERROR(INDEX(Articles!$D:$D,MATCH(B631,Articles!$B:$B,0)),0))</f>
        <v/>
      </c>
      <c r="I631" s="9" t="str">
        <f>IF(OR(E631="",H631=""),"",E631-H631)</f>
        <v/>
      </c>
      <c r="J631" s="4"/>
    </row>
    <row r="632">
      <c r="A632" s="7"/>
      <c r="B632" s="4"/>
      <c r="C632" s="6"/>
      <c r="D632" s="5" t="str">
        <f>IF(B632="","",IFERROR(INDEX(Articles!$E:$E,MATCH(B632,Articles!$B:$B,0)),""))</f>
        <v/>
      </c>
      <c r="E632" s="9" t="str">
        <f>IF(OR(C632="",D632=""),"",C632*D632)</f>
        <v/>
      </c>
      <c r="F632" s="4"/>
      <c r="G632" s="4"/>
      <c r="H632" s="9" t="str">
        <f>IF(OR(B632="",C632=""),"",C632*IFERROR(INDEX(Articles!$D:$D,MATCH(B632,Articles!$B:$B,0)),0))</f>
        <v/>
      </c>
      <c r="I632" s="9" t="str">
        <f>IF(OR(E632="",H632=""),"",E632-H632)</f>
        <v/>
      </c>
      <c r="J632" s="4"/>
    </row>
    <row r="633">
      <c r="A633" s="7"/>
      <c r="B633" s="4"/>
      <c r="C633" s="6"/>
      <c r="D633" s="5" t="str">
        <f>IF(B633="","",IFERROR(INDEX(Articles!$E:$E,MATCH(B633,Articles!$B:$B,0)),""))</f>
        <v/>
      </c>
      <c r="E633" s="9" t="str">
        <f>IF(OR(C633="",D633=""),"",C633*D633)</f>
        <v/>
      </c>
      <c r="F633" s="4"/>
      <c r="G633" s="4"/>
      <c r="H633" s="9" t="str">
        <f>IF(OR(B633="",C633=""),"",C633*IFERROR(INDEX(Articles!$D:$D,MATCH(B633,Articles!$B:$B,0)),0))</f>
        <v/>
      </c>
      <c r="I633" s="9" t="str">
        <f>IF(OR(E633="",H633=""),"",E633-H633)</f>
        <v/>
      </c>
      <c r="J633" s="4"/>
    </row>
    <row r="634">
      <c r="A634" s="7"/>
      <c r="B634" s="4"/>
      <c r="C634" s="6"/>
      <c r="D634" s="5" t="str">
        <f>IF(B634="","",IFERROR(INDEX(Articles!$E:$E,MATCH(B634,Articles!$B:$B,0)),""))</f>
        <v/>
      </c>
      <c r="E634" s="9" t="str">
        <f>IF(OR(C634="",D634=""),"",C634*D634)</f>
        <v/>
      </c>
      <c r="F634" s="4"/>
      <c r="G634" s="4"/>
      <c r="H634" s="9" t="str">
        <f>IF(OR(B634="",C634=""),"",C634*IFERROR(INDEX(Articles!$D:$D,MATCH(B634,Articles!$B:$B,0)),0))</f>
        <v/>
      </c>
      <c r="I634" s="9" t="str">
        <f>IF(OR(E634="",H634=""),"",E634-H634)</f>
        <v/>
      </c>
      <c r="J634" s="4"/>
    </row>
    <row r="635">
      <c r="A635" s="7"/>
      <c r="B635" s="4"/>
      <c r="C635" s="6"/>
      <c r="D635" s="5" t="str">
        <f>IF(B635="","",IFERROR(INDEX(Articles!$E:$E,MATCH(B635,Articles!$B:$B,0)),""))</f>
        <v/>
      </c>
      <c r="E635" s="9" t="str">
        <f>IF(OR(C635="",D635=""),"",C635*D635)</f>
        <v/>
      </c>
      <c r="F635" s="4"/>
      <c r="G635" s="4"/>
      <c r="H635" s="9" t="str">
        <f>IF(OR(B635="",C635=""),"",C635*IFERROR(INDEX(Articles!$D:$D,MATCH(B635,Articles!$B:$B,0)),0))</f>
        <v/>
      </c>
      <c r="I635" s="9" t="str">
        <f>IF(OR(E635="",H635=""),"",E635-H635)</f>
        <v/>
      </c>
      <c r="J635" s="4"/>
    </row>
    <row r="636">
      <c r="A636" s="7"/>
      <c r="B636" s="4"/>
      <c r="C636" s="6"/>
      <c r="D636" s="5" t="str">
        <f>IF(B636="","",IFERROR(INDEX(Articles!$E:$E,MATCH(B636,Articles!$B:$B,0)),""))</f>
        <v/>
      </c>
      <c r="E636" s="9" t="str">
        <f>IF(OR(C636="",D636=""),"",C636*D636)</f>
        <v/>
      </c>
      <c r="F636" s="4"/>
      <c r="G636" s="4"/>
      <c r="H636" s="9" t="str">
        <f>IF(OR(B636="",C636=""),"",C636*IFERROR(INDEX(Articles!$D:$D,MATCH(B636,Articles!$B:$B,0)),0))</f>
        <v/>
      </c>
      <c r="I636" s="9" t="str">
        <f>IF(OR(E636="",H636=""),"",E636-H636)</f>
        <v/>
      </c>
      <c r="J636" s="4"/>
    </row>
    <row r="637">
      <c r="A637" s="7"/>
      <c r="B637" s="4"/>
      <c r="C637" s="6"/>
      <c r="D637" s="5" t="str">
        <f>IF(B637="","",IFERROR(INDEX(Articles!$E:$E,MATCH(B637,Articles!$B:$B,0)),""))</f>
        <v/>
      </c>
      <c r="E637" s="9" t="str">
        <f>IF(OR(C637="",D637=""),"",C637*D637)</f>
        <v/>
      </c>
      <c r="F637" s="4"/>
      <c r="G637" s="4"/>
      <c r="H637" s="9" t="str">
        <f>IF(OR(B637="",C637=""),"",C637*IFERROR(INDEX(Articles!$D:$D,MATCH(B637,Articles!$B:$B,0)),0))</f>
        <v/>
      </c>
      <c r="I637" s="9" t="str">
        <f>IF(OR(E637="",H637=""),"",E637-H637)</f>
        <v/>
      </c>
      <c r="J637" s="4"/>
    </row>
    <row r="638">
      <c r="A638" s="7"/>
      <c r="B638" s="4"/>
      <c r="C638" s="6"/>
      <c r="D638" s="5" t="str">
        <f>IF(B638="","",IFERROR(INDEX(Articles!$E:$E,MATCH(B638,Articles!$B:$B,0)),""))</f>
        <v/>
      </c>
      <c r="E638" s="9" t="str">
        <f>IF(OR(C638="",D638=""),"",C638*D638)</f>
        <v/>
      </c>
      <c r="F638" s="4"/>
      <c r="G638" s="4"/>
      <c r="H638" s="9" t="str">
        <f>IF(OR(B638="",C638=""),"",C638*IFERROR(INDEX(Articles!$D:$D,MATCH(B638,Articles!$B:$B,0)),0))</f>
        <v/>
      </c>
      <c r="I638" s="9" t="str">
        <f>IF(OR(E638="",H638=""),"",E638-H638)</f>
        <v/>
      </c>
      <c r="J638" s="4"/>
    </row>
    <row r="639">
      <c r="A639" s="7"/>
      <c r="B639" s="4"/>
      <c r="C639" s="6"/>
      <c r="D639" s="5" t="str">
        <f>IF(B639="","",IFERROR(INDEX(Articles!$E:$E,MATCH(B639,Articles!$B:$B,0)),""))</f>
        <v/>
      </c>
      <c r="E639" s="9" t="str">
        <f>IF(OR(C639="",D639=""),"",C639*D639)</f>
        <v/>
      </c>
      <c r="F639" s="4"/>
      <c r="G639" s="4"/>
      <c r="H639" s="9" t="str">
        <f>IF(OR(B639="",C639=""),"",C639*IFERROR(INDEX(Articles!$D:$D,MATCH(B639,Articles!$B:$B,0)),0))</f>
        <v/>
      </c>
      <c r="I639" s="9" t="str">
        <f>IF(OR(E639="",H639=""),"",E639-H639)</f>
        <v/>
      </c>
      <c r="J639" s="4"/>
    </row>
    <row r="640">
      <c r="A640" s="7"/>
      <c r="B640" s="4"/>
      <c r="C640" s="6"/>
      <c r="D640" s="5" t="str">
        <f>IF(B640="","",IFERROR(INDEX(Articles!$E:$E,MATCH(B640,Articles!$B:$B,0)),""))</f>
        <v/>
      </c>
      <c r="E640" s="9" t="str">
        <f>IF(OR(C640="",D640=""),"",C640*D640)</f>
        <v/>
      </c>
      <c r="F640" s="4"/>
      <c r="G640" s="4"/>
      <c r="H640" s="9" t="str">
        <f>IF(OR(B640="",C640=""),"",C640*IFERROR(INDEX(Articles!$D:$D,MATCH(B640,Articles!$B:$B,0)),0))</f>
        <v/>
      </c>
      <c r="I640" s="9" t="str">
        <f>IF(OR(E640="",H640=""),"",E640-H640)</f>
        <v/>
      </c>
      <c r="J640" s="4"/>
    </row>
    <row r="641">
      <c r="A641" s="7"/>
      <c r="B641" s="4"/>
      <c r="C641" s="6"/>
      <c r="D641" s="5" t="str">
        <f>IF(B641="","",IFERROR(INDEX(Articles!$E:$E,MATCH(B641,Articles!$B:$B,0)),""))</f>
        <v/>
      </c>
      <c r="E641" s="9" t="str">
        <f>IF(OR(C641="",D641=""),"",C641*D641)</f>
        <v/>
      </c>
      <c r="F641" s="4"/>
      <c r="G641" s="4"/>
      <c r="H641" s="9" t="str">
        <f>IF(OR(B641="",C641=""),"",C641*IFERROR(INDEX(Articles!$D:$D,MATCH(B641,Articles!$B:$B,0)),0))</f>
        <v/>
      </c>
      <c r="I641" s="9" t="str">
        <f>IF(OR(E641="",H641=""),"",E641-H641)</f>
        <v/>
      </c>
      <c r="J641" s="4"/>
    </row>
    <row r="642">
      <c r="A642" s="7"/>
      <c r="B642" s="4"/>
      <c r="C642" s="6"/>
      <c r="D642" s="5" t="str">
        <f>IF(B642="","",IFERROR(INDEX(Articles!$E:$E,MATCH(B642,Articles!$B:$B,0)),""))</f>
        <v/>
      </c>
      <c r="E642" s="9" t="str">
        <f>IF(OR(C642="",D642=""),"",C642*D642)</f>
        <v/>
      </c>
      <c r="F642" s="4"/>
      <c r="G642" s="4"/>
      <c r="H642" s="9" t="str">
        <f>IF(OR(B642="",C642=""),"",C642*IFERROR(INDEX(Articles!$D:$D,MATCH(B642,Articles!$B:$B,0)),0))</f>
        <v/>
      </c>
      <c r="I642" s="9" t="str">
        <f>IF(OR(E642="",H642=""),"",E642-H642)</f>
        <v/>
      </c>
      <c r="J642" s="4"/>
    </row>
    <row r="643">
      <c r="A643" s="7"/>
      <c r="B643" s="4"/>
      <c r="C643" s="6"/>
      <c r="D643" s="5" t="str">
        <f>IF(B643="","",IFERROR(INDEX(Articles!$E:$E,MATCH(B643,Articles!$B:$B,0)),""))</f>
        <v/>
      </c>
      <c r="E643" s="9" t="str">
        <f>IF(OR(C643="",D643=""),"",C643*D643)</f>
        <v/>
      </c>
      <c r="F643" s="4"/>
      <c r="G643" s="4"/>
      <c r="H643" s="9" t="str">
        <f>IF(OR(B643="",C643=""),"",C643*IFERROR(INDEX(Articles!$D:$D,MATCH(B643,Articles!$B:$B,0)),0))</f>
        <v/>
      </c>
      <c r="I643" s="9" t="str">
        <f>IF(OR(E643="",H643=""),"",E643-H643)</f>
        <v/>
      </c>
      <c r="J643" s="4"/>
    </row>
    <row r="644">
      <c r="A644" s="7"/>
      <c r="B644" s="4"/>
      <c r="C644" s="6"/>
      <c r="D644" s="5" t="str">
        <f>IF(B644="","",IFERROR(INDEX(Articles!$E:$E,MATCH(B644,Articles!$B:$B,0)),""))</f>
        <v/>
      </c>
      <c r="E644" s="9" t="str">
        <f>IF(OR(C644="",D644=""),"",C644*D644)</f>
        <v/>
      </c>
      <c r="F644" s="4"/>
      <c r="G644" s="4"/>
      <c r="H644" s="9" t="str">
        <f>IF(OR(B644="",C644=""),"",C644*IFERROR(INDEX(Articles!$D:$D,MATCH(B644,Articles!$B:$B,0)),0))</f>
        <v/>
      </c>
      <c r="I644" s="9" t="str">
        <f>IF(OR(E644="",H644=""),"",E644-H644)</f>
        <v/>
      </c>
      <c r="J644" s="4"/>
    </row>
    <row r="645">
      <c r="A645" s="7"/>
      <c r="B645" s="4"/>
      <c r="C645" s="6"/>
      <c r="D645" s="5" t="str">
        <f>IF(B645="","",IFERROR(INDEX(Articles!$E:$E,MATCH(B645,Articles!$B:$B,0)),""))</f>
        <v/>
      </c>
      <c r="E645" s="9" t="str">
        <f>IF(OR(C645="",D645=""),"",C645*D645)</f>
        <v/>
      </c>
      <c r="F645" s="4"/>
      <c r="G645" s="4"/>
      <c r="H645" s="9" t="str">
        <f>IF(OR(B645="",C645=""),"",C645*IFERROR(INDEX(Articles!$D:$D,MATCH(B645,Articles!$B:$B,0)),0))</f>
        <v/>
      </c>
      <c r="I645" s="9" t="str">
        <f>IF(OR(E645="",H645=""),"",E645-H645)</f>
        <v/>
      </c>
      <c r="J645" s="4"/>
    </row>
    <row r="646">
      <c r="A646" s="7"/>
      <c r="B646" s="4"/>
      <c r="C646" s="6"/>
      <c r="D646" s="5" t="str">
        <f>IF(B646="","",IFERROR(INDEX(Articles!$E:$E,MATCH(B646,Articles!$B:$B,0)),""))</f>
        <v/>
      </c>
      <c r="E646" s="9" t="str">
        <f>IF(OR(C646="",D646=""),"",C646*D646)</f>
        <v/>
      </c>
      <c r="F646" s="4"/>
      <c r="G646" s="4"/>
      <c r="H646" s="9" t="str">
        <f>IF(OR(B646="",C646=""),"",C646*IFERROR(INDEX(Articles!$D:$D,MATCH(B646,Articles!$B:$B,0)),0))</f>
        <v/>
      </c>
      <c r="I646" s="9" t="str">
        <f>IF(OR(E646="",H646=""),"",E646-H646)</f>
        <v/>
      </c>
      <c r="J646" s="4"/>
    </row>
    <row r="647">
      <c r="A647" s="7"/>
      <c r="B647" s="4"/>
      <c r="C647" s="6"/>
      <c r="D647" s="5" t="str">
        <f>IF(B647="","",IFERROR(INDEX(Articles!$E:$E,MATCH(B647,Articles!$B:$B,0)),""))</f>
        <v/>
      </c>
      <c r="E647" s="9" t="str">
        <f>IF(OR(C647="",D647=""),"",C647*D647)</f>
        <v/>
      </c>
      <c r="F647" s="4"/>
      <c r="G647" s="4"/>
      <c r="H647" s="9" t="str">
        <f>IF(OR(B647="",C647=""),"",C647*IFERROR(INDEX(Articles!$D:$D,MATCH(B647,Articles!$B:$B,0)),0))</f>
        <v/>
      </c>
      <c r="I647" s="9" t="str">
        <f>IF(OR(E647="",H647=""),"",E647-H647)</f>
        <v/>
      </c>
      <c r="J647" s="4"/>
    </row>
    <row r="648">
      <c r="A648" s="7"/>
      <c r="B648" s="4"/>
      <c r="C648" s="6"/>
      <c r="D648" s="5" t="str">
        <f>IF(B648="","",IFERROR(INDEX(Articles!$E:$E,MATCH(B648,Articles!$B:$B,0)),""))</f>
        <v/>
      </c>
      <c r="E648" s="9" t="str">
        <f>IF(OR(C648="",D648=""),"",C648*D648)</f>
        <v/>
      </c>
      <c r="F648" s="4"/>
      <c r="G648" s="4"/>
      <c r="H648" s="9" t="str">
        <f>IF(OR(B648="",C648=""),"",C648*IFERROR(INDEX(Articles!$D:$D,MATCH(B648,Articles!$B:$B,0)),0))</f>
        <v/>
      </c>
      <c r="I648" s="9" t="str">
        <f>IF(OR(E648="",H648=""),"",E648-H648)</f>
        <v/>
      </c>
      <c r="J648" s="4"/>
    </row>
    <row r="649">
      <c r="A649" s="7"/>
      <c r="B649" s="4"/>
      <c r="C649" s="6"/>
      <c r="D649" s="5" t="str">
        <f>IF(B649="","",IFERROR(INDEX(Articles!$E:$E,MATCH(B649,Articles!$B:$B,0)),""))</f>
        <v/>
      </c>
      <c r="E649" s="9" t="str">
        <f>IF(OR(C649="",D649=""),"",C649*D649)</f>
        <v/>
      </c>
      <c r="F649" s="4"/>
      <c r="G649" s="4"/>
      <c r="H649" s="9" t="str">
        <f>IF(OR(B649="",C649=""),"",C649*IFERROR(INDEX(Articles!$D:$D,MATCH(B649,Articles!$B:$B,0)),0))</f>
        <v/>
      </c>
      <c r="I649" s="9" t="str">
        <f>IF(OR(E649="",H649=""),"",E649-H649)</f>
        <v/>
      </c>
      <c r="J649" s="4"/>
    </row>
    <row r="650">
      <c r="A650" s="7"/>
      <c r="B650" s="4"/>
      <c r="C650" s="6"/>
      <c r="D650" s="5" t="str">
        <f>IF(B650="","",IFERROR(INDEX(Articles!$E:$E,MATCH(B650,Articles!$B:$B,0)),""))</f>
        <v/>
      </c>
      <c r="E650" s="9" t="str">
        <f>IF(OR(C650="",D650=""),"",C650*D650)</f>
        <v/>
      </c>
      <c r="F650" s="4"/>
      <c r="G650" s="4"/>
      <c r="H650" s="9" t="str">
        <f>IF(OR(B650="",C650=""),"",C650*IFERROR(INDEX(Articles!$D:$D,MATCH(B650,Articles!$B:$B,0)),0))</f>
        <v/>
      </c>
      <c r="I650" s="9" t="str">
        <f>IF(OR(E650="",H650=""),"",E650-H650)</f>
        <v/>
      </c>
      <c r="J650" s="4"/>
    </row>
    <row r="651">
      <c r="A651" s="7"/>
      <c r="B651" s="4"/>
      <c r="C651" s="6"/>
      <c r="D651" s="5" t="str">
        <f>IF(B651="","",IFERROR(INDEX(Articles!$E:$E,MATCH(B651,Articles!$B:$B,0)),""))</f>
        <v/>
      </c>
      <c r="E651" s="9" t="str">
        <f>IF(OR(C651="",D651=""),"",C651*D651)</f>
        <v/>
      </c>
      <c r="F651" s="4"/>
      <c r="G651" s="4"/>
      <c r="H651" s="9" t="str">
        <f>IF(OR(B651="",C651=""),"",C651*IFERROR(INDEX(Articles!$D:$D,MATCH(B651,Articles!$B:$B,0)),0))</f>
        <v/>
      </c>
      <c r="I651" s="9" t="str">
        <f>IF(OR(E651="",H651=""),"",E651-H651)</f>
        <v/>
      </c>
      <c r="J651" s="4"/>
    </row>
    <row r="652">
      <c r="A652" s="7"/>
      <c r="B652" s="4"/>
      <c r="C652" s="6"/>
      <c r="D652" s="5" t="str">
        <f>IF(B652="","",IFERROR(INDEX(Articles!$E:$E,MATCH(B652,Articles!$B:$B,0)),""))</f>
        <v/>
      </c>
      <c r="E652" s="9" t="str">
        <f>IF(OR(C652="",D652=""),"",C652*D652)</f>
        <v/>
      </c>
      <c r="F652" s="4"/>
      <c r="G652" s="4"/>
      <c r="H652" s="9" t="str">
        <f>IF(OR(B652="",C652=""),"",C652*IFERROR(INDEX(Articles!$D:$D,MATCH(B652,Articles!$B:$B,0)),0))</f>
        <v/>
      </c>
      <c r="I652" s="9" t="str">
        <f>IF(OR(E652="",H652=""),"",E652-H652)</f>
        <v/>
      </c>
      <c r="J652" s="4"/>
    </row>
    <row r="653">
      <c r="A653" s="7"/>
      <c r="B653" s="4"/>
      <c r="C653" s="6"/>
      <c r="D653" s="5" t="str">
        <f>IF(B653="","",IFERROR(INDEX(Articles!$E:$E,MATCH(B653,Articles!$B:$B,0)),""))</f>
        <v/>
      </c>
      <c r="E653" s="9" t="str">
        <f>IF(OR(C653="",D653=""),"",C653*D653)</f>
        <v/>
      </c>
      <c r="F653" s="4"/>
      <c r="G653" s="4"/>
      <c r="H653" s="9" t="str">
        <f>IF(OR(B653="",C653=""),"",C653*IFERROR(INDEX(Articles!$D:$D,MATCH(B653,Articles!$B:$B,0)),0))</f>
        <v/>
      </c>
      <c r="I653" s="9" t="str">
        <f>IF(OR(E653="",H653=""),"",E653-H653)</f>
        <v/>
      </c>
      <c r="J653" s="4"/>
    </row>
    <row r="654">
      <c r="A654" s="7"/>
      <c r="B654" s="4"/>
      <c r="C654" s="6"/>
      <c r="D654" s="5" t="str">
        <f>IF(B654="","",IFERROR(INDEX(Articles!$E:$E,MATCH(B654,Articles!$B:$B,0)),""))</f>
        <v/>
      </c>
      <c r="E654" s="9" t="str">
        <f>IF(OR(C654="",D654=""),"",C654*D654)</f>
        <v/>
      </c>
      <c r="F654" s="4"/>
      <c r="G654" s="4"/>
      <c r="H654" s="9" t="str">
        <f>IF(OR(B654="",C654=""),"",C654*IFERROR(INDEX(Articles!$D:$D,MATCH(B654,Articles!$B:$B,0)),0))</f>
        <v/>
      </c>
      <c r="I654" s="9" t="str">
        <f>IF(OR(E654="",H654=""),"",E654-H654)</f>
        <v/>
      </c>
      <c r="J654" s="4"/>
    </row>
    <row r="655">
      <c r="A655" s="7"/>
      <c r="B655" s="4"/>
      <c r="C655" s="6"/>
      <c r="D655" s="5" t="str">
        <f>IF(B655="","",IFERROR(INDEX(Articles!$E:$E,MATCH(B655,Articles!$B:$B,0)),""))</f>
        <v/>
      </c>
      <c r="E655" s="9" t="str">
        <f>IF(OR(C655="",D655=""),"",C655*D655)</f>
        <v/>
      </c>
      <c r="F655" s="4"/>
      <c r="G655" s="4"/>
      <c r="H655" s="9" t="str">
        <f>IF(OR(B655="",C655=""),"",C655*IFERROR(INDEX(Articles!$D:$D,MATCH(B655,Articles!$B:$B,0)),0))</f>
        <v/>
      </c>
      <c r="I655" s="9" t="str">
        <f>IF(OR(E655="",H655=""),"",E655-H655)</f>
        <v/>
      </c>
      <c r="J655" s="4"/>
    </row>
    <row r="656">
      <c r="A656" s="7"/>
      <c r="B656" s="4"/>
      <c r="C656" s="6"/>
      <c r="D656" s="5" t="str">
        <f>IF(B656="","",IFERROR(INDEX(Articles!$E:$E,MATCH(B656,Articles!$B:$B,0)),""))</f>
        <v/>
      </c>
      <c r="E656" s="9" t="str">
        <f>IF(OR(C656="",D656=""),"",C656*D656)</f>
        <v/>
      </c>
      <c r="F656" s="4"/>
      <c r="G656" s="4"/>
      <c r="H656" s="9" t="str">
        <f>IF(OR(B656="",C656=""),"",C656*IFERROR(INDEX(Articles!$D:$D,MATCH(B656,Articles!$B:$B,0)),0))</f>
        <v/>
      </c>
      <c r="I656" s="9" t="str">
        <f>IF(OR(E656="",H656=""),"",E656-H656)</f>
        <v/>
      </c>
      <c r="J656" s="4"/>
    </row>
    <row r="657">
      <c r="A657" s="7"/>
      <c r="B657" s="4"/>
      <c r="C657" s="6"/>
      <c r="D657" s="5" t="str">
        <f>IF(B657="","",IFERROR(INDEX(Articles!$E:$E,MATCH(B657,Articles!$B:$B,0)),""))</f>
        <v/>
      </c>
      <c r="E657" s="9" t="str">
        <f>IF(OR(C657="",D657=""),"",C657*D657)</f>
        <v/>
      </c>
      <c r="F657" s="4"/>
      <c r="G657" s="4"/>
      <c r="H657" s="9" t="str">
        <f>IF(OR(B657="",C657=""),"",C657*IFERROR(INDEX(Articles!$D:$D,MATCH(B657,Articles!$B:$B,0)),0))</f>
        <v/>
      </c>
      <c r="I657" s="9" t="str">
        <f>IF(OR(E657="",H657=""),"",E657-H657)</f>
        <v/>
      </c>
      <c r="J657" s="4"/>
    </row>
    <row r="658">
      <c r="A658" s="7"/>
      <c r="B658" s="4"/>
      <c r="C658" s="6"/>
      <c r="D658" s="5" t="str">
        <f>IF(B658="","",IFERROR(INDEX(Articles!$E:$E,MATCH(B658,Articles!$B:$B,0)),""))</f>
        <v/>
      </c>
      <c r="E658" s="9" t="str">
        <f>IF(OR(C658="",D658=""),"",C658*D658)</f>
        <v/>
      </c>
      <c r="F658" s="4"/>
      <c r="G658" s="4"/>
      <c r="H658" s="9" t="str">
        <f>IF(OR(B658="",C658=""),"",C658*IFERROR(INDEX(Articles!$D:$D,MATCH(B658,Articles!$B:$B,0)),0))</f>
        <v/>
      </c>
      <c r="I658" s="9" t="str">
        <f>IF(OR(E658="",H658=""),"",E658-H658)</f>
        <v/>
      </c>
      <c r="J658" s="4"/>
    </row>
    <row r="659">
      <c r="A659" s="7"/>
      <c r="B659" s="4"/>
      <c r="C659" s="6"/>
      <c r="D659" s="5" t="str">
        <f>IF(B659="","",IFERROR(INDEX(Articles!$E:$E,MATCH(B659,Articles!$B:$B,0)),""))</f>
        <v/>
      </c>
      <c r="E659" s="9" t="str">
        <f>IF(OR(C659="",D659=""),"",C659*D659)</f>
        <v/>
      </c>
      <c r="F659" s="4"/>
      <c r="G659" s="4"/>
      <c r="H659" s="9" t="str">
        <f>IF(OR(B659="",C659=""),"",C659*IFERROR(INDEX(Articles!$D:$D,MATCH(B659,Articles!$B:$B,0)),0))</f>
        <v/>
      </c>
      <c r="I659" s="9" t="str">
        <f>IF(OR(E659="",H659=""),"",E659-H659)</f>
        <v/>
      </c>
      <c r="J659" s="4"/>
    </row>
    <row r="660">
      <c r="A660" s="7"/>
      <c r="B660" s="4"/>
      <c r="C660" s="6"/>
      <c r="D660" s="5" t="str">
        <f>IF(B660="","",IFERROR(INDEX(Articles!$E:$E,MATCH(B660,Articles!$B:$B,0)),""))</f>
        <v/>
      </c>
      <c r="E660" s="9" t="str">
        <f>IF(OR(C660="",D660=""),"",C660*D660)</f>
        <v/>
      </c>
      <c r="F660" s="4"/>
      <c r="G660" s="4"/>
      <c r="H660" s="9" t="str">
        <f>IF(OR(B660="",C660=""),"",C660*IFERROR(INDEX(Articles!$D:$D,MATCH(B660,Articles!$B:$B,0)),0))</f>
        <v/>
      </c>
      <c r="I660" s="9" t="str">
        <f>IF(OR(E660="",H660=""),"",E660-H660)</f>
        <v/>
      </c>
      <c r="J660" s="4"/>
    </row>
    <row r="661">
      <c r="A661" s="7"/>
      <c r="B661" s="4"/>
      <c r="C661" s="6"/>
      <c r="D661" s="5" t="str">
        <f>IF(B661="","",IFERROR(INDEX(Articles!$E:$E,MATCH(B661,Articles!$B:$B,0)),""))</f>
        <v/>
      </c>
      <c r="E661" s="9" t="str">
        <f>IF(OR(C661="",D661=""),"",C661*D661)</f>
        <v/>
      </c>
      <c r="F661" s="4"/>
      <c r="G661" s="4"/>
      <c r="H661" s="9" t="str">
        <f>IF(OR(B661="",C661=""),"",C661*IFERROR(INDEX(Articles!$D:$D,MATCH(B661,Articles!$B:$B,0)),0))</f>
        <v/>
      </c>
      <c r="I661" s="9" t="str">
        <f>IF(OR(E661="",H661=""),"",E661-H661)</f>
        <v/>
      </c>
      <c r="J661" s="4"/>
    </row>
    <row r="662">
      <c r="A662" s="7"/>
      <c r="B662" s="4"/>
      <c r="C662" s="6"/>
      <c r="D662" s="5" t="str">
        <f>IF(B662="","",IFERROR(INDEX(Articles!$E:$E,MATCH(B662,Articles!$B:$B,0)),""))</f>
        <v/>
      </c>
      <c r="E662" s="9" t="str">
        <f>IF(OR(C662="",D662=""),"",C662*D662)</f>
        <v/>
      </c>
      <c r="F662" s="4"/>
      <c r="G662" s="4"/>
      <c r="H662" s="9" t="str">
        <f>IF(OR(B662="",C662=""),"",C662*IFERROR(INDEX(Articles!$D:$D,MATCH(B662,Articles!$B:$B,0)),0))</f>
        <v/>
      </c>
      <c r="I662" s="9" t="str">
        <f>IF(OR(E662="",H662=""),"",E662-H662)</f>
        <v/>
      </c>
      <c r="J662" s="4"/>
    </row>
    <row r="663">
      <c r="A663" s="7"/>
      <c r="B663" s="4"/>
      <c r="C663" s="6"/>
      <c r="D663" s="5" t="str">
        <f>IF(B663="","",IFERROR(INDEX(Articles!$E:$E,MATCH(B663,Articles!$B:$B,0)),""))</f>
        <v/>
      </c>
      <c r="E663" s="9" t="str">
        <f>IF(OR(C663="",D663=""),"",C663*D663)</f>
        <v/>
      </c>
      <c r="F663" s="4"/>
      <c r="G663" s="4"/>
      <c r="H663" s="9" t="str">
        <f>IF(OR(B663="",C663=""),"",C663*IFERROR(INDEX(Articles!$D:$D,MATCH(B663,Articles!$B:$B,0)),0))</f>
        <v/>
      </c>
      <c r="I663" s="9" t="str">
        <f>IF(OR(E663="",H663=""),"",E663-H663)</f>
        <v/>
      </c>
      <c r="J663" s="4"/>
    </row>
    <row r="664">
      <c r="A664" s="7"/>
      <c r="B664" s="4"/>
      <c r="C664" s="6"/>
      <c r="D664" s="5" t="str">
        <f>IF(B664="","",IFERROR(INDEX(Articles!$E:$E,MATCH(B664,Articles!$B:$B,0)),""))</f>
        <v/>
      </c>
      <c r="E664" s="9" t="str">
        <f>IF(OR(C664="",D664=""),"",C664*D664)</f>
        <v/>
      </c>
      <c r="F664" s="4"/>
      <c r="G664" s="4"/>
      <c r="H664" s="9" t="str">
        <f>IF(OR(B664="",C664=""),"",C664*IFERROR(INDEX(Articles!$D:$D,MATCH(B664,Articles!$B:$B,0)),0))</f>
        <v/>
      </c>
      <c r="I664" s="9" t="str">
        <f>IF(OR(E664="",H664=""),"",E664-H664)</f>
        <v/>
      </c>
      <c r="J664" s="4"/>
    </row>
    <row r="665">
      <c r="A665" s="7"/>
      <c r="B665" s="4"/>
      <c r="C665" s="6"/>
      <c r="D665" s="5" t="str">
        <f>IF(B665="","",IFERROR(INDEX(Articles!$E:$E,MATCH(B665,Articles!$B:$B,0)),""))</f>
        <v/>
      </c>
      <c r="E665" s="9" t="str">
        <f>IF(OR(C665="",D665=""),"",C665*D665)</f>
        <v/>
      </c>
      <c r="F665" s="4"/>
      <c r="G665" s="4"/>
      <c r="H665" s="9" t="str">
        <f>IF(OR(B665="",C665=""),"",C665*IFERROR(INDEX(Articles!$D:$D,MATCH(B665,Articles!$B:$B,0)),0))</f>
        <v/>
      </c>
      <c r="I665" s="9" t="str">
        <f>IF(OR(E665="",H665=""),"",E665-H665)</f>
        <v/>
      </c>
      <c r="J665" s="4"/>
    </row>
    <row r="666">
      <c r="A666" s="7"/>
      <c r="B666" s="4"/>
      <c r="C666" s="6"/>
      <c r="D666" s="5" t="str">
        <f>IF(B666="","",IFERROR(INDEX(Articles!$E:$E,MATCH(B666,Articles!$B:$B,0)),""))</f>
        <v/>
      </c>
      <c r="E666" s="9" t="str">
        <f>IF(OR(C666="",D666=""),"",C666*D666)</f>
        <v/>
      </c>
      <c r="F666" s="4"/>
      <c r="G666" s="4"/>
      <c r="H666" s="9" t="str">
        <f>IF(OR(B666="",C666=""),"",C666*IFERROR(INDEX(Articles!$D:$D,MATCH(B666,Articles!$B:$B,0)),0))</f>
        <v/>
      </c>
      <c r="I666" s="9" t="str">
        <f>IF(OR(E666="",H666=""),"",E666-H666)</f>
        <v/>
      </c>
      <c r="J666" s="4"/>
    </row>
    <row r="667">
      <c r="A667" s="7"/>
      <c r="B667" s="4"/>
      <c r="C667" s="6"/>
      <c r="D667" s="5" t="str">
        <f>IF(B667="","",IFERROR(INDEX(Articles!$E:$E,MATCH(B667,Articles!$B:$B,0)),""))</f>
        <v/>
      </c>
      <c r="E667" s="9" t="str">
        <f>IF(OR(C667="",D667=""),"",C667*D667)</f>
        <v/>
      </c>
      <c r="F667" s="4"/>
      <c r="G667" s="4"/>
      <c r="H667" s="9" t="str">
        <f>IF(OR(B667="",C667=""),"",C667*IFERROR(INDEX(Articles!$D:$D,MATCH(B667,Articles!$B:$B,0)),0))</f>
        <v/>
      </c>
      <c r="I667" s="9" t="str">
        <f>IF(OR(E667="",H667=""),"",E667-H667)</f>
        <v/>
      </c>
      <c r="J667" s="4"/>
    </row>
    <row r="668">
      <c r="A668" s="7"/>
      <c r="B668" s="4"/>
      <c r="C668" s="6"/>
      <c r="D668" s="5" t="str">
        <f>IF(B668="","",IFERROR(INDEX(Articles!$E:$E,MATCH(B668,Articles!$B:$B,0)),""))</f>
        <v/>
      </c>
      <c r="E668" s="9" t="str">
        <f>IF(OR(C668="",D668=""),"",C668*D668)</f>
        <v/>
      </c>
      <c r="F668" s="4"/>
      <c r="G668" s="4"/>
      <c r="H668" s="9" t="str">
        <f>IF(OR(B668="",C668=""),"",C668*IFERROR(INDEX(Articles!$D:$D,MATCH(B668,Articles!$B:$B,0)),0))</f>
        <v/>
      </c>
      <c r="I668" s="9" t="str">
        <f>IF(OR(E668="",H668=""),"",E668-H668)</f>
        <v/>
      </c>
      <c r="J668" s="4"/>
    </row>
    <row r="669">
      <c r="A669" s="7"/>
      <c r="B669" s="4"/>
      <c r="C669" s="6"/>
      <c r="D669" s="5" t="str">
        <f>IF(B669="","",IFERROR(INDEX(Articles!$E:$E,MATCH(B669,Articles!$B:$B,0)),""))</f>
        <v/>
      </c>
      <c r="E669" s="9" t="str">
        <f>IF(OR(C669="",D669=""),"",C669*D669)</f>
        <v/>
      </c>
      <c r="F669" s="4"/>
      <c r="G669" s="4"/>
      <c r="H669" s="9" t="str">
        <f>IF(OR(B669="",C669=""),"",C669*IFERROR(INDEX(Articles!$D:$D,MATCH(B669,Articles!$B:$B,0)),0))</f>
        <v/>
      </c>
      <c r="I669" s="9" t="str">
        <f>IF(OR(E669="",H669=""),"",E669-H669)</f>
        <v/>
      </c>
      <c r="J669" s="4"/>
    </row>
    <row r="670">
      <c r="A670" s="7"/>
      <c r="B670" s="4"/>
      <c r="C670" s="6"/>
      <c r="D670" s="5" t="str">
        <f>IF(B670="","",IFERROR(INDEX(Articles!$E:$E,MATCH(B670,Articles!$B:$B,0)),""))</f>
        <v/>
      </c>
      <c r="E670" s="9" t="str">
        <f>IF(OR(C670="",D670=""),"",C670*D670)</f>
        <v/>
      </c>
      <c r="F670" s="4"/>
      <c r="G670" s="4"/>
      <c r="H670" s="9" t="str">
        <f>IF(OR(B670="",C670=""),"",C670*IFERROR(INDEX(Articles!$D:$D,MATCH(B670,Articles!$B:$B,0)),0))</f>
        <v/>
      </c>
      <c r="I670" s="9" t="str">
        <f>IF(OR(E670="",H670=""),"",E670-H670)</f>
        <v/>
      </c>
      <c r="J670" s="4"/>
    </row>
    <row r="671">
      <c r="A671" s="7"/>
      <c r="B671" s="4"/>
      <c r="C671" s="6"/>
      <c r="D671" s="5" t="str">
        <f>IF(B671="","",IFERROR(INDEX(Articles!$E:$E,MATCH(B671,Articles!$B:$B,0)),""))</f>
        <v/>
      </c>
      <c r="E671" s="9" t="str">
        <f>IF(OR(C671="",D671=""),"",C671*D671)</f>
        <v/>
      </c>
      <c r="F671" s="4"/>
      <c r="G671" s="4"/>
      <c r="H671" s="9" t="str">
        <f>IF(OR(B671="",C671=""),"",C671*IFERROR(INDEX(Articles!$D:$D,MATCH(B671,Articles!$B:$B,0)),0))</f>
        <v/>
      </c>
      <c r="I671" s="9" t="str">
        <f>IF(OR(E671="",H671=""),"",E671-H671)</f>
        <v/>
      </c>
      <c r="J671" s="4"/>
    </row>
    <row r="672">
      <c r="A672" s="7"/>
      <c r="B672" s="4"/>
      <c r="C672" s="6"/>
      <c r="D672" s="5" t="str">
        <f>IF(B672="","",IFERROR(INDEX(Articles!$E:$E,MATCH(B672,Articles!$B:$B,0)),""))</f>
        <v/>
      </c>
      <c r="E672" s="9" t="str">
        <f>IF(OR(C672="",D672=""),"",C672*D672)</f>
        <v/>
      </c>
      <c r="F672" s="4"/>
      <c r="G672" s="4"/>
      <c r="H672" s="9" t="str">
        <f>IF(OR(B672="",C672=""),"",C672*IFERROR(INDEX(Articles!$D:$D,MATCH(B672,Articles!$B:$B,0)),0))</f>
        <v/>
      </c>
      <c r="I672" s="9" t="str">
        <f>IF(OR(E672="",H672=""),"",E672-H672)</f>
        <v/>
      </c>
      <c r="J672" s="4"/>
    </row>
    <row r="673">
      <c r="A673" s="7"/>
      <c r="B673" s="4"/>
      <c r="C673" s="6"/>
      <c r="D673" s="5" t="str">
        <f>IF(B673="","",IFERROR(INDEX(Articles!$E:$E,MATCH(B673,Articles!$B:$B,0)),""))</f>
        <v/>
      </c>
      <c r="E673" s="9" t="str">
        <f>IF(OR(C673="",D673=""),"",C673*D673)</f>
        <v/>
      </c>
      <c r="F673" s="4"/>
      <c r="G673" s="4"/>
      <c r="H673" s="9" t="str">
        <f>IF(OR(B673="",C673=""),"",C673*IFERROR(INDEX(Articles!$D:$D,MATCH(B673,Articles!$B:$B,0)),0))</f>
        <v/>
      </c>
      <c r="I673" s="9" t="str">
        <f>IF(OR(E673="",H673=""),"",E673-H673)</f>
        <v/>
      </c>
      <c r="J673" s="4"/>
    </row>
    <row r="674">
      <c r="A674" s="7"/>
      <c r="B674" s="4"/>
      <c r="C674" s="6"/>
      <c r="D674" s="5" t="str">
        <f>IF(B674="","",IFERROR(INDEX(Articles!$E:$E,MATCH(B674,Articles!$B:$B,0)),""))</f>
        <v/>
      </c>
      <c r="E674" s="9" t="str">
        <f>IF(OR(C674="",D674=""),"",C674*D674)</f>
        <v/>
      </c>
      <c r="F674" s="4"/>
      <c r="G674" s="4"/>
      <c r="H674" s="9" t="str">
        <f>IF(OR(B674="",C674=""),"",C674*IFERROR(INDEX(Articles!$D:$D,MATCH(B674,Articles!$B:$B,0)),0))</f>
        <v/>
      </c>
      <c r="I674" s="9" t="str">
        <f>IF(OR(E674="",H674=""),"",E674-H674)</f>
        <v/>
      </c>
      <c r="J674" s="4"/>
    </row>
    <row r="675">
      <c r="A675" s="7"/>
      <c r="B675" s="4"/>
      <c r="C675" s="6"/>
      <c r="D675" s="5" t="str">
        <f>IF(B675="","",IFERROR(INDEX(Articles!$E:$E,MATCH(B675,Articles!$B:$B,0)),""))</f>
        <v/>
      </c>
      <c r="E675" s="9" t="str">
        <f>IF(OR(C675="",D675=""),"",C675*D675)</f>
        <v/>
      </c>
      <c r="F675" s="4"/>
      <c r="G675" s="4"/>
      <c r="H675" s="9" t="str">
        <f>IF(OR(B675="",C675=""),"",C675*IFERROR(INDEX(Articles!$D:$D,MATCH(B675,Articles!$B:$B,0)),0))</f>
        <v/>
      </c>
      <c r="I675" s="9" t="str">
        <f>IF(OR(E675="",H675=""),"",E675-H675)</f>
        <v/>
      </c>
      <c r="J675" s="4"/>
    </row>
    <row r="676">
      <c r="A676" s="7"/>
      <c r="B676" s="4"/>
      <c r="C676" s="6"/>
      <c r="D676" s="5" t="str">
        <f>IF(B676="","",IFERROR(INDEX(Articles!$E:$E,MATCH(B676,Articles!$B:$B,0)),""))</f>
        <v/>
      </c>
      <c r="E676" s="9" t="str">
        <f>IF(OR(C676="",D676=""),"",C676*D676)</f>
        <v/>
      </c>
      <c r="F676" s="4"/>
      <c r="G676" s="4"/>
      <c r="H676" s="9" t="str">
        <f>IF(OR(B676="",C676=""),"",C676*IFERROR(INDEX(Articles!$D:$D,MATCH(B676,Articles!$B:$B,0)),0))</f>
        <v/>
      </c>
      <c r="I676" s="9" t="str">
        <f>IF(OR(E676="",H676=""),"",E676-H676)</f>
        <v/>
      </c>
      <c r="J676" s="4"/>
    </row>
    <row r="677">
      <c r="A677" s="7"/>
      <c r="B677" s="4"/>
      <c r="C677" s="6"/>
      <c r="D677" s="5" t="str">
        <f>IF(B677="","",IFERROR(INDEX(Articles!$E:$E,MATCH(B677,Articles!$B:$B,0)),""))</f>
        <v/>
      </c>
      <c r="E677" s="9" t="str">
        <f>IF(OR(C677="",D677=""),"",C677*D677)</f>
        <v/>
      </c>
      <c r="F677" s="4"/>
      <c r="G677" s="4"/>
      <c r="H677" s="9" t="str">
        <f>IF(OR(B677="",C677=""),"",C677*IFERROR(INDEX(Articles!$D:$D,MATCH(B677,Articles!$B:$B,0)),0))</f>
        <v/>
      </c>
      <c r="I677" s="9" t="str">
        <f>IF(OR(E677="",H677=""),"",E677-H677)</f>
        <v/>
      </c>
      <c r="J677" s="4"/>
    </row>
    <row r="678">
      <c r="A678" s="7"/>
      <c r="B678" s="4"/>
      <c r="C678" s="6"/>
      <c r="D678" s="5" t="str">
        <f>IF(B678="","",IFERROR(INDEX(Articles!$E:$E,MATCH(B678,Articles!$B:$B,0)),""))</f>
        <v/>
      </c>
      <c r="E678" s="9" t="str">
        <f>IF(OR(C678="",D678=""),"",C678*D678)</f>
        <v/>
      </c>
      <c r="F678" s="4"/>
      <c r="G678" s="4"/>
      <c r="H678" s="9" t="str">
        <f>IF(OR(B678="",C678=""),"",C678*IFERROR(INDEX(Articles!$D:$D,MATCH(B678,Articles!$B:$B,0)),0))</f>
        <v/>
      </c>
      <c r="I678" s="9" t="str">
        <f>IF(OR(E678="",H678=""),"",E678-H678)</f>
        <v/>
      </c>
      <c r="J678" s="4"/>
    </row>
    <row r="679">
      <c r="A679" s="7"/>
      <c r="B679" s="4"/>
      <c r="C679" s="6"/>
      <c r="D679" s="5" t="str">
        <f>IF(B679="","",IFERROR(INDEX(Articles!$E:$E,MATCH(B679,Articles!$B:$B,0)),""))</f>
        <v/>
      </c>
      <c r="E679" s="9" t="str">
        <f>IF(OR(C679="",D679=""),"",C679*D679)</f>
        <v/>
      </c>
      <c r="F679" s="4"/>
      <c r="G679" s="4"/>
      <c r="H679" s="9" t="str">
        <f>IF(OR(B679="",C679=""),"",C679*IFERROR(INDEX(Articles!$D:$D,MATCH(B679,Articles!$B:$B,0)),0))</f>
        <v/>
      </c>
      <c r="I679" s="9" t="str">
        <f>IF(OR(E679="",H679=""),"",E679-H679)</f>
        <v/>
      </c>
      <c r="J679" s="4"/>
    </row>
    <row r="680">
      <c r="A680" s="7"/>
      <c r="B680" s="4"/>
      <c r="C680" s="6"/>
      <c r="D680" s="5" t="str">
        <f>IF(B680="","",IFERROR(INDEX(Articles!$E:$E,MATCH(B680,Articles!$B:$B,0)),""))</f>
        <v/>
      </c>
      <c r="E680" s="9" t="str">
        <f>IF(OR(C680="",D680=""),"",C680*D680)</f>
        <v/>
      </c>
      <c r="F680" s="4"/>
      <c r="G680" s="4"/>
      <c r="H680" s="9" t="str">
        <f>IF(OR(B680="",C680=""),"",C680*IFERROR(INDEX(Articles!$D:$D,MATCH(B680,Articles!$B:$B,0)),0))</f>
        <v/>
      </c>
      <c r="I680" s="9" t="str">
        <f>IF(OR(E680="",H680=""),"",E680-H680)</f>
        <v/>
      </c>
      <c r="J680" s="4"/>
    </row>
    <row r="681">
      <c r="A681" s="7"/>
      <c r="B681" s="4"/>
      <c r="C681" s="6"/>
      <c r="D681" s="5" t="str">
        <f>IF(B681="","",IFERROR(INDEX(Articles!$E:$E,MATCH(B681,Articles!$B:$B,0)),""))</f>
        <v/>
      </c>
      <c r="E681" s="9" t="str">
        <f>IF(OR(C681="",D681=""),"",C681*D681)</f>
        <v/>
      </c>
      <c r="F681" s="4"/>
      <c r="G681" s="4"/>
      <c r="H681" s="9" t="str">
        <f>IF(OR(B681="",C681=""),"",C681*IFERROR(INDEX(Articles!$D:$D,MATCH(B681,Articles!$B:$B,0)),0))</f>
        <v/>
      </c>
      <c r="I681" s="9" t="str">
        <f>IF(OR(E681="",H681=""),"",E681-H681)</f>
        <v/>
      </c>
      <c r="J681" s="4"/>
    </row>
    <row r="682">
      <c r="A682" s="7"/>
      <c r="B682" s="4"/>
      <c r="C682" s="6"/>
      <c r="D682" s="5" t="str">
        <f>IF(B682="","",IFERROR(INDEX(Articles!$E:$E,MATCH(B682,Articles!$B:$B,0)),""))</f>
        <v/>
      </c>
      <c r="E682" s="9" t="str">
        <f>IF(OR(C682="",D682=""),"",C682*D682)</f>
        <v/>
      </c>
      <c r="F682" s="4"/>
      <c r="G682" s="4"/>
      <c r="H682" s="9" t="str">
        <f>IF(OR(B682="",C682=""),"",C682*IFERROR(INDEX(Articles!$D:$D,MATCH(B682,Articles!$B:$B,0)),0))</f>
        <v/>
      </c>
      <c r="I682" s="9" t="str">
        <f>IF(OR(E682="",H682=""),"",E682-H682)</f>
        <v/>
      </c>
      <c r="J682" s="4"/>
    </row>
    <row r="683">
      <c r="A683" s="7"/>
      <c r="B683" s="4"/>
      <c r="C683" s="6"/>
      <c r="D683" s="5" t="str">
        <f>IF(B683="","",IFERROR(INDEX(Articles!$E:$E,MATCH(B683,Articles!$B:$B,0)),""))</f>
        <v/>
      </c>
      <c r="E683" s="9" t="str">
        <f>IF(OR(C683="",D683=""),"",C683*D683)</f>
        <v/>
      </c>
      <c r="F683" s="4"/>
      <c r="G683" s="4"/>
      <c r="H683" s="9" t="str">
        <f>IF(OR(B683="",C683=""),"",C683*IFERROR(INDEX(Articles!$D:$D,MATCH(B683,Articles!$B:$B,0)),0))</f>
        <v/>
      </c>
      <c r="I683" s="9" t="str">
        <f>IF(OR(E683="",H683=""),"",E683-H683)</f>
        <v/>
      </c>
      <c r="J683" s="4"/>
    </row>
    <row r="684">
      <c r="A684" s="7"/>
      <c r="B684" s="4"/>
      <c r="C684" s="6"/>
      <c r="D684" s="5" t="str">
        <f>IF(B684="","",IFERROR(INDEX(Articles!$E:$E,MATCH(B684,Articles!$B:$B,0)),""))</f>
        <v/>
      </c>
      <c r="E684" s="9" t="str">
        <f>IF(OR(C684="",D684=""),"",C684*D684)</f>
        <v/>
      </c>
      <c r="F684" s="4"/>
      <c r="G684" s="4"/>
      <c r="H684" s="9" t="str">
        <f>IF(OR(B684="",C684=""),"",C684*IFERROR(INDEX(Articles!$D:$D,MATCH(B684,Articles!$B:$B,0)),0))</f>
        <v/>
      </c>
      <c r="I684" s="9" t="str">
        <f>IF(OR(E684="",H684=""),"",E684-H684)</f>
        <v/>
      </c>
      <c r="J684" s="4"/>
    </row>
    <row r="685">
      <c r="A685" s="7"/>
      <c r="B685" s="4"/>
      <c r="C685" s="6"/>
      <c r="D685" s="5" t="str">
        <f>IF(B685="","",IFERROR(INDEX(Articles!$E:$E,MATCH(B685,Articles!$B:$B,0)),""))</f>
        <v/>
      </c>
      <c r="E685" s="9" t="str">
        <f>IF(OR(C685="",D685=""),"",C685*D685)</f>
        <v/>
      </c>
      <c r="F685" s="4"/>
      <c r="G685" s="4"/>
      <c r="H685" s="9" t="str">
        <f>IF(OR(B685="",C685=""),"",C685*IFERROR(INDEX(Articles!$D:$D,MATCH(B685,Articles!$B:$B,0)),0))</f>
        <v/>
      </c>
      <c r="I685" s="9" t="str">
        <f>IF(OR(E685="",H685=""),"",E685-H685)</f>
        <v/>
      </c>
      <c r="J685" s="4"/>
    </row>
    <row r="686">
      <c r="A686" s="7"/>
      <c r="B686" s="4"/>
      <c r="C686" s="6"/>
      <c r="D686" s="5" t="str">
        <f>IF(B686="","",IFERROR(INDEX(Articles!$E:$E,MATCH(B686,Articles!$B:$B,0)),""))</f>
        <v/>
      </c>
      <c r="E686" s="9" t="str">
        <f>IF(OR(C686="",D686=""),"",C686*D686)</f>
        <v/>
      </c>
      <c r="F686" s="4"/>
      <c r="G686" s="4"/>
      <c r="H686" s="9" t="str">
        <f>IF(OR(B686="",C686=""),"",C686*IFERROR(INDEX(Articles!$D:$D,MATCH(B686,Articles!$B:$B,0)),0))</f>
        <v/>
      </c>
      <c r="I686" s="9" t="str">
        <f>IF(OR(E686="",H686=""),"",E686-H686)</f>
        <v/>
      </c>
      <c r="J686" s="4"/>
    </row>
    <row r="687">
      <c r="A687" s="7"/>
      <c r="B687" s="4"/>
      <c r="C687" s="6"/>
      <c r="D687" s="5" t="str">
        <f>IF(B687="","",IFERROR(INDEX(Articles!$E:$E,MATCH(B687,Articles!$B:$B,0)),""))</f>
        <v/>
      </c>
      <c r="E687" s="9" t="str">
        <f>IF(OR(C687="",D687=""),"",C687*D687)</f>
        <v/>
      </c>
      <c r="F687" s="4"/>
      <c r="G687" s="4"/>
      <c r="H687" s="9" t="str">
        <f>IF(OR(B687="",C687=""),"",C687*IFERROR(INDEX(Articles!$D:$D,MATCH(B687,Articles!$B:$B,0)),0))</f>
        <v/>
      </c>
      <c r="I687" s="9" t="str">
        <f>IF(OR(E687="",H687=""),"",E687-H687)</f>
        <v/>
      </c>
      <c r="J687" s="4"/>
    </row>
    <row r="688">
      <c r="A688" s="7"/>
      <c r="B688" s="4"/>
      <c r="C688" s="6"/>
      <c r="D688" s="5" t="str">
        <f>IF(B688="","",IFERROR(INDEX(Articles!$E:$E,MATCH(B688,Articles!$B:$B,0)),""))</f>
        <v/>
      </c>
      <c r="E688" s="9" t="str">
        <f>IF(OR(C688="",D688=""),"",C688*D688)</f>
        <v/>
      </c>
      <c r="F688" s="4"/>
      <c r="G688" s="4"/>
      <c r="H688" s="9" t="str">
        <f>IF(OR(B688="",C688=""),"",C688*IFERROR(INDEX(Articles!$D:$D,MATCH(B688,Articles!$B:$B,0)),0))</f>
        <v/>
      </c>
      <c r="I688" s="9" t="str">
        <f>IF(OR(E688="",H688=""),"",E688-H688)</f>
        <v/>
      </c>
      <c r="J688" s="4"/>
    </row>
    <row r="689">
      <c r="A689" s="7"/>
      <c r="B689" s="4"/>
      <c r="C689" s="6"/>
      <c r="D689" s="5" t="str">
        <f>IF(B689="","",IFERROR(INDEX(Articles!$E:$E,MATCH(B689,Articles!$B:$B,0)),""))</f>
        <v/>
      </c>
      <c r="E689" s="9" t="str">
        <f>IF(OR(C689="",D689=""),"",C689*D689)</f>
        <v/>
      </c>
      <c r="F689" s="4"/>
      <c r="G689" s="4"/>
      <c r="H689" s="9" t="str">
        <f>IF(OR(B689="",C689=""),"",C689*IFERROR(INDEX(Articles!$D:$D,MATCH(B689,Articles!$B:$B,0)),0))</f>
        <v/>
      </c>
      <c r="I689" s="9" t="str">
        <f>IF(OR(E689="",H689=""),"",E689-H689)</f>
        <v/>
      </c>
      <c r="J689" s="4"/>
    </row>
    <row r="690">
      <c r="A690" s="7"/>
      <c r="B690" s="4"/>
      <c r="C690" s="6"/>
      <c r="D690" s="5" t="str">
        <f>IF(B690="","",IFERROR(INDEX(Articles!$E:$E,MATCH(B690,Articles!$B:$B,0)),""))</f>
        <v/>
      </c>
      <c r="E690" s="9" t="str">
        <f>IF(OR(C690="",D690=""),"",C690*D690)</f>
        <v/>
      </c>
      <c r="F690" s="4"/>
      <c r="G690" s="4"/>
      <c r="H690" s="9" t="str">
        <f>IF(OR(B690="",C690=""),"",C690*IFERROR(INDEX(Articles!$D:$D,MATCH(B690,Articles!$B:$B,0)),0))</f>
        <v/>
      </c>
      <c r="I690" s="9" t="str">
        <f>IF(OR(E690="",H690=""),"",E690-H690)</f>
        <v/>
      </c>
      <c r="J690" s="4"/>
    </row>
    <row r="691">
      <c r="A691" s="7"/>
      <c r="B691" s="4"/>
      <c r="C691" s="6"/>
      <c r="D691" s="5" t="str">
        <f>IF(B691="","",IFERROR(INDEX(Articles!$E:$E,MATCH(B691,Articles!$B:$B,0)),""))</f>
        <v/>
      </c>
      <c r="E691" s="9" t="str">
        <f>IF(OR(C691="",D691=""),"",C691*D691)</f>
        <v/>
      </c>
      <c r="F691" s="4"/>
      <c r="G691" s="4"/>
      <c r="H691" s="9" t="str">
        <f>IF(OR(B691="",C691=""),"",C691*IFERROR(INDEX(Articles!$D:$D,MATCH(B691,Articles!$B:$B,0)),0))</f>
        <v/>
      </c>
      <c r="I691" s="9" t="str">
        <f>IF(OR(E691="",H691=""),"",E691-H691)</f>
        <v/>
      </c>
      <c r="J691" s="4"/>
    </row>
    <row r="692">
      <c r="A692" s="7"/>
      <c r="B692" s="4"/>
      <c r="C692" s="6"/>
      <c r="D692" s="5" t="str">
        <f>IF(B692="","",IFERROR(INDEX(Articles!$E:$E,MATCH(B692,Articles!$B:$B,0)),""))</f>
        <v/>
      </c>
      <c r="E692" s="9" t="str">
        <f>IF(OR(C692="",D692=""),"",C692*D692)</f>
        <v/>
      </c>
      <c r="F692" s="4"/>
      <c r="G692" s="4"/>
      <c r="H692" s="9" t="str">
        <f>IF(OR(B692="",C692=""),"",C692*IFERROR(INDEX(Articles!$D:$D,MATCH(B692,Articles!$B:$B,0)),0))</f>
        <v/>
      </c>
      <c r="I692" s="9" t="str">
        <f>IF(OR(E692="",H692=""),"",E692-H692)</f>
        <v/>
      </c>
      <c r="J692" s="4"/>
    </row>
    <row r="693">
      <c r="A693" s="7"/>
      <c r="B693" s="4"/>
      <c r="C693" s="6"/>
      <c r="D693" s="5" t="str">
        <f>IF(B693="","",IFERROR(INDEX(Articles!$E:$E,MATCH(B693,Articles!$B:$B,0)),""))</f>
        <v/>
      </c>
      <c r="E693" s="9" t="str">
        <f>IF(OR(C693="",D693=""),"",C693*D693)</f>
        <v/>
      </c>
      <c r="F693" s="4"/>
      <c r="G693" s="4"/>
      <c r="H693" s="9" t="str">
        <f>IF(OR(B693="",C693=""),"",C693*IFERROR(INDEX(Articles!$D:$D,MATCH(B693,Articles!$B:$B,0)),0))</f>
        <v/>
      </c>
      <c r="I693" s="9" t="str">
        <f>IF(OR(E693="",H693=""),"",E693-H693)</f>
        <v/>
      </c>
      <c r="J693" s="4"/>
    </row>
    <row r="694">
      <c r="A694" s="7"/>
      <c r="B694" s="4"/>
      <c r="C694" s="6"/>
      <c r="D694" s="5" t="str">
        <f>IF(B694="","",IFERROR(INDEX(Articles!$E:$E,MATCH(B694,Articles!$B:$B,0)),""))</f>
        <v/>
      </c>
      <c r="E694" s="9" t="str">
        <f>IF(OR(C694="",D694=""),"",C694*D694)</f>
        <v/>
      </c>
      <c r="F694" s="4"/>
      <c r="G694" s="4"/>
      <c r="H694" s="9" t="str">
        <f>IF(OR(B694="",C694=""),"",C694*IFERROR(INDEX(Articles!$D:$D,MATCH(B694,Articles!$B:$B,0)),0))</f>
        <v/>
      </c>
      <c r="I694" s="9" t="str">
        <f>IF(OR(E694="",H694=""),"",E694-H694)</f>
        <v/>
      </c>
      <c r="J694" s="4"/>
    </row>
    <row r="695">
      <c r="A695" s="7"/>
      <c r="B695" s="4"/>
      <c r="C695" s="6"/>
      <c r="D695" s="5" t="str">
        <f>IF(B695="","",IFERROR(INDEX(Articles!$E:$E,MATCH(B695,Articles!$B:$B,0)),""))</f>
        <v/>
      </c>
      <c r="E695" s="9" t="str">
        <f>IF(OR(C695="",D695=""),"",C695*D695)</f>
        <v/>
      </c>
      <c r="F695" s="4"/>
      <c r="G695" s="4"/>
      <c r="H695" s="9" t="str">
        <f>IF(OR(B695="",C695=""),"",C695*IFERROR(INDEX(Articles!$D:$D,MATCH(B695,Articles!$B:$B,0)),0))</f>
        <v/>
      </c>
      <c r="I695" s="9" t="str">
        <f>IF(OR(E695="",H695=""),"",E695-H695)</f>
        <v/>
      </c>
      <c r="J695" s="4"/>
    </row>
    <row r="696">
      <c r="A696" s="7"/>
      <c r="B696" s="4"/>
      <c r="C696" s="6"/>
      <c r="D696" s="5" t="str">
        <f>IF(B696="","",IFERROR(INDEX(Articles!$E:$E,MATCH(B696,Articles!$B:$B,0)),""))</f>
        <v/>
      </c>
      <c r="E696" s="9" t="str">
        <f>IF(OR(C696="",D696=""),"",C696*D696)</f>
        <v/>
      </c>
      <c r="F696" s="4"/>
      <c r="G696" s="4"/>
      <c r="H696" s="9" t="str">
        <f>IF(OR(B696="",C696=""),"",C696*IFERROR(INDEX(Articles!$D:$D,MATCH(B696,Articles!$B:$B,0)),0))</f>
        <v/>
      </c>
      <c r="I696" s="9" t="str">
        <f>IF(OR(E696="",H696=""),"",E696-H696)</f>
        <v/>
      </c>
      <c r="J696" s="4"/>
    </row>
    <row r="697">
      <c r="A697" s="7"/>
      <c r="B697" s="4"/>
      <c r="C697" s="6"/>
      <c r="D697" s="5" t="str">
        <f>IF(B697="","",IFERROR(INDEX(Articles!$E:$E,MATCH(B697,Articles!$B:$B,0)),""))</f>
        <v/>
      </c>
      <c r="E697" s="9" t="str">
        <f>IF(OR(C697="",D697=""),"",C697*D697)</f>
        <v/>
      </c>
      <c r="F697" s="4"/>
      <c r="G697" s="4"/>
      <c r="H697" s="9" t="str">
        <f>IF(OR(B697="",C697=""),"",C697*IFERROR(INDEX(Articles!$D:$D,MATCH(B697,Articles!$B:$B,0)),0))</f>
        <v/>
      </c>
      <c r="I697" s="9" t="str">
        <f>IF(OR(E697="",H697=""),"",E697-H697)</f>
        <v/>
      </c>
      <c r="J697" s="4"/>
    </row>
    <row r="698">
      <c r="A698" s="7"/>
      <c r="B698" s="4"/>
      <c r="C698" s="6"/>
      <c r="D698" s="5" t="str">
        <f>IF(B698="","",IFERROR(INDEX(Articles!$E:$E,MATCH(B698,Articles!$B:$B,0)),""))</f>
        <v/>
      </c>
      <c r="E698" s="9" t="str">
        <f>IF(OR(C698="",D698=""),"",C698*D698)</f>
        <v/>
      </c>
      <c r="F698" s="4"/>
      <c r="G698" s="4"/>
      <c r="H698" s="9" t="str">
        <f>IF(OR(B698="",C698=""),"",C698*IFERROR(INDEX(Articles!$D:$D,MATCH(B698,Articles!$B:$B,0)),0))</f>
        <v/>
      </c>
      <c r="I698" s="9" t="str">
        <f>IF(OR(E698="",H698=""),"",E698-H698)</f>
        <v/>
      </c>
      <c r="J698" s="4"/>
    </row>
    <row r="699">
      <c r="A699" s="7"/>
      <c r="B699" s="4"/>
      <c r="C699" s="6"/>
      <c r="D699" s="5" t="str">
        <f>IF(B699="","",IFERROR(INDEX(Articles!$E:$E,MATCH(B699,Articles!$B:$B,0)),""))</f>
        <v/>
      </c>
      <c r="E699" s="9" t="str">
        <f>IF(OR(C699="",D699=""),"",C699*D699)</f>
        <v/>
      </c>
      <c r="F699" s="4"/>
      <c r="G699" s="4"/>
      <c r="H699" s="9" t="str">
        <f>IF(OR(B699="",C699=""),"",C699*IFERROR(INDEX(Articles!$D:$D,MATCH(B699,Articles!$B:$B,0)),0))</f>
        <v/>
      </c>
      <c r="I699" s="9" t="str">
        <f>IF(OR(E699="",H699=""),"",E699-H699)</f>
        <v/>
      </c>
      <c r="J699" s="4"/>
    </row>
    <row r="700">
      <c r="A700" s="7"/>
      <c r="B700" s="4"/>
      <c r="C700" s="6"/>
      <c r="D700" s="5" t="str">
        <f>IF(B700="","",IFERROR(INDEX(Articles!$E:$E,MATCH(B700,Articles!$B:$B,0)),""))</f>
        <v/>
      </c>
      <c r="E700" s="9" t="str">
        <f>IF(OR(C700="",D700=""),"",C700*D700)</f>
        <v/>
      </c>
      <c r="F700" s="4"/>
      <c r="G700" s="4"/>
      <c r="H700" s="9" t="str">
        <f>IF(OR(B700="",C700=""),"",C700*IFERROR(INDEX(Articles!$D:$D,MATCH(B700,Articles!$B:$B,0)),0))</f>
        <v/>
      </c>
      <c r="I700" s="9" t="str">
        <f>IF(OR(E700="",H700=""),"",E700-H700)</f>
        <v/>
      </c>
      <c r="J700" s="4"/>
    </row>
    <row r="701">
      <c r="A701" s="7"/>
      <c r="B701" s="4"/>
      <c r="C701" s="6"/>
      <c r="D701" s="5" t="str">
        <f>IF(B701="","",IFERROR(INDEX(Articles!$E:$E,MATCH(B701,Articles!$B:$B,0)),""))</f>
        <v/>
      </c>
      <c r="E701" s="9" t="str">
        <f>IF(OR(C701="",D701=""),"",C701*D701)</f>
        <v/>
      </c>
      <c r="F701" s="4"/>
      <c r="G701" s="4"/>
      <c r="H701" s="9" t="str">
        <f>IF(OR(B701="",C701=""),"",C701*IFERROR(INDEX(Articles!$D:$D,MATCH(B701,Articles!$B:$B,0)),0))</f>
        <v/>
      </c>
      <c r="I701" s="9" t="str">
        <f>IF(OR(E701="",H701=""),"",E701-H701)</f>
        <v/>
      </c>
      <c r="J701" s="4"/>
    </row>
    <row r="702">
      <c r="A702" s="7"/>
      <c r="B702" s="4"/>
      <c r="C702" s="6"/>
      <c r="D702" s="5" t="str">
        <f>IF(B702="","",IFERROR(INDEX(Articles!$E:$E,MATCH(B702,Articles!$B:$B,0)),""))</f>
        <v/>
      </c>
      <c r="E702" s="9" t="str">
        <f>IF(OR(C702="",D702=""),"",C702*D702)</f>
        <v/>
      </c>
      <c r="F702" s="4"/>
      <c r="G702" s="4"/>
      <c r="H702" s="9" t="str">
        <f>IF(OR(B702="",C702=""),"",C702*IFERROR(INDEX(Articles!$D:$D,MATCH(B702,Articles!$B:$B,0)),0))</f>
        <v/>
      </c>
      <c r="I702" s="9" t="str">
        <f>IF(OR(E702="",H702=""),"",E702-H702)</f>
        <v/>
      </c>
      <c r="J702" s="4"/>
    </row>
    <row r="703">
      <c r="A703" s="7"/>
      <c r="B703" s="4"/>
      <c r="C703" s="6"/>
      <c r="D703" s="5" t="str">
        <f>IF(B703="","",IFERROR(INDEX(Articles!$E:$E,MATCH(B703,Articles!$B:$B,0)),""))</f>
        <v/>
      </c>
      <c r="E703" s="9" t="str">
        <f>IF(OR(C703="",D703=""),"",C703*D703)</f>
        <v/>
      </c>
      <c r="F703" s="4"/>
      <c r="G703" s="4"/>
      <c r="H703" s="9" t="str">
        <f>IF(OR(B703="",C703=""),"",C703*IFERROR(INDEX(Articles!$D:$D,MATCH(B703,Articles!$B:$B,0)),0))</f>
        <v/>
      </c>
      <c r="I703" s="9" t="str">
        <f>IF(OR(E703="",H703=""),"",E703-H703)</f>
        <v/>
      </c>
      <c r="J703" s="4"/>
    </row>
    <row r="704">
      <c r="A704" s="7"/>
      <c r="B704" s="4"/>
      <c r="C704" s="6"/>
      <c r="D704" s="5" t="str">
        <f>IF(B704="","",IFERROR(INDEX(Articles!$E:$E,MATCH(B704,Articles!$B:$B,0)),""))</f>
        <v/>
      </c>
      <c r="E704" s="9" t="str">
        <f>IF(OR(C704="",D704=""),"",C704*D704)</f>
        <v/>
      </c>
      <c r="F704" s="4"/>
      <c r="G704" s="4"/>
      <c r="H704" s="9" t="str">
        <f>IF(OR(B704="",C704=""),"",C704*IFERROR(INDEX(Articles!$D:$D,MATCH(B704,Articles!$B:$B,0)),0))</f>
        <v/>
      </c>
      <c r="I704" s="9" t="str">
        <f>IF(OR(E704="",H704=""),"",E704-H704)</f>
        <v/>
      </c>
      <c r="J704" s="4"/>
    </row>
    <row r="705">
      <c r="A705" s="7"/>
      <c r="B705" s="4"/>
      <c r="C705" s="6"/>
      <c r="D705" s="5" t="str">
        <f>IF(B705="","",IFERROR(INDEX(Articles!$E:$E,MATCH(B705,Articles!$B:$B,0)),""))</f>
        <v/>
      </c>
      <c r="E705" s="9" t="str">
        <f>IF(OR(C705="",D705=""),"",C705*D705)</f>
        <v/>
      </c>
      <c r="F705" s="4"/>
      <c r="G705" s="4"/>
      <c r="H705" s="9" t="str">
        <f>IF(OR(B705="",C705=""),"",C705*IFERROR(INDEX(Articles!$D:$D,MATCH(B705,Articles!$B:$B,0)),0))</f>
        <v/>
      </c>
      <c r="I705" s="9" t="str">
        <f>IF(OR(E705="",H705=""),"",E705-H705)</f>
        <v/>
      </c>
      <c r="J705" s="4"/>
    </row>
    <row r="706">
      <c r="A706" s="7"/>
      <c r="B706" s="4"/>
      <c r="C706" s="6"/>
      <c r="D706" s="5" t="str">
        <f>IF(B706="","",IFERROR(INDEX(Articles!$E:$E,MATCH(B706,Articles!$B:$B,0)),""))</f>
        <v/>
      </c>
      <c r="E706" s="9" t="str">
        <f>IF(OR(C706="",D706=""),"",C706*D706)</f>
        <v/>
      </c>
      <c r="F706" s="4"/>
      <c r="G706" s="4"/>
      <c r="H706" s="9" t="str">
        <f>IF(OR(B706="",C706=""),"",C706*IFERROR(INDEX(Articles!$D:$D,MATCH(B706,Articles!$B:$B,0)),0))</f>
        <v/>
      </c>
      <c r="I706" s="9" t="str">
        <f>IF(OR(E706="",H706=""),"",E706-H706)</f>
        <v/>
      </c>
      <c r="J706" s="4"/>
    </row>
    <row r="707">
      <c r="A707" s="7"/>
      <c r="B707" s="4"/>
      <c r="C707" s="6"/>
      <c r="D707" s="5" t="str">
        <f>IF(B707="","",IFERROR(INDEX(Articles!$E:$E,MATCH(B707,Articles!$B:$B,0)),""))</f>
        <v/>
      </c>
      <c r="E707" s="9" t="str">
        <f>IF(OR(C707="",D707=""),"",C707*D707)</f>
        <v/>
      </c>
      <c r="F707" s="4"/>
      <c r="G707" s="4"/>
      <c r="H707" s="9" t="str">
        <f>IF(OR(B707="",C707=""),"",C707*IFERROR(INDEX(Articles!$D:$D,MATCH(B707,Articles!$B:$B,0)),0))</f>
        <v/>
      </c>
      <c r="I707" s="9" t="str">
        <f>IF(OR(E707="",H707=""),"",E707-H707)</f>
        <v/>
      </c>
      <c r="J707" s="4"/>
    </row>
    <row r="708">
      <c r="A708" s="7"/>
      <c r="B708" s="4"/>
      <c r="C708" s="6"/>
      <c r="D708" s="5" t="str">
        <f>IF(B708="","",IFERROR(INDEX(Articles!$E:$E,MATCH(B708,Articles!$B:$B,0)),""))</f>
        <v/>
      </c>
      <c r="E708" s="9" t="str">
        <f>IF(OR(C708="",D708=""),"",C708*D708)</f>
        <v/>
      </c>
      <c r="F708" s="4"/>
      <c r="G708" s="4"/>
      <c r="H708" s="9" t="str">
        <f>IF(OR(B708="",C708=""),"",C708*IFERROR(INDEX(Articles!$D:$D,MATCH(B708,Articles!$B:$B,0)),0))</f>
        <v/>
      </c>
      <c r="I708" s="9" t="str">
        <f>IF(OR(E708="",H708=""),"",E708-H708)</f>
        <v/>
      </c>
      <c r="J708" s="4"/>
    </row>
    <row r="709">
      <c r="A709" s="7"/>
      <c r="B709" s="4"/>
      <c r="C709" s="6"/>
      <c r="D709" s="5" t="str">
        <f>IF(B709="","",IFERROR(INDEX(Articles!$E:$E,MATCH(B709,Articles!$B:$B,0)),""))</f>
        <v/>
      </c>
      <c r="E709" s="9" t="str">
        <f>IF(OR(C709="",D709=""),"",C709*D709)</f>
        <v/>
      </c>
      <c r="F709" s="4"/>
      <c r="G709" s="4"/>
      <c r="H709" s="9" t="str">
        <f>IF(OR(B709="",C709=""),"",C709*IFERROR(INDEX(Articles!$D:$D,MATCH(B709,Articles!$B:$B,0)),0))</f>
        <v/>
      </c>
      <c r="I709" s="9" t="str">
        <f>IF(OR(E709="",H709=""),"",E709-H709)</f>
        <v/>
      </c>
      <c r="J709" s="4"/>
    </row>
    <row r="710">
      <c r="A710" s="7"/>
      <c r="B710" s="4"/>
      <c r="C710" s="6"/>
      <c r="D710" s="5" t="str">
        <f>IF(B710="","",IFERROR(INDEX(Articles!$E:$E,MATCH(B710,Articles!$B:$B,0)),""))</f>
        <v/>
      </c>
      <c r="E710" s="9" t="str">
        <f>IF(OR(C710="",D710=""),"",C710*D710)</f>
        <v/>
      </c>
      <c r="F710" s="4"/>
      <c r="G710" s="4"/>
      <c r="H710" s="9" t="str">
        <f>IF(OR(B710="",C710=""),"",C710*IFERROR(INDEX(Articles!$D:$D,MATCH(B710,Articles!$B:$B,0)),0))</f>
        <v/>
      </c>
      <c r="I710" s="9" t="str">
        <f>IF(OR(E710="",H710=""),"",E710-H710)</f>
        <v/>
      </c>
      <c r="J710" s="4"/>
    </row>
    <row r="711">
      <c r="A711" s="7"/>
      <c r="B711" s="4"/>
      <c r="C711" s="6"/>
      <c r="D711" s="5" t="str">
        <f>IF(B711="","",IFERROR(INDEX(Articles!$E:$E,MATCH(B711,Articles!$B:$B,0)),""))</f>
        <v/>
      </c>
      <c r="E711" s="9" t="str">
        <f>IF(OR(C711="",D711=""),"",C711*D711)</f>
        <v/>
      </c>
      <c r="F711" s="4"/>
      <c r="G711" s="4"/>
      <c r="H711" s="9" t="str">
        <f>IF(OR(B711="",C711=""),"",C711*IFERROR(INDEX(Articles!$D:$D,MATCH(B711,Articles!$B:$B,0)),0))</f>
        <v/>
      </c>
      <c r="I711" s="9" t="str">
        <f>IF(OR(E711="",H711=""),"",E711-H711)</f>
        <v/>
      </c>
      <c r="J711" s="4"/>
    </row>
    <row r="712">
      <c r="A712" s="7"/>
      <c r="B712" s="4"/>
      <c r="C712" s="6"/>
      <c r="D712" s="5" t="str">
        <f>IF(B712="","",IFERROR(INDEX(Articles!$E:$E,MATCH(B712,Articles!$B:$B,0)),""))</f>
        <v/>
      </c>
      <c r="E712" s="9" t="str">
        <f>IF(OR(C712="",D712=""),"",C712*D712)</f>
        <v/>
      </c>
      <c r="F712" s="4"/>
      <c r="G712" s="4"/>
      <c r="H712" s="9" t="str">
        <f>IF(OR(B712="",C712=""),"",C712*IFERROR(INDEX(Articles!$D:$D,MATCH(B712,Articles!$B:$B,0)),0))</f>
        <v/>
      </c>
      <c r="I712" s="9" t="str">
        <f>IF(OR(E712="",H712=""),"",E712-H712)</f>
        <v/>
      </c>
      <c r="J712" s="4"/>
    </row>
    <row r="713">
      <c r="A713" s="7"/>
      <c r="B713" s="4"/>
      <c r="C713" s="6"/>
      <c r="D713" s="5" t="str">
        <f>IF(B713="","",IFERROR(INDEX(Articles!$E:$E,MATCH(B713,Articles!$B:$B,0)),""))</f>
        <v/>
      </c>
      <c r="E713" s="9" t="str">
        <f>IF(OR(C713="",D713=""),"",C713*D713)</f>
        <v/>
      </c>
      <c r="F713" s="4"/>
      <c r="G713" s="4"/>
      <c r="H713" s="9" t="str">
        <f>IF(OR(B713="",C713=""),"",C713*IFERROR(INDEX(Articles!$D:$D,MATCH(B713,Articles!$B:$B,0)),0))</f>
        <v/>
      </c>
      <c r="I713" s="9" t="str">
        <f>IF(OR(E713="",H713=""),"",E713-H713)</f>
        <v/>
      </c>
      <c r="J713" s="4"/>
    </row>
    <row r="714">
      <c r="A714" s="7"/>
      <c r="B714" s="4"/>
      <c r="C714" s="6"/>
      <c r="D714" s="5" t="str">
        <f>IF(B714="","",IFERROR(INDEX(Articles!$E:$E,MATCH(B714,Articles!$B:$B,0)),""))</f>
        <v/>
      </c>
      <c r="E714" s="9" t="str">
        <f>IF(OR(C714="",D714=""),"",C714*D714)</f>
        <v/>
      </c>
      <c r="F714" s="4"/>
      <c r="G714" s="4"/>
      <c r="H714" s="9" t="str">
        <f>IF(OR(B714="",C714=""),"",C714*IFERROR(INDEX(Articles!$D:$D,MATCH(B714,Articles!$B:$B,0)),0))</f>
        <v/>
      </c>
      <c r="I714" s="9" t="str">
        <f>IF(OR(E714="",H714=""),"",E714-H714)</f>
        <v/>
      </c>
      <c r="J714" s="4"/>
    </row>
    <row r="715">
      <c r="A715" s="7"/>
      <c r="B715" s="4"/>
      <c r="C715" s="6"/>
      <c r="D715" s="5" t="str">
        <f>IF(B715="","",IFERROR(INDEX(Articles!$E:$E,MATCH(B715,Articles!$B:$B,0)),""))</f>
        <v/>
      </c>
      <c r="E715" s="9" t="str">
        <f>IF(OR(C715="",D715=""),"",C715*D715)</f>
        <v/>
      </c>
      <c r="F715" s="4"/>
      <c r="G715" s="4"/>
      <c r="H715" s="9" t="str">
        <f>IF(OR(B715="",C715=""),"",C715*IFERROR(INDEX(Articles!$D:$D,MATCH(B715,Articles!$B:$B,0)),0))</f>
        <v/>
      </c>
      <c r="I715" s="9" t="str">
        <f>IF(OR(E715="",H715=""),"",E715-H715)</f>
        <v/>
      </c>
      <c r="J715" s="4"/>
    </row>
    <row r="716">
      <c r="A716" s="7"/>
      <c r="B716" s="4"/>
      <c r="C716" s="6"/>
      <c r="D716" s="5" t="str">
        <f>IF(B716="","",IFERROR(INDEX(Articles!$E:$E,MATCH(B716,Articles!$B:$B,0)),""))</f>
        <v/>
      </c>
      <c r="E716" s="9" t="str">
        <f>IF(OR(C716="",D716=""),"",C716*D716)</f>
        <v/>
      </c>
      <c r="F716" s="4"/>
      <c r="G716" s="4"/>
      <c r="H716" s="9" t="str">
        <f>IF(OR(B716="",C716=""),"",C716*IFERROR(INDEX(Articles!$D:$D,MATCH(B716,Articles!$B:$B,0)),0))</f>
        <v/>
      </c>
      <c r="I716" s="9" t="str">
        <f>IF(OR(E716="",H716=""),"",E716-H716)</f>
        <v/>
      </c>
      <c r="J716" s="4"/>
    </row>
    <row r="717">
      <c r="A717" s="7"/>
      <c r="B717" s="4"/>
      <c r="C717" s="6"/>
      <c r="D717" s="5" t="str">
        <f>IF(B717="","",IFERROR(INDEX(Articles!$E:$E,MATCH(B717,Articles!$B:$B,0)),""))</f>
        <v/>
      </c>
      <c r="E717" s="9" t="str">
        <f>IF(OR(C717="",D717=""),"",C717*D717)</f>
        <v/>
      </c>
      <c r="F717" s="4"/>
      <c r="G717" s="4"/>
      <c r="H717" s="9" t="str">
        <f>IF(OR(B717="",C717=""),"",C717*IFERROR(INDEX(Articles!$D:$D,MATCH(B717,Articles!$B:$B,0)),0))</f>
        <v/>
      </c>
      <c r="I717" s="9" t="str">
        <f>IF(OR(E717="",H717=""),"",E717-H717)</f>
        <v/>
      </c>
      <c r="J717" s="4"/>
    </row>
    <row r="718">
      <c r="A718" s="7"/>
      <c r="B718" s="4"/>
      <c r="C718" s="6"/>
      <c r="D718" s="5" t="str">
        <f>IF(B718="","",IFERROR(INDEX(Articles!$E:$E,MATCH(B718,Articles!$B:$B,0)),""))</f>
        <v/>
      </c>
      <c r="E718" s="9" t="str">
        <f>IF(OR(C718="",D718=""),"",C718*D718)</f>
        <v/>
      </c>
      <c r="F718" s="4"/>
      <c r="G718" s="4"/>
      <c r="H718" s="9" t="str">
        <f>IF(OR(B718="",C718=""),"",C718*IFERROR(INDEX(Articles!$D:$D,MATCH(B718,Articles!$B:$B,0)),0))</f>
        <v/>
      </c>
      <c r="I718" s="9" t="str">
        <f>IF(OR(E718="",H718=""),"",E718-H718)</f>
        <v/>
      </c>
      <c r="J718" s="4"/>
    </row>
    <row r="719">
      <c r="A719" s="7"/>
      <c r="B719" s="4"/>
      <c r="C719" s="6"/>
      <c r="D719" s="5" t="str">
        <f>IF(B719="","",IFERROR(INDEX(Articles!$E:$E,MATCH(B719,Articles!$B:$B,0)),""))</f>
        <v/>
      </c>
      <c r="E719" s="9" t="str">
        <f>IF(OR(C719="",D719=""),"",C719*D719)</f>
        <v/>
      </c>
      <c r="F719" s="4"/>
      <c r="G719" s="4"/>
      <c r="H719" s="9" t="str">
        <f>IF(OR(B719="",C719=""),"",C719*IFERROR(INDEX(Articles!$D:$D,MATCH(B719,Articles!$B:$B,0)),0))</f>
        <v/>
      </c>
      <c r="I719" s="9" t="str">
        <f>IF(OR(E719="",H719=""),"",E719-H719)</f>
        <v/>
      </c>
      <c r="J719" s="4"/>
    </row>
    <row r="720">
      <c r="A720" s="7"/>
      <c r="B720" s="4"/>
      <c r="C720" s="6"/>
      <c r="D720" s="5" t="str">
        <f>IF(B720="","",IFERROR(INDEX(Articles!$E:$E,MATCH(B720,Articles!$B:$B,0)),""))</f>
        <v/>
      </c>
      <c r="E720" s="9" t="str">
        <f>IF(OR(C720="",D720=""),"",C720*D720)</f>
        <v/>
      </c>
      <c r="F720" s="4"/>
      <c r="G720" s="4"/>
      <c r="H720" s="9" t="str">
        <f>IF(OR(B720="",C720=""),"",C720*IFERROR(INDEX(Articles!$D:$D,MATCH(B720,Articles!$B:$B,0)),0))</f>
        <v/>
      </c>
      <c r="I720" s="9" t="str">
        <f>IF(OR(E720="",H720=""),"",E720-H720)</f>
        <v/>
      </c>
      <c r="J720" s="4"/>
    </row>
    <row r="721">
      <c r="A721" s="7"/>
      <c r="B721" s="4"/>
      <c r="C721" s="6"/>
      <c r="D721" s="5" t="str">
        <f>IF(B721="","",IFERROR(INDEX(Articles!$E:$E,MATCH(B721,Articles!$B:$B,0)),""))</f>
        <v/>
      </c>
      <c r="E721" s="9" t="str">
        <f>IF(OR(C721="",D721=""),"",C721*D721)</f>
        <v/>
      </c>
      <c r="F721" s="4"/>
      <c r="G721" s="4"/>
      <c r="H721" s="9" t="str">
        <f>IF(OR(B721="",C721=""),"",C721*IFERROR(INDEX(Articles!$D:$D,MATCH(B721,Articles!$B:$B,0)),0))</f>
        <v/>
      </c>
      <c r="I721" s="9" t="str">
        <f>IF(OR(E721="",H721=""),"",E721-H721)</f>
        <v/>
      </c>
      <c r="J721" s="4"/>
    </row>
    <row r="722">
      <c r="A722" s="7"/>
      <c r="B722" s="4"/>
      <c r="C722" s="6"/>
      <c r="D722" s="5" t="str">
        <f>IF(B722="","",IFERROR(INDEX(Articles!$E:$E,MATCH(B722,Articles!$B:$B,0)),""))</f>
        <v/>
      </c>
      <c r="E722" s="9" t="str">
        <f>IF(OR(C722="",D722=""),"",C722*D722)</f>
        <v/>
      </c>
      <c r="F722" s="4"/>
      <c r="G722" s="4"/>
      <c r="H722" s="9" t="str">
        <f>IF(OR(B722="",C722=""),"",C722*IFERROR(INDEX(Articles!$D:$D,MATCH(B722,Articles!$B:$B,0)),0))</f>
        <v/>
      </c>
      <c r="I722" s="9" t="str">
        <f>IF(OR(E722="",H722=""),"",E722-H722)</f>
        <v/>
      </c>
      <c r="J722" s="4"/>
    </row>
    <row r="723">
      <c r="A723" s="7"/>
      <c r="B723" s="4"/>
      <c r="C723" s="6"/>
      <c r="D723" s="5" t="str">
        <f>IF(B723="","",IFERROR(INDEX(Articles!$E:$E,MATCH(B723,Articles!$B:$B,0)),""))</f>
        <v/>
      </c>
      <c r="E723" s="9" t="str">
        <f>IF(OR(C723="",D723=""),"",C723*D723)</f>
        <v/>
      </c>
      <c r="F723" s="4"/>
      <c r="G723" s="4"/>
      <c r="H723" s="9" t="str">
        <f>IF(OR(B723="",C723=""),"",C723*IFERROR(INDEX(Articles!$D:$D,MATCH(B723,Articles!$B:$B,0)),0))</f>
        <v/>
      </c>
      <c r="I723" s="9" t="str">
        <f>IF(OR(E723="",H723=""),"",E723-H723)</f>
        <v/>
      </c>
      <c r="J723" s="4"/>
    </row>
    <row r="724">
      <c r="A724" s="7"/>
      <c r="B724" s="4"/>
      <c r="C724" s="6"/>
      <c r="D724" s="5" t="str">
        <f>IF(B724="","",IFERROR(INDEX(Articles!$E:$E,MATCH(B724,Articles!$B:$B,0)),""))</f>
        <v/>
      </c>
      <c r="E724" s="9" t="str">
        <f>IF(OR(C724="",D724=""),"",C724*D724)</f>
        <v/>
      </c>
      <c r="F724" s="4"/>
      <c r="G724" s="4"/>
      <c r="H724" s="9" t="str">
        <f>IF(OR(B724="",C724=""),"",C724*IFERROR(INDEX(Articles!$D:$D,MATCH(B724,Articles!$B:$B,0)),0))</f>
        <v/>
      </c>
      <c r="I724" s="9" t="str">
        <f>IF(OR(E724="",H724=""),"",E724-H724)</f>
        <v/>
      </c>
      <c r="J724" s="4"/>
    </row>
    <row r="725">
      <c r="A725" s="7"/>
      <c r="B725" s="4"/>
      <c r="C725" s="6"/>
      <c r="D725" s="5" t="str">
        <f>IF(B725="","",IFERROR(INDEX(Articles!$E:$E,MATCH(B725,Articles!$B:$B,0)),""))</f>
        <v/>
      </c>
      <c r="E725" s="9" t="str">
        <f>IF(OR(C725="",D725=""),"",C725*D725)</f>
        <v/>
      </c>
      <c r="F725" s="4"/>
      <c r="G725" s="4"/>
      <c r="H725" s="9" t="str">
        <f>IF(OR(B725="",C725=""),"",C725*IFERROR(INDEX(Articles!$D:$D,MATCH(B725,Articles!$B:$B,0)),0))</f>
        <v/>
      </c>
      <c r="I725" s="9" t="str">
        <f>IF(OR(E725="",H725=""),"",E725-H725)</f>
        <v/>
      </c>
      <c r="J725" s="4"/>
    </row>
    <row r="726">
      <c r="A726" s="7"/>
      <c r="B726" s="4"/>
      <c r="C726" s="6"/>
      <c r="D726" s="5" t="str">
        <f>IF(B726="","",IFERROR(INDEX(Articles!$E:$E,MATCH(B726,Articles!$B:$B,0)),""))</f>
        <v/>
      </c>
      <c r="E726" s="9" t="str">
        <f>IF(OR(C726="",D726=""),"",C726*D726)</f>
        <v/>
      </c>
      <c r="F726" s="4"/>
      <c r="G726" s="4"/>
      <c r="H726" s="9" t="str">
        <f>IF(OR(B726="",C726=""),"",C726*IFERROR(INDEX(Articles!$D:$D,MATCH(B726,Articles!$B:$B,0)),0))</f>
        <v/>
      </c>
      <c r="I726" s="9" t="str">
        <f>IF(OR(E726="",H726=""),"",E726-H726)</f>
        <v/>
      </c>
      <c r="J726" s="4"/>
    </row>
    <row r="727">
      <c r="A727" s="7"/>
      <c r="B727" s="4"/>
      <c r="C727" s="6"/>
      <c r="D727" s="5" t="str">
        <f>IF(B727="","",IFERROR(INDEX(Articles!$E:$E,MATCH(B727,Articles!$B:$B,0)),""))</f>
        <v/>
      </c>
      <c r="E727" s="9" t="str">
        <f>IF(OR(C727="",D727=""),"",C727*D727)</f>
        <v/>
      </c>
      <c r="F727" s="4"/>
      <c r="G727" s="4"/>
      <c r="H727" s="9" t="str">
        <f>IF(OR(B727="",C727=""),"",C727*IFERROR(INDEX(Articles!$D:$D,MATCH(B727,Articles!$B:$B,0)),0))</f>
        <v/>
      </c>
      <c r="I727" s="9" t="str">
        <f>IF(OR(E727="",H727=""),"",E727-H727)</f>
        <v/>
      </c>
      <c r="J727" s="4"/>
    </row>
    <row r="728">
      <c r="A728" s="7"/>
      <c r="B728" s="4"/>
      <c r="C728" s="6"/>
      <c r="D728" s="5" t="str">
        <f>IF(B728="","",IFERROR(INDEX(Articles!$E:$E,MATCH(B728,Articles!$B:$B,0)),""))</f>
        <v/>
      </c>
      <c r="E728" s="9" t="str">
        <f>IF(OR(C728="",D728=""),"",C728*D728)</f>
        <v/>
      </c>
      <c r="F728" s="4"/>
      <c r="G728" s="4"/>
      <c r="H728" s="9" t="str">
        <f>IF(OR(B728="",C728=""),"",C728*IFERROR(INDEX(Articles!$D:$D,MATCH(B728,Articles!$B:$B,0)),0))</f>
        <v/>
      </c>
      <c r="I728" s="9" t="str">
        <f>IF(OR(E728="",H728=""),"",E728-H728)</f>
        <v/>
      </c>
      <c r="J728" s="4"/>
    </row>
    <row r="729">
      <c r="A729" s="7"/>
      <c r="B729" s="4"/>
      <c r="C729" s="6"/>
      <c r="D729" s="5" t="str">
        <f>IF(B729="","",IFERROR(INDEX(Articles!$E:$E,MATCH(B729,Articles!$B:$B,0)),""))</f>
        <v/>
      </c>
      <c r="E729" s="9" t="str">
        <f>IF(OR(C729="",D729=""),"",C729*D729)</f>
        <v/>
      </c>
      <c r="F729" s="4"/>
      <c r="G729" s="4"/>
      <c r="H729" s="9" t="str">
        <f>IF(OR(B729="",C729=""),"",C729*IFERROR(INDEX(Articles!$D:$D,MATCH(B729,Articles!$B:$B,0)),0))</f>
        <v/>
      </c>
      <c r="I729" s="9" t="str">
        <f>IF(OR(E729="",H729=""),"",E729-H729)</f>
        <v/>
      </c>
      <c r="J729" s="4"/>
    </row>
    <row r="730">
      <c r="A730" s="7"/>
      <c r="B730" s="4"/>
      <c r="C730" s="6"/>
      <c r="D730" s="5" t="str">
        <f>IF(B730="","",IFERROR(INDEX(Articles!$E:$E,MATCH(B730,Articles!$B:$B,0)),""))</f>
        <v/>
      </c>
      <c r="E730" s="9" t="str">
        <f>IF(OR(C730="",D730=""),"",C730*D730)</f>
        <v/>
      </c>
      <c r="F730" s="4"/>
      <c r="G730" s="4"/>
      <c r="H730" s="9" t="str">
        <f>IF(OR(B730="",C730=""),"",C730*IFERROR(INDEX(Articles!$D:$D,MATCH(B730,Articles!$B:$B,0)),0))</f>
        <v/>
      </c>
      <c r="I730" s="9" t="str">
        <f>IF(OR(E730="",H730=""),"",E730-H730)</f>
        <v/>
      </c>
      <c r="J730" s="4"/>
    </row>
    <row r="731">
      <c r="A731" s="7"/>
      <c r="B731" s="4"/>
      <c r="C731" s="6"/>
      <c r="D731" s="5" t="str">
        <f>IF(B731="","",IFERROR(INDEX(Articles!$E:$E,MATCH(B731,Articles!$B:$B,0)),""))</f>
        <v/>
      </c>
      <c r="E731" s="9" t="str">
        <f>IF(OR(C731="",D731=""),"",C731*D731)</f>
        <v/>
      </c>
      <c r="F731" s="4"/>
      <c r="G731" s="4"/>
      <c r="H731" s="9" t="str">
        <f>IF(OR(B731="",C731=""),"",C731*IFERROR(INDEX(Articles!$D:$D,MATCH(B731,Articles!$B:$B,0)),0))</f>
        <v/>
      </c>
      <c r="I731" s="9" t="str">
        <f>IF(OR(E731="",H731=""),"",E731-H731)</f>
        <v/>
      </c>
      <c r="J731" s="4"/>
    </row>
    <row r="732">
      <c r="A732" s="7"/>
      <c r="B732" s="4"/>
      <c r="C732" s="6"/>
      <c r="D732" s="5" t="str">
        <f>IF(B732="","",IFERROR(INDEX(Articles!$E:$E,MATCH(B732,Articles!$B:$B,0)),""))</f>
        <v/>
      </c>
      <c r="E732" s="9" t="str">
        <f>IF(OR(C732="",D732=""),"",C732*D732)</f>
        <v/>
      </c>
      <c r="F732" s="4"/>
      <c r="G732" s="4"/>
      <c r="H732" s="9" t="str">
        <f>IF(OR(B732="",C732=""),"",C732*IFERROR(INDEX(Articles!$D:$D,MATCH(B732,Articles!$B:$B,0)),0))</f>
        <v/>
      </c>
      <c r="I732" s="9" t="str">
        <f>IF(OR(E732="",H732=""),"",E732-H732)</f>
        <v/>
      </c>
      <c r="J732" s="4"/>
    </row>
    <row r="733">
      <c r="A733" s="7"/>
      <c r="B733" s="4"/>
      <c r="C733" s="6"/>
      <c r="D733" s="5" t="str">
        <f>IF(B733="","",IFERROR(INDEX(Articles!$E:$E,MATCH(B733,Articles!$B:$B,0)),""))</f>
        <v/>
      </c>
      <c r="E733" s="9" t="str">
        <f>IF(OR(C733="",D733=""),"",C733*D733)</f>
        <v/>
      </c>
      <c r="F733" s="4"/>
      <c r="G733" s="4"/>
      <c r="H733" s="9" t="str">
        <f>IF(OR(B733="",C733=""),"",C733*IFERROR(INDEX(Articles!$D:$D,MATCH(B733,Articles!$B:$B,0)),0))</f>
        <v/>
      </c>
      <c r="I733" s="9" t="str">
        <f>IF(OR(E733="",H733=""),"",E733-H733)</f>
        <v/>
      </c>
      <c r="J733" s="4"/>
    </row>
    <row r="734">
      <c r="A734" s="7"/>
      <c r="B734" s="4"/>
      <c r="C734" s="6"/>
      <c r="D734" s="5" t="str">
        <f>IF(B734="","",IFERROR(INDEX(Articles!$E:$E,MATCH(B734,Articles!$B:$B,0)),""))</f>
        <v/>
      </c>
      <c r="E734" s="9" t="str">
        <f>IF(OR(C734="",D734=""),"",C734*D734)</f>
        <v/>
      </c>
      <c r="F734" s="4"/>
      <c r="G734" s="4"/>
      <c r="H734" s="9" t="str">
        <f>IF(OR(B734="",C734=""),"",C734*IFERROR(INDEX(Articles!$D:$D,MATCH(B734,Articles!$B:$B,0)),0))</f>
        <v/>
      </c>
      <c r="I734" s="9" t="str">
        <f>IF(OR(E734="",H734=""),"",E734-H734)</f>
        <v/>
      </c>
      <c r="J734" s="4"/>
    </row>
    <row r="735">
      <c r="A735" s="7"/>
      <c r="B735" s="4"/>
      <c r="C735" s="6"/>
      <c r="D735" s="5" t="str">
        <f>IF(B735="","",IFERROR(INDEX(Articles!$E:$E,MATCH(B735,Articles!$B:$B,0)),""))</f>
        <v/>
      </c>
      <c r="E735" s="9" t="str">
        <f>IF(OR(C735="",D735=""),"",C735*D735)</f>
        <v/>
      </c>
      <c r="F735" s="4"/>
      <c r="G735" s="4"/>
      <c r="H735" s="9" t="str">
        <f>IF(OR(B735="",C735=""),"",C735*IFERROR(INDEX(Articles!$D:$D,MATCH(B735,Articles!$B:$B,0)),0))</f>
        <v/>
      </c>
      <c r="I735" s="9" t="str">
        <f>IF(OR(E735="",H735=""),"",E735-H735)</f>
        <v/>
      </c>
      <c r="J735" s="4"/>
    </row>
    <row r="736">
      <c r="A736" s="7"/>
      <c r="B736" s="4"/>
      <c r="C736" s="6"/>
      <c r="D736" s="5" t="str">
        <f>IF(B736="","",IFERROR(INDEX(Articles!$E:$E,MATCH(B736,Articles!$B:$B,0)),""))</f>
        <v/>
      </c>
      <c r="E736" s="9" t="str">
        <f>IF(OR(C736="",D736=""),"",C736*D736)</f>
        <v/>
      </c>
      <c r="F736" s="4"/>
      <c r="G736" s="4"/>
      <c r="H736" s="9" t="str">
        <f>IF(OR(B736="",C736=""),"",C736*IFERROR(INDEX(Articles!$D:$D,MATCH(B736,Articles!$B:$B,0)),0))</f>
        <v/>
      </c>
      <c r="I736" s="9" t="str">
        <f>IF(OR(E736="",H736=""),"",E736-H736)</f>
        <v/>
      </c>
      <c r="J736" s="4"/>
    </row>
    <row r="737">
      <c r="A737" s="7"/>
      <c r="B737" s="4"/>
      <c r="C737" s="6"/>
      <c r="D737" s="5" t="str">
        <f>IF(B737="","",IFERROR(INDEX(Articles!$E:$E,MATCH(B737,Articles!$B:$B,0)),""))</f>
        <v/>
      </c>
      <c r="E737" s="9" t="str">
        <f>IF(OR(C737="",D737=""),"",C737*D737)</f>
        <v/>
      </c>
      <c r="F737" s="4"/>
      <c r="G737" s="4"/>
      <c r="H737" s="9" t="str">
        <f>IF(OR(B737="",C737=""),"",C737*IFERROR(INDEX(Articles!$D:$D,MATCH(B737,Articles!$B:$B,0)),0))</f>
        <v/>
      </c>
      <c r="I737" s="9" t="str">
        <f>IF(OR(E737="",H737=""),"",E737-H737)</f>
        <v/>
      </c>
      <c r="J737" s="4"/>
    </row>
    <row r="738">
      <c r="A738" s="7"/>
      <c r="B738" s="4"/>
      <c r="C738" s="6"/>
      <c r="D738" s="5" t="str">
        <f>IF(B738="","",IFERROR(INDEX(Articles!$E:$E,MATCH(B738,Articles!$B:$B,0)),""))</f>
        <v/>
      </c>
      <c r="E738" s="9" t="str">
        <f>IF(OR(C738="",D738=""),"",C738*D738)</f>
        <v/>
      </c>
      <c r="F738" s="4"/>
      <c r="G738" s="4"/>
      <c r="H738" s="9" t="str">
        <f>IF(OR(B738="",C738=""),"",C738*IFERROR(INDEX(Articles!$D:$D,MATCH(B738,Articles!$B:$B,0)),0))</f>
        <v/>
      </c>
      <c r="I738" s="9" t="str">
        <f>IF(OR(E738="",H738=""),"",E738-H738)</f>
        <v/>
      </c>
      <c r="J738" s="4"/>
    </row>
    <row r="739">
      <c r="A739" s="7"/>
      <c r="B739" s="4"/>
      <c r="C739" s="6"/>
      <c r="D739" s="5" t="str">
        <f>IF(B739="","",IFERROR(INDEX(Articles!$E:$E,MATCH(B739,Articles!$B:$B,0)),""))</f>
        <v/>
      </c>
      <c r="E739" s="9" t="str">
        <f>IF(OR(C739="",D739=""),"",C739*D739)</f>
        <v/>
      </c>
      <c r="F739" s="4"/>
      <c r="G739" s="4"/>
      <c r="H739" s="9" t="str">
        <f>IF(OR(B739="",C739=""),"",C739*IFERROR(INDEX(Articles!$D:$D,MATCH(B739,Articles!$B:$B,0)),0))</f>
        <v/>
      </c>
      <c r="I739" s="9" t="str">
        <f>IF(OR(E739="",H739=""),"",E739-H739)</f>
        <v/>
      </c>
      <c r="J739" s="4"/>
    </row>
    <row r="740">
      <c r="A740" s="7"/>
      <c r="B740" s="4"/>
      <c r="C740" s="6"/>
      <c r="D740" s="5" t="str">
        <f>IF(B740="","",IFERROR(INDEX(Articles!$E:$E,MATCH(B740,Articles!$B:$B,0)),""))</f>
        <v/>
      </c>
      <c r="E740" s="9" t="str">
        <f>IF(OR(C740="",D740=""),"",C740*D740)</f>
        <v/>
      </c>
      <c r="F740" s="4"/>
      <c r="G740" s="4"/>
      <c r="H740" s="9" t="str">
        <f>IF(OR(B740="",C740=""),"",C740*IFERROR(INDEX(Articles!$D:$D,MATCH(B740,Articles!$B:$B,0)),0))</f>
        <v/>
      </c>
      <c r="I740" s="9" t="str">
        <f>IF(OR(E740="",H740=""),"",E740-H740)</f>
        <v/>
      </c>
      <c r="J740" s="4"/>
    </row>
    <row r="741">
      <c r="A741" s="7"/>
      <c r="B741" s="4"/>
      <c r="C741" s="6"/>
      <c r="D741" s="5" t="str">
        <f>IF(B741="","",IFERROR(INDEX(Articles!$E:$E,MATCH(B741,Articles!$B:$B,0)),""))</f>
        <v/>
      </c>
      <c r="E741" s="9" t="str">
        <f>IF(OR(C741="",D741=""),"",C741*D741)</f>
        <v/>
      </c>
      <c r="F741" s="4"/>
      <c r="G741" s="4"/>
      <c r="H741" s="9" t="str">
        <f>IF(OR(B741="",C741=""),"",C741*IFERROR(INDEX(Articles!$D:$D,MATCH(B741,Articles!$B:$B,0)),0))</f>
        <v/>
      </c>
      <c r="I741" s="9" t="str">
        <f>IF(OR(E741="",H741=""),"",E741-H741)</f>
        <v/>
      </c>
      <c r="J741" s="4"/>
    </row>
    <row r="742">
      <c r="A742" s="7"/>
      <c r="B742" s="4"/>
      <c r="C742" s="6"/>
      <c r="D742" s="5" t="str">
        <f>IF(B742="","",IFERROR(INDEX(Articles!$E:$E,MATCH(B742,Articles!$B:$B,0)),""))</f>
        <v/>
      </c>
      <c r="E742" s="9" t="str">
        <f>IF(OR(C742="",D742=""),"",C742*D742)</f>
        <v/>
      </c>
      <c r="F742" s="4"/>
      <c r="G742" s="4"/>
      <c r="H742" s="9" t="str">
        <f>IF(OR(B742="",C742=""),"",C742*IFERROR(INDEX(Articles!$D:$D,MATCH(B742,Articles!$B:$B,0)),0))</f>
        <v/>
      </c>
      <c r="I742" s="9" t="str">
        <f>IF(OR(E742="",H742=""),"",E742-H742)</f>
        <v/>
      </c>
      <c r="J742" s="4"/>
    </row>
    <row r="743">
      <c r="A743" s="7"/>
      <c r="B743" s="4"/>
      <c r="C743" s="6"/>
      <c r="D743" s="5" t="str">
        <f>IF(B743="","",IFERROR(INDEX(Articles!$E:$E,MATCH(B743,Articles!$B:$B,0)),""))</f>
        <v/>
      </c>
      <c r="E743" s="9" t="str">
        <f>IF(OR(C743="",D743=""),"",C743*D743)</f>
        <v/>
      </c>
      <c r="F743" s="4"/>
      <c r="G743" s="4"/>
      <c r="H743" s="9" t="str">
        <f>IF(OR(B743="",C743=""),"",C743*IFERROR(INDEX(Articles!$D:$D,MATCH(B743,Articles!$B:$B,0)),0))</f>
        <v/>
      </c>
      <c r="I743" s="9" t="str">
        <f>IF(OR(E743="",H743=""),"",E743-H743)</f>
        <v/>
      </c>
      <c r="J743" s="4"/>
    </row>
    <row r="744">
      <c r="A744" s="7"/>
      <c r="B744" s="4"/>
      <c r="C744" s="6"/>
      <c r="D744" s="5" t="str">
        <f>IF(B744="","",IFERROR(INDEX(Articles!$E:$E,MATCH(B744,Articles!$B:$B,0)),""))</f>
        <v/>
      </c>
      <c r="E744" s="9" t="str">
        <f>IF(OR(C744="",D744=""),"",C744*D744)</f>
        <v/>
      </c>
      <c r="F744" s="4"/>
      <c r="G744" s="4"/>
      <c r="H744" s="9" t="str">
        <f>IF(OR(B744="",C744=""),"",C744*IFERROR(INDEX(Articles!$D:$D,MATCH(B744,Articles!$B:$B,0)),0))</f>
        <v/>
      </c>
      <c r="I744" s="9" t="str">
        <f>IF(OR(E744="",H744=""),"",E744-H744)</f>
        <v/>
      </c>
      <c r="J744" s="4"/>
    </row>
    <row r="745">
      <c r="A745" s="7"/>
      <c r="B745" s="4"/>
      <c r="C745" s="6"/>
      <c r="D745" s="5" t="str">
        <f>IF(B745="","",IFERROR(INDEX(Articles!$E:$E,MATCH(B745,Articles!$B:$B,0)),""))</f>
        <v/>
      </c>
      <c r="E745" s="9" t="str">
        <f>IF(OR(C745="",D745=""),"",C745*D745)</f>
        <v/>
      </c>
      <c r="F745" s="4"/>
      <c r="G745" s="4"/>
      <c r="H745" s="9" t="str">
        <f>IF(OR(B745="",C745=""),"",C745*IFERROR(INDEX(Articles!$D:$D,MATCH(B745,Articles!$B:$B,0)),0))</f>
        <v/>
      </c>
      <c r="I745" s="9" t="str">
        <f>IF(OR(E745="",H745=""),"",E745-H745)</f>
        <v/>
      </c>
      <c r="J745" s="4"/>
    </row>
    <row r="746">
      <c r="A746" s="7"/>
      <c r="B746" s="4"/>
      <c r="C746" s="6"/>
      <c r="D746" s="5" t="str">
        <f>IF(B746="","",IFERROR(INDEX(Articles!$E:$E,MATCH(B746,Articles!$B:$B,0)),""))</f>
        <v/>
      </c>
      <c r="E746" s="9" t="str">
        <f>IF(OR(C746="",D746=""),"",C746*D746)</f>
        <v/>
      </c>
      <c r="F746" s="4"/>
      <c r="G746" s="4"/>
      <c r="H746" s="9" t="str">
        <f>IF(OR(B746="",C746=""),"",C746*IFERROR(INDEX(Articles!$D:$D,MATCH(B746,Articles!$B:$B,0)),0))</f>
        <v/>
      </c>
      <c r="I746" s="9" t="str">
        <f>IF(OR(E746="",H746=""),"",E746-H746)</f>
        <v/>
      </c>
      <c r="J746" s="4"/>
    </row>
    <row r="747">
      <c r="A747" s="7"/>
      <c r="B747" s="4"/>
      <c r="C747" s="6"/>
      <c r="D747" s="5" t="str">
        <f>IF(B747="","",IFERROR(INDEX(Articles!$E:$E,MATCH(B747,Articles!$B:$B,0)),""))</f>
        <v/>
      </c>
      <c r="E747" s="9" t="str">
        <f>IF(OR(C747="",D747=""),"",C747*D747)</f>
        <v/>
      </c>
      <c r="F747" s="4"/>
      <c r="G747" s="4"/>
      <c r="H747" s="9" t="str">
        <f>IF(OR(B747="",C747=""),"",C747*IFERROR(INDEX(Articles!$D:$D,MATCH(B747,Articles!$B:$B,0)),0))</f>
        <v/>
      </c>
      <c r="I747" s="9" t="str">
        <f>IF(OR(E747="",H747=""),"",E747-H747)</f>
        <v/>
      </c>
      <c r="J747" s="4"/>
    </row>
    <row r="748">
      <c r="A748" s="7"/>
      <c r="B748" s="4"/>
      <c r="C748" s="6"/>
      <c r="D748" s="5" t="str">
        <f>IF(B748="","",IFERROR(INDEX(Articles!$E:$E,MATCH(B748,Articles!$B:$B,0)),""))</f>
        <v/>
      </c>
      <c r="E748" s="9" t="str">
        <f>IF(OR(C748="",D748=""),"",C748*D748)</f>
        <v/>
      </c>
      <c r="F748" s="4"/>
      <c r="G748" s="4"/>
      <c r="H748" s="9" t="str">
        <f>IF(OR(B748="",C748=""),"",C748*IFERROR(INDEX(Articles!$D:$D,MATCH(B748,Articles!$B:$B,0)),0))</f>
        <v/>
      </c>
      <c r="I748" s="9" t="str">
        <f>IF(OR(E748="",H748=""),"",E748-H748)</f>
        <v/>
      </c>
      <c r="J748" s="4"/>
    </row>
    <row r="749">
      <c r="A749" s="7"/>
      <c r="B749" s="4"/>
      <c r="C749" s="6"/>
      <c r="D749" s="5" t="str">
        <f>IF(B749="","",IFERROR(INDEX(Articles!$E:$E,MATCH(B749,Articles!$B:$B,0)),""))</f>
        <v/>
      </c>
      <c r="E749" s="9" t="str">
        <f>IF(OR(C749="",D749=""),"",C749*D749)</f>
        <v/>
      </c>
      <c r="F749" s="4"/>
      <c r="G749" s="4"/>
      <c r="H749" s="9" t="str">
        <f>IF(OR(B749="",C749=""),"",C749*IFERROR(INDEX(Articles!$D:$D,MATCH(B749,Articles!$B:$B,0)),0))</f>
        <v/>
      </c>
      <c r="I749" s="9" t="str">
        <f>IF(OR(E749="",H749=""),"",E749-H749)</f>
        <v/>
      </c>
      <c r="J749" s="4"/>
    </row>
    <row r="750">
      <c r="A750" s="7"/>
      <c r="B750" s="4"/>
      <c r="C750" s="6"/>
      <c r="D750" s="5" t="str">
        <f>IF(B750="","",IFERROR(INDEX(Articles!$E:$E,MATCH(B750,Articles!$B:$B,0)),""))</f>
        <v/>
      </c>
      <c r="E750" s="9" t="str">
        <f>IF(OR(C750="",D750=""),"",C750*D750)</f>
        <v/>
      </c>
      <c r="F750" s="4"/>
      <c r="G750" s="4"/>
      <c r="H750" s="9" t="str">
        <f>IF(OR(B750="",C750=""),"",C750*IFERROR(INDEX(Articles!$D:$D,MATCH(B750,Articles!$B:$B,0)),0))</f>
        <v/>
      </c>
      <c r="I750" s="9" t="str">
        <f>IF(OR(E750="",H750=""),"",E750-H750)</f>
        <v/>
      </c>
      <c r="J750" s="4"/>
    </row>
    <row r="751">
      <c r="A751" s="7"/>
      <c r="B751" s="4"/>
      <c r="C751" s="6"/>
      <c r="D751" s="5" t="str">
        <f>IF(B751="","",IFERROR(INDEX(Articles!$E:$E,MATCH(B751,Articles!$B:$B,0)),""))</f>
        <v/>
      </c>
      <c r="E751" s="9" t="str">
        <f>IF(OR(C751="",D751=""),"",C751*D751)</f>
        <v/>
      </c>
      <c r="F751" s="4"/>
      <c r="G751" s="4"/>
      <c r="H751" s="9" t="str">
        <f>IF(OR(B751="",C751=""),"",C751*IFERROR(INDEX(Articles!$D:$D,MATCH(B751,Articles!$B:$B,0)),0))</f>
        <v/>
      </c>
      <c r="I751" s="9" t="str">
        <f>IF(OR(E751="",H751=""),"",E751-H751)</f>
        <v/>
      </c>
      <c r="J751" s="4"/>
    </row>
    <row r="752">
      <c r="A752" s="7"/>
      <c r="B752" s="4"/>
      <c r="C752" s="6"/>
      <c r="D752" s="5" t="str">
        <f>IF(B752="","",IFERROR(INDEX(Articles!$E:$E,MATCH(B752,Articles!$B:$B,0)),""))</f>
        <v/>
      </c>
      <c r="E752" s="9" t="str">
        <f>IF(OR(C752="",D752=""),"",C752*D752)</f>
        <v/>
      </c>
      <c r="F752" s="4"/>
      <c r="G752" s="4"/>
      <c r="H752" s="9" t="str">
        <f>IF(OR(B752="",C752=""),"",C752*IFERROR(INDEX(Articles!$D:$D,MATCH(B752,Articles!$B:$B,0)),0))</f>
        <v/>
      </c>
      <c r="I752" s="9" t="str">
        <f>IF(OR(E752="",H752=""),"",E752-H752)</f>
        <v/>
      </c>
      <c r="J752" s="4"/>
    </row>
    <row r="753">
      <c r="A753" s="7"/>
      <c r="B753" s="4"/>
      <c r="C753" s="6"/>
      <c r="D753" s="5" t="str">
        <f>IF(B753="","",IFERROR(INDEX(Articles!$E:$E,MATCH(B753,Articles!$B:$B,0)),""))</f>
        <v/>
      </c>
      <c r="E753" s="9" t="str">
        <f>IF(OR(C753="",D753=""),"",C753*D753)</f>
        <v/>
      </c>
      <c r="F753" s="4"/>
      <c r="G753" s="4"/>
      <c r="H753" s="9" t="str">
        <f>IF(OR(B753="",C753=""),"",C753*IFERROR(INDEX(Articles!$D:$D,MATCH(B753,Articles!$B:$B,0)),0))</f>
        <v/>
      </c>
      <c r="I753" s="9" t="str">
        <f>IF(OR(E753="",H753=""),"",E753-H753)</f>
        <v/>
      </c>
      <c r="J753" s="4"/>
    </row>
    <row r="754">
      <c r="A754" s="7"/>
      <c r="B754" s="4"/>
      <c r="C754" s="6"/>
      <c r="D754" s="5" t="str">
        <f>IF(B754="","",IFERROR(INDEX(Articles!$E:$E,MATCH(B754,Articles!$B:$B,0)),""))</f>
        <v/>
      </c>
      <c r="E754" s="9" t="str">
        <f>IF(OR(C754="",D754=""),"",C754*D754)</f>
        <v/>
      </c>
      <c r="F754" s="4"/>
      <c r="G754" s="4"/>
      <c r="H754" s="9" t="str">
        <f>IF(OR(B754="",C754=""),"",C754*IFERROR(INDEX(Articles!$D:$D,MATCH(B754,Articles!$B:$B,0)),0))</f>
        <v/>
      </c>
      <c r="I754" s="9" t="str">
        <f>IF(OR(E754="",H754=""),"",E754-H754)</f>
        <v/>
      </c>
      <c r="J754" s="4"/>
    </row>
    <row r="755">
      <c r="A755" s="7"/>
      <c r="B755" s="4"/>
      <c r="C755" s="6"/>
      <c r="D755" s="5" t="str">
        <f>IF(B755="","",IFERROR(INDEX(Articles!$E:$E,MATCH(B755,Articles!$B:$B,0)),""))</f>
        <v/>
      </c>
      <c r="E755" s="9" t="str">
        <f>IF(OR(C755="",D755=""),"",C755*D755)</f>
        <v/>
      </c>
      <c r="F755" s="4"/>
      <c r="G755" s="4"/>
      <c r="H755" s="9" t="str">
        <f>IF(OR(B755="",C755=""),"",C755*IFERROR(INDEX(Articles!$D:$D,MATCH(B755,Articles!$B:$B,0)),0))</f>
        <v/>
      </c>
      <c r="I755" s="9" t="str">
        <f>IF(OR(E755="",H755=""),"",E755-H755)</f>
        <v/>
      </c>
      <c r="J755" s="4"/>
    </row>
    <row r="756">
      <c r="A756" s="7"/>
      <c r="B756" s="4"/>
      <c r="C756" s="6"/>
      <c r="D756" s="5" t="str">
        <f>IF(B756="","",IFERROR(INDEX(Articles!$E:$E,MATCH(B756,Articles!$B:$B,0)),""))</f>
        <v/>
      </c>
      <c r="E756" s="9" t="str">
        <f>IF(OR(C756="",D756=""),"",C756*D756)</f>
        <v/>
      </c>
      <c r="F756" s="4"/>
      <c r="G756" s="4"/>
      <c r="H756" s="9" t="str">
        <f>IF(OR(B756="",C756=""),"",C756*IFERROR(INDEX(Articles!$D:$D,MATCH(B756,Articles!$B:$B,0)),0))</f>
        <v/>
      </c>
      <c r="I756" s="9" t="str">
        <f>IF(OR(E756="",H756=""),"",E756-H756)</f>
        <v/>
      </c>
      <c r="J756" s="4"/>
    </row>
    <row r="757">
      <c r="A757" s="7"/>
      <c r="B757" s="4"/>
      <c r="C757" s="6"/>
      <c r="D757" s="5" t="str">
        <f>IF(B757="","",IFERROR(INDEX(Articles!$E:$E,MATCH(B757,Articles!$B:$B,0)),""))</f>
        <v/>
      </c>
      <c r="E757" s="9" t="str">
        <f>IF(OR(C757="",D757=""),"",C757*D757)</f>
        <v/>
      </c>
      <c r="F757" s="4"/>
      <c r="G757" s="4"/>
      <c r="H757" s="9" t="str">
        <f>IF(OR(B757="",C757=""),"",C757*IFERROR(INDEX(Articles!$D:$D,MATCH(B757,Articles!$B:$B,0)),0))</f>
        <v/>
      </c>
      <c r="I757" s="9" t="str">
        <f>IF(OR(E757="",H757=""),"",E757-H757)</f>
        <v/>
      </c>
      <c r="J757" s="4"/>
    </row>
    <row r="758">
      <c r="A758" s="7"/>
      <c r="B758" s="4"/>
      <c r="C758" s="6"/>
      <c r="D758" s="5" t="str">
        <f>IF(B758="","",IFERROR(INDEX(Articles!$E:$E,MATCH(B758,Articles!$B:$B,0)),""))</f>
        <v/>
      </c>
      <c r="E758" s="9" t="str">
        <f>IF(OR(C758="",D758=""),"",C758*D758)</f>
        <v/>
      </c>
      <c r="F758" s="4"/>
      <c r="G758" s="4"/>
      <c r="H758" s="9" t="str">
        <f>IF(OR(B758="",C758=""),"",C758*IFERROR(INDEX(Articles!$D:$D,MATCH(B758,Articles!$B:$B,0)),0))</f>
        <v/>
      </c>
      <c r="I758" s="9" t="str">
        <f>IF(OR(E758="",H758=""),"",E758-H758)</f>
        <v/>
      </c>
      <c r="J758" s="4"/>
    </row>
    <row r="759">
      <c r="A759" s="7"/>
      <c r="B759" s="4"/>
      <c r="C759" s="6"/>
      <c r="D759" s="5" t="str">
        <f>IF(B759="","",IFERROR(INDEX(Articles!$E:$E,MATCH(B759,Articles!$B:$B,0)),""))</f>
        <v/>
      </c>
      <c r="E759" s="9" t="str">
        <f>IF(OR(C759="",D759=""),"",C759*D759)</f>
        <v/>
      </c>
      <c r="F759" s="4"/>
      <c r="G759" s="4"/>
      <c r="H759" s="9" t="str">
        <f>IF(OR(B759="",C759=""),"",C759*IFERROR(INDEX(Articles!$D:$D,MATCH(B759,Articles!$B:$B,0)),0))</f>
        <v/>
      </c>
      <c r="I759" s="9" t="str">
        <f>IF(OR(E759="",H759=""),"",E759-H759)</f>
        <v/>
      </c>
      <c r="J759" s="4"/>
    </row>
    <row r="760">
      <c r="A760" s="7"/>
      <c r="B760" s="4"/>
      <c r="C760" s="6"/>
      <c r="D760" s="5" t="str">
        <f>IF(B760="","",IFERROR(INDEX(Articles!$E:$E,MATCH(B760,Articles!$B:$B,0)),""))</f>
        <v/>
      </c>
      <c r="E760" s="9" t="str">
        <f>IF(OR(C760="",D760=""),"",C760*D760)</f>
        <v/>
      </c>
      <c r="F760" s="4"/>
      <c r="G760" s="4"/>
      <c r="H760" s="9" t="str">
        <f>IF(OR(B760="",C760=""),"",C760*IFERROR(INDEX(Articles!$D:$D,MATCH(B760,Articles!$B:$B,0)),0))</f>
        <v/>
      </c>
      <c r="I760" s="9" t="str">
        <f>IF(OR(E760="",H760=""),"",E760-H760)</f>
        <v/>
      </c>
      <c r="J760" s="4"/>
    </row>
    <row r="761">
      <c r="A761" s="7"/>
      <c r="B761" s="4"/>
      <c r="C761" s="6"/>
      <c r="D761" s="5" t="str">
        <f>IF(B761="","",IFERROR(INDEX(Articles!$E:$E,MATCH(B761,Articles!$B:$B,0)),""))</f>
        <v/>
      </c>
      <c r="E761" s="9" t="str">
        <f>IF(OR(C761="",D761=""),"",C761*D761)</f>
        <v/>
      </c>
      <c r="F761" s="4"/>
      <c r="G761" s="4"/>
      <c r="H761" s="9" t="str">
        <f>IF(OR(B761="",C761=""),"",C761*IFERROR(INDEX(Articles!$D:$D,MATCH(B761,Articles!$B:$B,0)),0))</f>
        <v/>
      </c>
      <c r="I761" s="9" t="str">
        <f>IF(OR(E761="",H761=""),"",E761-H761)</f>
        <v/>
      </c>
      <c r="J761" s="4"/>
    </row>
    <row r="762">
      <c r="A762" s="7"/>
      <c r="B762" s="4"/>
      <c r="C762" s="6"/>
      <c r="D762" s="5" t="str">
        <f>IF(B762="","",IFERROR(INDEX(Articles!$E:$E,MATCH(B762,Articles!$B:$B,0)),""))</f>
        <v/>
      </c>
      <c r="E762" s="9" t="str">
        <f>IF(OR(C762="",D762=""),"",C762*D762)</f>
        <v/>
      </c>
      <c r="F762" s="4"/>
      <c r="G762" s="4"/>
      <c r="H762" s="9" t="str">
        <f>IF(OR(B762="",C762=""),"",C762*IFERROR(INDEX(Articles!$D:$D,MATCH(B762,Articles!$B:$B,0)),0))</f>
        <v/>
      </c>
      <c r="I762" s="9" t="str">
        <f>IF(OR(E762="",H762=""),"",E762-H762)</f>
        <v/>
      </c>
      <c r="J762" s="4"/>
    </row>
    <row r="763">
      <c r="A763" s="7"/>
      <c r="B763" s="4"/>
      <c r="C763" s="6"/>
      <c r="D763" s="5" t="str">
        <f>IF(B763="","",IFERROR(INDEX(Articles!$E:$E,MATCH(B763,Articles!$B:$B,0)),""))</f>
        <v/>
      </c>
      <c r="E763" s="9" t="str">
        <f>IF(OR(C763="",D763=""),"",C763*D763)</f>
        <v/>
      </c>
      <c r="F763" s="4"/>
      <c r="G763" s="4"/>
      <c r="H763" s="9" t="str">
        <f>IF(OR(B763="",C763=""),"",C763*IFERROR(INDEX(Articles!$D:$D,MATCH(B763,Articles!$B:$B,0)),0))</f>
        <v/>
      </c>
      <c r="I763" s="9" t="str">
        <f>IF(OR(E763="",H763=""),"",E763-H763)</f>
        <v/>
      </c>
      <c r="J763" s="4"/>
    </row>
    <row r="764">
      <c r="A764" s="7"/>
      <c r="B764" s="4"/>
      <c r="C764" s="6"/>
      <c r="D764" s="5" t="str">
        <f>IF(B764="","",IFERROR(INDEX(Articles!$E:$E,MATCH(B764,Articles!$B:$B,0)),""))</f>
        <v/>
      </c>
      <c r="E764" s="9" t="str">
        <f>IF(OR(C764="",D764=""),"",C764*D764)</f>
        <v/>
      </c>
      <c r="F764" s="4"/>
      <c r="G764" s="4"/>
      <c r="H764" s="9" t="str">
        <f>IF(OR(B764="",C764=""),"",C764*IFERROR(INDEX(Articles!$D:$D,MATCH(B764,Articles!$B:$B,0)),0))</f>
        <v/>
      </c>
      <c r="I764" s="9" t="str">
        <f>IF(OR(E764="",H764=""),"",E764-H764)</f>
        <v/>
      </c>
      <c r="J764" s="4"/>
    </row>
    <row r="765">
      <c r="A765" s="7"/>
      <c r="B765" s="4"/>
      <c r="C765" s="6"/>
      <c r="D765" s="5" t="str">
        <f>IF(B765="","",IFERROR(INDEX(Articles!$E:$E,MATCH(B765,Articles!$B:$B,0)),""))</f>
        <v/>
      </c>
      <c r="E765" s="9" t="str">
        <f>IF(OR(C765="",D765=""),"",C765*D765)</f>
        <v/>
      </c>
      <c r="F765" s="4"/>
      <c r="G765" s="4"/>
      <c r="H765" s="9" t="str">
        <f>IF(OR(B765="",C765=""),"",C765*IFERROR(INDEX(Articles!$D:$D,MATCH(B765,Articles!$B:$B,0)),0))</f>
        <v/>
      </c>
      <c r="I765" s="9" t="str">
        <f>IF(OR(E765="",H765=""),"",E765-H765)</f>
        <v/>
      </c>
      <c r="J765" s="4"/>
    </row>
    <row r="766">
      <c r="A766" s="7"/>
      <c r="B766" s="4"/>
      <c r="C766" s="6"/>
      <c r="D766" s="5" t="str">
        <f>IF(B766="","",IFERROR(INDEX(Articles!$E:$E,MATCH(B766,Articles!$B:$B,0)),""))</f>
        <v/>
      </c>
      <c r="E766" s="9" t="str">
        <f>IF(OR(C766="",D766=""),"",C766*D766)</f>
        <v/>
      </c>
      <c r="F766" s="4"/>
      <c r="G766" s="4"/>
      <c r="H766" s="9" t="str">
        <f>IF(OR(B766="",C766=""),"",C766*IFERROR(INDEX(Articles!$D:$D,MATCH(B766,Articles!$B:$B,0)),0))</f>
        <v/>
      </c>
      <c r="I766" s="9" t="str">
        <f>IF(OR(E766="",H766=""),"",E766-H766)</f>
        <v/>
      </c>
      <c r="J766" s="4"/>
    </row>
    <row r="767">
      <c r="A767" s="7"/>
      <c r="B767" s="4"/>
      <c r="C767" s="6"/>
      <c r="D767" s="5" t="str">
        <f>IF(B767="","",IFERROR(INDEX(Articles!$E:$E,MATCH(B767,Articles!$B:$B,0)),""))</f>
        <v/>
      </c>
      <c r="E767" s="9" t="str">
        <f>IF(OR(C767="",D767=""),"",C767*D767)</f>
        <v/>
      </c>
      <c r="F767" s="4"/>
      <c r="G767" s="4"/>
      <c r="H767" s="9" t="str">
        <f>IF(OR(B767="",C767=""),"",C767*IFERROR(INDEX(Articles!$D:$D,MATCH(B767,Articles!$B:$B,0)),0))</f>
        <v/>
      </c>
      <c r="I767" s="9" t="str">
        <f>IF(OR(E767="",H767=""),"",E767-H767)</f>
        <v/>
      </c>
      <c r="J767" s="4"/>
    </row>
    <row r="768">
      <c r="A768" s="7"/>
      <c r="B768" s="4"/>
      <c r="C768" s="6"/>
      <c r="D768" s="5" t="str">
        <f>IF(B768="","",IFERROR(INDEX(Articles!$E:$E,MATCH(B768,Articles!$B:$B,0)),""))</f>
        <v/>
      </c>
      <c r="E768" s="9" t="str">
        <f>IF(OR(C768="",D768=""),"",C768*D768)</f>
        <v/>
      </c>
      <c r="F768" s="4"/>
      <c r="G768" s="4"/>
      <c r="H768" s="9" t="str">
        <f>IF(OR(B768="",C768=""),"",C768*IFERROR(INDEX(Articles!$D:$D,MATCH(B768,Articles!$B:$B,0)),0))</f>
        <v/>
      </c>
      <c r="I768" s="9" t="str">
        <f>IF(OR(E768="",H768=""),"",E768-H768)</f>
        <v/>
      </c>
      <c r="J768" s="4"/>
    </row>
    <row r="769">
      <c r="A769" s="7"/>
      <c r="B769" s="4"/>
      <c r="C769" s="6"/>
      <c r="D769" s="5" t="str">
        <f>IF(B769="","",IFERROR(INDEX(Articles!$E:$E,MATCH(B769,Articles!$B:$B,0)),""))</f>
        <v/>
      </c>
      <c r="E769" s="9" t="str">
        <f>IF(OR(C769="",D769=""),"",C769*D769)</f>
        <v/>
      </c>
      <c r="F769" s="4"/>
      <c r="G769" s="4"/>
      <c r="H769" s="9" t="str">
        <f>IF(OR(B769="",C769=""),"",C769*IFERROR(INDEX(Articles!$D:$D,MATCH(B769,Articles!$B:$B,0)),0))</f>
        <v/>
      </c>
      <c r="I769" s="9" t="str">
        <f>IF(OR(E769="",H769=""),"",E769-H769)</f>
        <v/>
      </c>
      <c r="J769" s="4"/>
    </row>
    <row r="770">
      <c r="A770" s="7"/>
      <c r="B770" s="4"/>
      <c r="C770" s="6"/>
      <c r="D770" s="5" t="str">
        <f>IF(B770="","",IFERROR(INDEX(Articles!$E:$E,MATCH(B770,Articles!$B:$B,0)),""))</f>
        <v/>
      </c>
      <c r="E770" s="9" t="str">
        <f>IF(OR(C770="",D770=""),"",C770*D770)</f>
        <v/>
      </c>
      <c r="F770" s="4"/>
      <c r="G770" s="4"/>
      <c r="H770" s="9" t="str">
        <f>IF(OR(B770="",C770=""),"",C770*IFERROR(INDEX(Articles!$D:$D,MATCH(B770,Articles!$B:$B,0)),0))</f>
        <v/>
      </c>
      <c r="I770" s="9" t="str">
        <f>IF(OR(E770="",H770=""),"",E770-H770)</f>
        <v/>
      </c>
      <c r="J770" s="4"/>
    </row>
    <row r="771">
      <c r="A771" s="7"/>
      <c r="B771" s="4"/>
      <c r="C771" s="6"/>
      <c r="D771" s="5" t="str">
        <f>IF(B771="","",IFERROR(INDEX(Articles!$E:$E,MATCH(B771,Articles!$B:$B,0)),""))</f>
        <v/>
      </c>
      <c r="E771" s="9" t="str">
        <f>IF(OR(C771="",D771=""),"",C771*D771)</f>
        <v/>
      </c>
      <c r="F771" s="4"/>
      <c r="G771" s="4"/>
      <c r="H771" s="9" t="str">
        <f>IF(OR(B771="",C771=""),"",C771*IFERROR(INDEX(Articles!$D:$D,MATCH(B771,Articles!$B:$B,0)),0))</f>
        <v/>
      </c>
      <c r="I771" s="9" t="str">
        <f>IF(OR(E771="",H771=""),"",E771-H771)</f>
        <v/>
      </c>
      <c r="J771" s="4"/>
    </row>
    <row r="772">
      <c r="A772" s="7"/>
      <c r="B772" s="4"/>
      <c r="C772" s="6"/>
      <c r="D772" s="5" t="str">
        <f>IF(B772="","",IFERROR(INDEX(Articles!$E:$E,MATCH(B772,Articles!$B:$B,0)),""))</f>
        <v/>
      </c>
      <c r="E772" s="9" t="str">
        <f>IF(OR(C772="",D772=""),"",C772*D772)</f>
        <v/>
      </c>
      <c r="F772" s="4"/>
      <c r="G772" s="4"/>
      <c r="H772" s="9" t="str">
        <f>IF(OR(B772="",C772=""),"",C772*IFERROR(INDEX(Articles!$D:$D,MATCH(B772,Articles!$B:$B,0)),0))</f>
        <v/>
      </c>
      <c r="I772" s="9" t="str">
        <f>IF(OR(E772="",H772=""),"",E772-H772)</f>
        <v/>
      </c>
      <c r="J772" s="4"/>
    </row>
    <row r="773">
      <c r="A773" s="7"/>
      <c r="B773" s="4"/>
      <c r="C773" s="6"/>
      <c r="D773" s="5" t="str">
        <f>IF(B773="","",IFERROR(INDEX(Articles!$E:$E,MATCH(B773,Articles!$B:$B,0)),""))</f>
        <v/>
      </c>
      <c r="E773" s="9" t="str">
        <f>IF(OR(C773="",D773=""),"",C773*D773)</f>
        <v/>
      </c>
      <c r="F773" s="4"/>
      <c r="G773" s="4"/>
      <c r="H773" s="9" t="str">
        <f>IF(OR(B773="",C773=""),"",C773*IFERROR(INDEX(Articles!$D:$D,MATCH(B773,Articles!$B:$B,0)),0))</f>
        <v/>
      </c>
      <c r="I773" s="9" t="str">
        <f>IF(OR(E773="",H773=""),"",E773-H773)</f>
        <v/>
      </c>
      <c r="J773" s="4"/>
    </row>
    <row r="774">
      <c r="A774" s="7"/>
      <c r="B774" s="4"/>
      <c r="C774" s="6"/>
      <c r="D774" s="5" t="str">
        <f>IF(B774="","",IFERROR(INDEX(Articles!$E:$E,MATCH(B774,Articles!$B:$B,0)),""))</f>
        <v/>
      </c>
      <c r="E774" s="9" t="str">
        <f>IF(OR(C774="",D774=""),"",C774*D774)</f>
        <v/>
      </c>
      <c r="F774" s="4"/>
      <c r="G774" s="4"/>
      <c r="H774" s="9" t="str">
        <f>IF(OR(B774="",C774=""),"",C774*IFERROR(INDEX(Articles!$D:$D,MATCH(B774,Articles!$B:$B,0)),0))</f>
        <v/>
      </c>
      <c r="I774" s="9" t="str">
        <f>IF(OR(E774="",H774=""),"",E774-H774)</f>
        <v/>
      </c>
      <c r="J774" s="4"/>
    </row>
    <row r="775">
      <c r="A775" s="7"/>
      <c r="B775" s="4"/>
      <c r="C775" s="6"/>
      <c r="D775" s="5" t="str">
        <f>IF(B775="","",IFERROR(INDEX(Articles!$E:$E,MATCH(B775,Articles!$B:$B,0)),""))</f>
        <v/>
      </c>
      <c r="E775" s="9" t="str">
        <f>IF(OR(C775="",D775=""),"",C775*D775)</f>
        <v/>
      </c>
      <c r="F775" s="4"/>
      <c r="G775" s="4"/>
      <c r="H775" s="9" t="str">
        <f>IF(OR(B775="",C775=""),"",C775*IFERROR(INDEX(Articles!$D:$D,MATCH(B775,Articles!$B:$B,0)),0))</f>
        <v/>
      </c>
      <c r="I775" s="9" t="str">
        <f>IF(OR(E775="",H775=""),"",E775-H775)</f>
        <v/>
      </c>
      <c r="J775" s="4"/>
    </row>
    <row r="776">
      <c r="A776" s="7"/>
      <c r="B776" s="4"/>
      <c r="C776" s="6"/>
      <c r="D776" s="5" t="str">
        <f>IF(B776="","",IFERROR(INDEX(Articles!$E:$E,MATCH(B776,Articles!$B:$B,0)),""))</f>
        <v/>
      </c>
      <c r="E776" s="9" t="str">
        <f>IF(OR(C776="",D776=""),"",C776*D776)</f>
        <v/>
      </c>
      <c r="F776" s="4"/>
      <c r="G776" s="4"/>
      <c r="H776" s="9" t="str">
        <f>IF(OR(B776="",C776=""),"",C776*IFERROR(INDEX(Articles!$D:$D,MATCH(B776,Articles!$B:$B,0)),0))</f>
        <v/>
      </c>
      <c r="I776" s="9" t="str">
        <f>IF(OR(E776="",H776=""),"",E776-H776)</f>
        <v/>
      </c>
      <c r="J776" s="4"/>
    </row>
    <row r="777">
      <c r="A777" s="7"/>
      <c r="B777" s="4"/>
      <c r="C777" s="6"/>
      <c r="D777" s="5" t="str">
        <f>IF(B777="","",IFERROR(INDEX(Articles!$E:$E,MATCH(B777,Articles!$B:$B,0)),""))</f>
        <v/>
      </c>
      <c r="E777" s="9" t="str">
        <f>IF(OR(C777="",D777=""),"",C777*D777)</f>
        <v/>
      </c>
      <c r="F777" s="4"/>
      <c r="G777" s="4"/>
      <c r="H777" s="9" t="str">
        <f>IF(OR(B777="",C777=""),"",C777*IFERROR(INDEX(Articles!$D:$D,MATCH(B777,Articles!$B:$B,0)),0))</f>
        <v/>
      </c>
      <c r="I777" s="9" t="str">
        <f>IF(OR(E777="",H777=""),"",E777-H777)</f>
        <v/>
      </c>
      <c r="J777" s="4"/>
    </row>
    <row r="778">
      <c r="A778" s="7"/>
      <c r="B778" s="4"/>
      <c r="C778" s="6"/>
      <c r="D778" s="5" t="str">
        <f>IF(B778="","",IFERROR(INDEX(Articles!$E:$E,MATCH(B778,Articles!$B:$B,0)),""))</f>
        <v/>
      </c>
      <c r="E778" s="9" t="str">
        <f>IF(OR(C778="",D778=""),"",C778*D778)</f>
        <v/>
      </c>
      <c r="F778" s="4"/>
      <c r="G778" s="4"/>
      <c r="H778" s="9" t="str">
        <f>IF(OR(B778="",C778=""),"",C778*IFERROR(INDEX(Articles!$D:$D,MATCH(B778,Articles!$B:$B,0)),0))</f>
        <v/>
      </c>
      <c r="I778" s="9" t="str">
        <f>IF(OR(E778="",H778=""),"",E778-H778)</f>
        <v/>
      </c>
      <c r="J778" s="4"/>
    </row>
    <row r="779">
      <c r="A779" s="7"/>
      <c r="B779" s="4"/>
      <c r="C779" s="6"/>
      <c r="D779" s="5" t="str">
        <f>IF(B779="","",IFERROR(INDEX(Articles!$E:$E,MATCH(B779,Articles!$B:$B,0)),""))</f>
        <v/>
      </c>
      <c r="E779" s="9" t="str">
        <f>IF(OR(C779="",D779=""),"",C779*D779)</f>
        <v/>
      </c>
      <c r="F779" s="4"/>
      <c r="G779" s="4"/>
      <c r="H779" s="9" t="str">
        <f>IF(OR(B779="",C779=""),"",C779*IFERROR(INDEX(Articles!$D:$D,MATCH(B779,Articles!$B:$B,0)),0))</f>
        <v/>
      </c>
      <c r="I779" s="9" t="str">
        <f>IF(OR(E779="",H779=""),"",E779-H779)</f>
        <v/>
      </c>
      <c r="J779" s="4"/>
    </row>
    <row r="780">
      <c r="A780" s="7"/>
      <c r="B780" s="4"/>
      <c r="C780" s="6"/>
      <c r="D780" s="5" t="str">
        <f>IF(B780="","",IFERROR(INDEX(Articles!$E:$E,MATCH(B780,Articles!$B:$B,0)),""))</f>
        <v/>
      </c>
      <c r="E780" s="9" t="str">
        <f>IF(OR(C780="",D780=""),"",C780*D780)</f>
        <v/>
      </c>
      <c r="F780" s="4"/>
      <c r="G780" s="4"/>
      <c r="H780" s="9" t="str">
        <f>IF(OR(B780="",C780=""),"",C780*IFERROR(INDEX(Articles!$D:$D,MATCH(B780,Articles!$B:$B,0)),0))</f>
        <v/>
      </c>
      <c r="I780" s="9" t="str">
        <f>IF(OR(E780="",H780=""),"",E780-H780)</f>
        <v/>
      </c>
      <c r="J780" s="4"/>
    </row>
    <row r="781">
      <c r="A781" s="7"/>
      <c r="B781" s="4"/>
      <c r="C781" s="6"/>
      <c r="D781" s="5" t="str">
        <f>IF(B781="","",IFERROR(INDEX(Articles!$E:$E,MATCH(B781,Articles!$B:$B,0)),""))</f>
        <v/>
      </c>
      <c r="E781" s="9" t="str">
        <f>IF(OR(C781="",D781=""),"",C781*D781)</f>
        <v/>
      </c>
      <c r="F781" s="4"/>
      <c r="G781" s="4"/>
      <c r="H781" s="9" t="str">
        <f>IF(OR(B781="",C781=""),"",C781*IFERROR(INDEX(Articles!$D:$D,MATCH(B781,Articles!$B:$B,0)),0))</f>
        <v/>
      </c>
      <c r="I781" s="9" t="str">
        <f>IF(OR(E781="",H781=""),"",E781-H781)</f>
        <v/>
      </c>
      <c r="J781" s="4"/>
    </row>
    <row r="782">
      <c r="A782" s="7"/>
      <c r="B782" s="4"/>
      <c r="C782" s="6"/>
      <c r="D782" s="5" t="str">
        <f>IF(B782="","",IFERROR(INDEX(Articles!$E:$E,MATCH(B782,Articles!$B:$B,0)),""))</f>
        <v/>
      </c>
      <c r="E782" s="9" t="str">
        <f>IF(OR(C782="",D782=""),"",C782*D782)</f>
        <v/>
      </c>
      <c r="F782" s="4"/>
      <c r="G782" s="4"/>
      <c r="H782" s="9" t="str">
        <f>IF(OR(B782="",C782=""),"",C782*IFERROR(INDEX(Articles!$D:$D,MATCH(B782,Articles!$B:$B,0)),0))</f>
        <v/>
      </c>
      <c r="I782" s="9" t="str">
        <f>IF(OR(E782="",H782=""),"",E782-H782)</f>
        <v/>
      </c>
      <c r="J782" s="4"/>
    </row>
    <row r="783">
      <c r="A783" s="7"/>
      <c r="B783" s="4"/>
      <c r="C783" s="6"/>
      <c r="D783" s="5" t="str">
        <f>IF(B783="","",IFERROR(INDEX(Articles!$E:$E,MATCH(B783,Articles!$B:$B,0)),""))</f>
        <v/>
      </c>
      <c r="E783" s="9" t="str">
        <f>IF(OR(C783="",D783=""),"",C783*D783)</f>
        <v/>
      </c>
      <c r="F783" s="4"/>
      <c r="G783" s="4"/>
      <c r="H783" s="9" t="str">
        <f>IF(OR(B783="",C783=""),"",C783*IFERROR(INDEX(Articles!$D:$D,MATCH(B783,Articles!$B:$B,0)),0))</f>
        <v/>
      </c>
      <c r="I783" s="9" t="str">
        <f>IF(OR(E783="",H783=""),"",E783-H783)</f>
        <v/>
      </c>
      <c r="J783" s="4"/>
    </row>
    <row r="784">
      <c r="A784" s="7"/>
      <c r="B784" s="4"/>
      <c r="C784" s="6"/>
      <c r="D784" s="5" t="str">
        <f>IF(B784="","",IFERROR(INDEX(Articles!$E:$E,MATCH(B784,Articles!$B:$B,0)),""))</f>
        <v/>
      </c>
      <c r="E784" s="9" t="str">
        <f>IF(OR(C784="",D784=""),"",C784*D784)</f>
        <v/>
      </c>
      <c r="F784" s="4"/>
      <c r="G784" s="4"/>
      <c r="H784" s="9" t="str">
        <f>IF(OR(B784="",C784=""),"",C784*IFERROR(INDEX(Articles!$D:$D,MATCH(B784,Articles!$B:$B,0)),0))</f>
        <v/>
      </c>
      <c r="I784" s="9" t="str">
        <f>IF(OR(E784="",H784=""),"",E784-H784)</f>
        <v/>
      </c>
      <c r="J784" s="4"/>
    </row>
    <row r="785">
      <c r="A785" s="7"/>
      <c r="B785" s="4"/>
      <c r="C785" s="6"/>
      <c r="D785" s="5" t="str">
        <f>IF(B785="","",IFERROR(INDEX(Articles!$E:$E,MATCH(B785,Articles!$B:$B,0)),""))</f>
        <v/>
      </c>
      <c r="E785" s="9" t="str">
        <f>IF(OR(C785="",D785=""),"",C785*D785)</f>
        <v/>
      </c>
      <c r="F785" s="4"/>
      <c r="G785" s="4"/>
      <c r="H785" s="9" t="str">
        <f>IF(OR(B785="",C785=""),"",C785*IFERROR(INDEX(Articles!$D:$D,MATCH(B785,Articles!$B:$B,0)),0))</f>
        <v/>
      </c>
      <c r="I785" s="9" t="str">
        <f>IF(OR(E785="",H785=""),"",E785-H785)</f>
        <v/>
      </c>
      <c r="J785" s="4"/>
    </row>
    <row r="786">
      <c r="A786" s="7"/>
      <c r="B786" s="4"/>
      <c r="C786" s="6"/>
      <c r="D786" s="5" t="str">
        <f>IF(B786="","",IFERROR(INDEX(Articles!$E:$E,MATCH(B786,Articles!$B:$B,0)),""))</f>
        <v/>
      </c>
      <c r="E786" s="9" t="str">
        <f>IF(OR(C786="",D786=""),"",C786*D786)</f>
        <v/>
      </c>
      <c r="F786" s="4"/>
      <c r="G786" s="4"/>
      <c r="H786" s="9" t="str">
        <f>IF(OR(B786="",C786=""),"",C786*IFERROR(INDEX(Articles!$D:$D,MATCH(B786,Articles!$B:$B,0)),0))</f>
        <v/>
      </c>
      <c r="I786" s="9" t="str">
        <f>IF(OR(E786="",H786=""),"",E786-H786)</f>
        <v/>
      </c>
      <c r="J786" s="4"/>
    </row>
    <row r="787">
      <c r="A787" s="7"/>
      <c r="B787" s="4"/>
      <c r="C787" s="6"/>
      <c r="D787" s="5" t="str">
        <f>IF(B787="","",IFERROR(INDEX(Articles!$E:$E,MATCH(B787,Articles!$B:$B,0)),""))</f>
        <v/>
      </c>
      <c r="E787" s="9" t="str">
        <f>IF(OR(C787="",D787=""),"",C787*D787)</f>
        <v/>
      </c>
      <c r="F787" s="4"/>
      <c r="G787" s="4"/>
      <c r="H787" s="9" t="str">
        <f>IF(OR(B787="",C787=""),"",C787*IFERROR(INDEX(Articles!$D:$D,MATCH(B787,Articles!$B:$B,0)),0))</f>
        <v/>
      </c>
      <c r="I787" s="9" t="str">
        <f>IF(OR(E787="",H787=""),"",E787-H787)</f>
        <v/>
      </c>
      <c r="J787" s="4"/>
    </row>
    <row r="788">
      <c r="A788" s="7"/>
      <c r="B788" s="4"/>
      <c r="C788" s="6"/>
      <c r="D788" s="5" t="str">
        <f>IF(B788="","",IFERROR(INDEX(Articles!$E:$E,MATCH(B788,Articles!$B:$B,0)),""))</f>
        <v/>
      </c>
      <c r="E788" s="9" t="str">
        <f>IF(OR(C788="",D788=""),"",C788*D788)</f>
        <v/>
      </c>
      <c r="F788" s="4"/>
      <c r="G788" s="4"/>
      <c r="H788" s="9" t="str">
        <f>IF(OR(B788="",C788=""),"",C788*IFERROR(INDEX(Articles!$D:$D,MATCH(B788,Articles!$B:$B,0)),0))</f>
        <v/>
      </c>
      <c r="I788" s="9" t="str">
        <f>IF(OR(E788="",H788=""),"",E788-H788)</f>
        <v/>
      </c>
      <c r="J788" s="4"/>
    </row>
    <row r="789">
      <c r="A789" s="7"/>
      <c r="B789" s="4"/>
      <c r="C789" s="6"/>
      <c r="D789" s="5" t="str">
        <f>IF(B789="","",IFERROR(INDEX(Articles!$E:$E,MATCH(B789,Articles!$B:$B,0)),""))</f>
        <v/>
      </c>
      <c r="E789" s="9" t="str">
        <f>IF(OR(C789="",D789=""),"",C789*D789)</f>
        <v/>
      </c>
      <c r="F789" s="4"/>
      <c r="G789" s="4"/>
      <c r="H789" s="9" t="str">
        <f>IF(OR(B789="",C789=""),"",C789*IFERROR(INDEX(Articles!$D:$D,MATCH(B789,Articles!$B:$B,0)),0))</f>
        <v/>
      </c>
      <c r="I789" s="9" t="str">
        <f>IF(OR(E789="",H789=""),"",E789-H789)</f>
        <v/>
      </c>
      <c r="J789" s="4"/>
    </row>
    <row r="790">
      <c r="A790" s="7"/>
      <c r="B790" s="4"/>
      <c r="C790" s="6"/>
      <c r="D790" s="5" t="str">
        <f>IF(B790="","",IFERROR(INDEX(Articles!$E:$E,MATCH(B790,Articles!$B:$B,0)),""))</f>
        <v/>
      </c>
      <c r="E790" s="9" t="str">
        <f>IF(OR(C790="",D790=""),"",C790*D790)</f>
        <v/>
      </c>
      <c r="F790" s="4"/>
      <c r="G790" s="4"/>
      <c r="H790" s="9" t="str">
        <f>IF(OR(B790="",C790=""),"",C790*IFERROR(INDEX(Articles!$D:$D,MATCH(B790,Articles!$B:$B,0)),0))</f>
        <v/>
      </c>
      <c r="I790" s="9" t="str">
        <f>IF(OR(E790="",H790=""),"",E790-H790)</f>
        <v/>
      </c>
      <c r="J790" s="4"/>
    </row>
    <row r="791">
      <c r="A791" s="7"/>
      <c r="B791" s="4"/>
      <c r="C791" s="6"/>
      <c r="D791" s="5" t="str">
        <f>IF(B791="","",IFERROR(INDEX(Articles!$E:$E,MATCH(B791,Articles!$B:$B,0)),""))</f>
        <v/>
      </c>
      <c r="E791" s="9" t="str">
        <f>IF(OR(C791="",D791=""),"",C791*D791)</f>
        <v/>
      </c>
      <c r="F791" s="4"/>
      <c r="G791" s="4"/>
      <c r="H791" s="9" t="str">
        <f>IF(OR(B791="",C791=""),"",C791*IFERROR(INDEX(Articles!$D:$D,MATCH(B791,Articles!$B:$B,0)),0))</f>
        <v/>
      </c>
      <c r="I791" s="9" t="str">
        <f>IF(OR(E791="",H791=""),"",E791-H791)</f>
        <v/>
      </c>
      <c r="J791" s="4"/>
    </row>
    <row r="792">
      <c r="A792" s="7"/>
      <c r="B792" s="4"/>
      <c r="C792" s="6"/>
      <c r="D792" s="5" t="str">
        <f>IF(B792="","",IFERROR(INDEX(Articles!$E:$E,MATCH(B792,Articles!$B:$B,0)),""))</f>
        <v/>
      </c>
      <c r="E792" s="9" t="str">
        <f>IF(OR(C792="",D792=""),"",C792*D792)</f>
        <v/>
      </c>
      <c r="F792" s="4"/>
      <c r="G792" s="4"/>
      <c r="H792" s="9" t="str">
        <f>IF(OR(B792="",C792=""),"",C792*IFERROR(INDEX(Articles!$D:$D,MATCH(B792,Articles!$B:$B,0)),0))</f>
        <v/>
      </c>
      <c r="I792" s="9" t="str">
        <f>IF(OR(E792="",H792=""),"",E792-H792)</f>
        <v/>
      </c>
      <c r="J792" s="4"/>
    </row>
    <row r="793">
      <c r="A793" s="7"/>
      <c r="B793" s="4"/>
      <c r="C793" s="6"/>
      <c r="D793" s="5" t="str">
        <f>IF(B793="","",IFERROR(INDEX(Articles!$E:$E,MATCH(B793,Articles!$B:$B,0)),""))</f>
        <v/>
      </c>
      <c r="E793" s="9" t="str">
        <f>IF(OR(C793="",D793=""),"",C793*D793)</f>
        <v/>
      </c>
      <c r="F793" s="4"/>
      <c r="G793" s="4"/>
      <c r="H793" s="9" t="str">
        <f>IF(OR(B793="",C793=""),"",C793*IFERROR(INDEX(Articles!$D:$D,MATCH(B793,Articles!$B:$B,0)),0))</f>
        <v/>
      </c>
      <c r="I793" s="9" t="str">
        <f>IF(OR(E793="",H793=""),"",E793-H793)</f>
        <v/>
      </c>
      <c r="J793" s="4"/>
    </row>
    <row r="794">
      <c r="A794" s="7"/>
      <c r="B794" s="4"/>
      <c r="C794" s="6"/>
      <c r="D794" s="5" t="str">
        <f>IF(B794="","",IFERROR(INDEX(Articles!$E:$E,MATCH(B794,Articles!$B:$B,0)),""))</f>
        <v/>
      </c>
      <c r="E794" s="9" t="str">
        <f>IF(OR(C794="",D794=""),"",C794*D794)</f>
        <v/>
      </c>
      <c r="F794" s="4"/>
      <c r="G794" s="4"/>
      <c r="H794" s="9" t="str">
        <f>IF(OR(B794="",C794=""),"",C794*IFERROR(INDEX(Articles!$D:$D,MATCH(B794,Articles!$B:$B,0)),0))</f>
        <v/>
      </c>
      <c r="I794" s="9" t="str">
        <f>IF(OR(E794="",H794=""),"",E794-H794)</f>
        <v/>
      </c>
      <c r="J794" s="4"/>
    </row>
    <row r="795">
      <c r="A795" s="7"/>
      <c r="B795" s="4"/>
      <c r="C795" s="6"/>
      <c r="D795" s="5" t="str">
        <f>IF(B795="","",IFERROR(INDEX(Articles!$E:$E,MATCH(B795,Articles!$B:$B,0)),""))</f>
        <v/>
      </c>
      <c r="E795" s="9" t="str">
        <f>IF(OR(C795="",D795=""),"",C795*D795)</f>
        <v/>
      </c>
      <c r="F795" s="4"/>
      <c r="G795" s="4"/>
      <c r="H795" s="9" t="str">
        <f>IF(OR(B795="",C795=""),"",C795*IFERROR(INDEX(Articles!$D:$D,MATCH(B795,Articles!$B:$B,0)),0))</f>
        <v/>
      </c>
      <c r="I795" s="9" t="str">
        <f>IF(OR(E795="",H795=""),"",E795-H795)</f>
        <v/>
      </c>
      <c r="J795" s="4"/>
    </row>
    <row r="796">
      <c r="A796" s="7"/>
      <c r="B796" s="4"/>
      <c r="C796" s="6"/>
      <c r="D796" s="5" t="str">
        <f>IF(B796="","",IFERROR(INDEX(Articles!$E:$E,MATCH(B796,Articles!$B:$B,0)),""))</f>
        <v/>
      </c>
      <c r="E796" s="9" t="str">
        <f>IF(OR(C796="",D796=""),"",C796*D796)</f>
        <v/>
      </c>
      <c r="F796" s="4"/>
      <c r="G796" s="4"/>
      <c r="H796" s="9" t="str">
        <f>IF(OR(B796="",C796=""),"",C796*IFERROR(INDEX(Articles!$D:$D,MATCH(B796,Articles!$B:$B,0)),0))</f>
        <v/>
      </c>
      <c r="I796" s="9" t="str">
        <f>IF(OR(E796="",H796=""),"",E796-H796)</f>
        <v/>
      </c>
      <c r="J796" s="4"/>
    </row>
    <row r="797">
      <c r="A797" s="7"/>
      <c r="B797" s="4"/>
      <c r="C797" s="6"/>
      <c r="D797" s="5" t="str">
        <f>IF(B797="","",IFERROR(INDEX(Articles!$E:$E,MATCH(B797,Articles!$B:$B,0)),""))</f>
        <v/>
      </c>
      <c r="E797" s="9" t="str">
        <f>IF(OR(C797="",D797=""),"",C797*D797)</f>
        <v/>
      </c>
      <c r="F797" s="4"/>
      <c r="G797" s="4"/>
      <c r="H797" s="9" t="str">
        <f>IF(OR(B797="",C797=""),"",C797*IFERROR(INDEX(Articles!$D:$D,MATCH(B797,Articles!$B:$B,0)),0))</f>
        <v/>
      </c>
      <c r="I797" s="9" t="str">
        <f>IF(OR(E797="",H797=""),"",E797-H797)</f>
        <v/>
      </c>
      <c r="J797" s="4"/>
    </row>
    <row r="798">
      <c r="A798" s="7"/>
      <c r="B798" s="4"/>
      <c r="C798" s="6"/>
      <c r="D798" s="5" t="str">
        <f>IF(B798="","",IFERROR(INDEX(Articles!$E:$E,MATCH(B798,Articles!$B:$B,0)),""))</f>
        <v/>
      </c>
      <c r="E798" s="9" t="str">
        <f>IF(OR(C798="",D798=""),"",C798*D798)</f>
        <v/>
      </c>
      <c r="F798" s="4"/>
      <c r="G798" s="4"/>
      <c r="H798" s="9" t="str">
        <f>IF(OR(B798="",C798=""),"",C798*IFERROR(INDEX(Articles!$D:$D,MATCH(B798,Articles!$B:$B,0)),0))</f>
        <v/>
      </c>
      <c r="I798" s="9" t="str">
        <f>IF(OR(E798="",H798=""),"",E798-H798)</f>
        <v/>
      </c>
      <c r="J798" s="4"/>
    </row>
    <row r="799">
      <c r="A799" s="7"/>
      <c r="B799" s="4"/>
      <c r="C799" s="6"/>
      <c r="D799" s="5" t="str">
        <f>IF(B799="","",IFERROR(INDEX(Articles!$E:$E,MATCH(B799,Articles!$B:$B,0)),""))</f>
        <v/>
      </c>
      <c r="E799" s="9" t="str">
        <f>IF(OR(C799="",D799=""),"",C799*D799)</f>
        <v/>
      </c>
      <c r="F799" s="4"/>
      <c r="G799" s="4"/>
      <c r="H799" s="9" t="str">
        <f>IF(OR(B799="",C799=""),"",C799*IFERROR(INDEX(Articles!$D:$D,MATCH(B799,Articles!$B:$B,0)),0))</f>
        <v/>
      </c>
      <c r="I799" s="9" t="str">
        <f>IF(OR(E799="",H799=""),"",E799-H799)</f>
        <v/>
      </c>
      <c r="J799" s="4"/>
    </row>
    <row r="800">
      <c r="A800" s="7"/>
      <c r="B800" s="4"/>
      <c r="C800" s="6"/>
      <c r="D800" s="5" t="str">
        <f>IF(B800="","",IFERROR(INDEX(Articles!$E:$E,MATCH(B800,Articles!$B:$B,0)),""))</f>
        <v/>
      </c>
      <c r="E800" s="9" t="str">
        <f>IF(OR(C800="",D800=""),"",C800*D800)</f>
        <v/>
      </c>
      <c r="F800" s="4"/>
      <c r="G800" s="4"/>
      <c r="H800" s="9" t="str">
        <f>IF(OR(B800="",C800=""),"",C800*IFERROR(INDEX(Articles!$D:$D,MATCH(B800,Articles!$B:$B,0)),0))</f>
        <v/>
      </c>
      <c r="I800" s="9" t="str">
        <f>IF(OR(E800="",H800=""),"",E800-H800)</f>
        <v/>
      </c>
      <c r="J800" s="4"/>
    </row>
    <row r="801">
      <c r="A801" s="7"/>
      <c r="B801" s="4"/>
      <c r="C801" s="6"/>
      <c r="D801" s="5" t="str">
        <f>IF(B801="","",IFERROR(INDEX(Articles!$E:$E,MATCH(B801,Articles!$B:$B,0)),""))</f>
        <v/>
      </c>
      <c r="E801" s="9" t="str">
        <f>IF(OR(C801="",D801=""),"",C801*D801)</f>
        <v/>
      </c>
      <c r="F801" s="4"/>
      <c r="G801" s="4"/>
      <c r="H801" s="9" t="str">
        <f>IF(OR(B801="",C801=""),"",C801*IFERROR(INDEX(Articles!$D:$D,MATCH(B801,Articles!$B:$B,0)),0))</f>
        <v/>
      </c>
      <c r="I801" s="9" t="str">
        <f>IF(OR(E801="",H801=""),"",E801-H801)</f>
        <v/>
      </c>
      <c r="J801" s="4"/>
    </row>
    <row r="802">
      <c r="A802" s="7"/>
      <c r="B802" s="4"/>
      <c r="C802" s="6"/>
      <c r="D802" s="5" t="str">
        <f>IF(B802="","",IFERROR(INDEX(Articles!$E:$E,MATCH(B802,Articles!$B:$B,0)),""))</f>
        <v/>
      </c>
      <c r="E802" s="9" t="str">
        <f>IF(OR(C802="",D802=""),"",C802*D802)</f>
        <v/>
      </c>
      <c r="F802" s="4"/>
      <c r="G802" s="4"/>
      <c r="H802" s="9" t="str">
        <f>IF(OR(B802="",C802=""),"",C802*IFERROR(INDEX(Articles!$D:$D,MATCH(B802,Articles!$B:$B,0)),0))</f>
        <v/>
      </c>
      <c r="I802" s="9" t="str">
        <f>IF(OR(E802="",H802=""),"",E802-H802)</f>
        <v/>
      </c>
      <c r="J802" s="4"/>
    </row>
    <row r="803">
      <c r="A803" s="7"/>
      <c r="B803" s="4"/>
      <c r="C803" s="6"/>
      <c r="D803" s="5" t="str">
        <f>IF(B803="","",IFERROR(INDEX(Articles!$E:$E,MATCH(B803,Articles!$B:$B,0)),""))</f>
        <v/>
      </c>
      <c r="E803" s="9" t="str">
        <f>IF(OR(C803="",D803=""),"",C803*D803)</f>
        <v/>
      </c>
      <c r="F803" s="4"/>
      <c r="G803" s="4"/>
      <c r="H803" s="9" t="str">
        <f>IF(OR(B803="",C803=""),"",C803*IFERROR(INDEX(Articles!$D:$D,MATCH(B803,Articles!$B:$B,0)),0))</f>
        <v/>
      </c>
      <c r="I803" s="9" t="str">
        <f>IF(OR(E803="",H803=""),"",E803-H803)</f>
        <v/>
      </c>
      <c r="J803" s="4"/>
    </row>
    <row r="804">
      <c r="A804" s="7"/>
      <c r="B804" s="4"/>
      <c r="C804" s="6"/>
      <c r="D804" s="5" t="str">
        <f>IF(B804="","",IFERROR(INDEX(Articles!$E:$E,MATCH(B804,Articles!$B:$B,0)),""))</f>
        <v/>
      </c>
      <c r="E804" s="9" t="str">
        <f>IF(OR(C804="",D804=""),"",C804*D804)</f>
        <v/>
      </c>
      <c r="F804" s="4"/>
      <c r="G804" s="4"/>
      <c r="H804" s="9" t="str">
        <f>IF(OR(B804="",C804=""),"",C804*IFERROR(INDEX(Articles!$D:$D,MATCH(B804,Articles!$B:$B,0)),0))</f>
        <v/>
      </c>
      <c r="I804" s="9" t="str">
        <f>IF(OR(E804="",H804=""),"",E804-H804)</f>
        <v/>
      </c>
      <c r="J804" s="4"/>
    </row>
    <row r="805">
      <c r="A805" s="7"/>
      <c r="B805" s="4"/>
      <c r="C805" s="6"/>
      <c r="D805" s="5" t="str">
        <f>IF(B805="","",IFERROR(INDEX(Articles!$E:$E,MATCH(B805,Articles!$B:$B,0)),""))</f>
        <v/>
      </c>
      <c r="E805" s="9" t="str">
        <f>IF(OR(C805="",D805=""),"",C805*D805)</f>
        <v/>
      </c>
      <c r="F805" s="4"/>
      <c r="G805" s="4"/>
      <c r="H805" s="9" t="str">
        <f>IF(OR(B805="",C805=""),"",C805*IFERROR(INDEX(Articles!$D:$D,MATCH(B805,Articles!$B:$B,0)),0))</f>
        <v/>
      </c>
      <c r="I805" s="9" t="str">
        <f>IF(OR(E805="",H805=""),"",E805-H805)</f>
        <v/>
      </c>
      <c r="J805" s="4"/>
    </row>
    <row r="806">
      <c r="A806" s="7"/>
      <c r="B806" s="4"/>
      <c r="C806" s="6"/>
      <c r="D806" s="5" t="str">
        <f>IF(B806="","",IFERROR(INDEX(Articles!$E:$E,MATCH(B806,Articles!$B:$B,0)),""))</f>
        <v/>
      </c>
      <c r="E806" s="9" t="str">
        <f>IF(OR(C806="",D806=""),"",C806*D806)</f>
        <v/>
      </c>
      <c r="F806" s="4"/>
      <c r="G806" s="4"/>
      <c r="H806" s="9" t="str">
        <f>IF(OR(B806="",C806=""),"",C806*IFERROR(INDEX(Articles!$D:$D,MATCH(B806,Articles!$B:$B,0)),0))</f>
        <v/>
      </c>
      <c r="I806" s="9" t="str">
        <f>IF(OR(E806="",H806=""),"",E806-H806)</f>
        <v/>
      </c>
      <c r="J806" s="4"/>
    </row>
    <row r="807">
      <c r="A807" s="7"/>
      <c r="B807" s="4"/>
      <c r="C807" s="6"/>
      <c r="D807" s="5" t="str">
        <f>IF(B807="","",IFERROR(INDEX(Articles!$E:$E,MATCH(B807,Articles!$B:$B,0)),""))</f>
        <v/>
      </c>
      <c r="E807" s="9" t="str">
        <f>IF(OR(C807="",D807=""),"",C807*D807)</f>
        <v/>
      </c>
      <c r="F807" s="4"/>
      <c r="G807" s="4"/>
      <c r="H807" s="9" t="str">
        <f>IF(OR(B807="",C807=""),"",C807*IFERROR(INDEX(Articles!$D:$D,MATCH(B807,Articles!$B:$B,0)),0))</f>
        <v/>
      </c>
      <c r="I807" s="9" t="str">
        <f>IF(OR(E807="",H807=""),"",E807-H807)</f>
        <v/>
      </c>
      <c r="J807" s="4"/>
    </row>
    <row r="808">
      <c r="A808" s="7"/>
      <c r="B808" s="4"/>
      <c r="C808" s="6"/>
      <c r="D808" s="5" t="str">
        <f>IF(B808="","",IFERROR(INDEX(Articles!$E:$E,MATCH(B808,Articles!$B:$B,0)),""))</f>
        <v/>
      </c>
      <c r="E808" s="9" t="str">
        <f>IF(OR(C808="",D808=""),"",C808*D808)</f>
        <v/>
      </c>
      <c r="F808" s="4"/>
      <c r="G808" s="4"/>
      <c r="H808" s="9" t="str">
        <f>IF(OR(B808="",C808=""),"",C808*IFERROR(INDEX(Articles!$D:$D,MATCH(B808,Articles!$B:$B,0)),0))</f>
        <v/>
      </c>
      <c r="I808" s="9" t="str">
        <f>IF(OR(E808="",H808=""),"",E808-H808)</f>
        <v/>
      </c>
      <c r="J808" s="4"/>
    </row>
    <row r="809">
      <c r="A809" s="7"/>
      <c r="B809" s="4"/>
      <c r="C809" s="6"/>
      <c r="D809" s="5" t="str">
        <f>IF(B809="","",IFERROR(INDEX(Articles!$E:$E,MATCH(B809,Articles!$B:$B,0)),""))</f>
        <v/>
      </c>
      <c r="E809" s="9" t="str">
        <f>IF(OR(C809="",D809=""),"",C809*D809)</f>
        <v/>
      </c>
      <c r="F809" s="4"/>
      <c r="G809" s="4"/>
      <c r="H809" s="9" t="str">
        <f>IF(OR(B809="",C809=""),"",C809*IFERROR(INDEX(Articles!$D:$D,MATCH(B809,Articles!$B:$B,0)),0))</f>
        <v/>
      </c>
      <c r="I809" s="9" t="str">
        <f>IF(OR(E809="",H809=""),"",E809-H809)</f>
        <v/>
      </c>
      <c r="J809" s="4"/>
    </row>
    <row r="810">
      <c r="A810" s="7"/>
      <c r="B810" s="4"/>
      <c r="C810" s="6"/>
      <c r="D810" s="5" t="str">
        <f>IF(B810="","",IFERROR(INDEX(Articles!$E:$E,MATCH(B810,Articles!$B:$B,0)),""))</f>
        <v/>
      </c>
      <c r="E810" s="9" t="str">
        <f>IF(OR(C810="",D810=""),"",C810*D810)</f>
        <v/>
      </c>
      <c r="F810" s="4"/>
      <c r="G810" s="4"/>
      <c r="H810" s="9" t="str">
        <f>IF(OR(B810="",C810=""),"",C810*IFERROR(INDEX(Articles!$D:$D,MATCH(B810,Articles!$B:$B,0)),0))</f>
        <v/>
      </c>
      <c r="I810" s="9" t="str">
        <f>IF(OR(E810="",H810=""),"",E810-H810)</f>
        <v/>
      </c>
      <c r="J810" s="4"/>
    </row>
    <row r="811">
      <c r="A811" s="7"/>
      <c r="B811" s="4"/>
      <c r="C811" s="6"/>
      <c r="D811" s="5" t="str">
        <f>IF(B811="","",IFERROR(INDEX(Articles!$E:$E,MATCH(B811,Articles!$B:$B,0)),""))</f>
        <v/>
      </c>
      <c r="E811" s="9" t="str">
        <f>IF(OR(C811="",D811=""),"",C811*D811)</f>
        <v/>
      </c>
      <c r="F811" s="4"/>
      <c r="G811" s="4"/>
      <c r="H811" s="9" t="str">
        <f>IF(OR(B811="",C811=""),"",C811*IFERROR(INDEX(Articles!$D:$D,MATCH(B811,Articles!$B:$B,0)),0))</f>
        <v/>
      </c>
      <c r="I811" s="9" t="str">
        <f>IF(OR(E811="",H811=""),"",E811-H811)</f>
        <v/>
      </c>
      <c r="J811" s="4"/>
    </row>
    <row r="812">
      <c r="A812" s="7"/>
      <c r="B812" s="4"/>
      <c r="C812" s="6"/>
      <c r="D812" s="5" t="str">
        <f>IF(B812="","",IFERROR(INDEX(Articles!$E:$E,MATCH(B812,Articles!$B:$B,0)),""))</f>
        <v/>
      </c>
      <c r="E812" s="9" t="str">
        <f>IF(OR(C812="",D812=""),"",C812*D812)</f>
        <v/>
      </c>
      <c r="F812" s="4"/>
      <c r="G812" s="4"/>
      <c r="H812" s="9" t="str">
        <f>IF(OR(B812="",C812=""),"",C812*IFERROR(INDEX(Articles!$D:$D,MATCH(B812,Articles!$B:$B,0)),0))</f>
        <v/>
      </c>
      <c r="I812" s="9" t="str">
        <f>IF(OR(E812="",H812=""),"",E812-H812)</f>
        <v/>
      </c>
      <c r="J812" s="4"/>
    </row>
    <row r="813">
      <c r="A813" s="7"/>
      <c r="B813" s="4"/>
      <c r="C813" s="6"/>
      <c r="D813" s="5" t="str">
        <f>IF(B813="","",IFERROR(INDEX(Articles!$E:$E,MATCH(B813,Articles!$B:$B,0)),""))</f>
        <v/>
      </c>
      <c r="E813" s="9" t="str">
        <f>IF(OR(C813="",D813=""),"",C813*D813)</f>
        <v/>
      </c>
      <c r="F813" s="4"/>
      <c r="G813" s="4"/>
      <c r="H813" s="9" t="str">
        <f>IF(OR(B813="",C813=""),"",C813*IFERROR(INDEX(Articles!$D:$D,MATCH(B813,Articles!$B:$B,0)),0))</f>
        <v/>
      </c>
      <c r="I813" s="9" t="str">
        <f>IF(OR(E813="",H813=""),"",E813-H813)</f>
        <v/>
      </c>
      <c r="J813" s="4"/>
    </row>
    <row r="814">
      <c r="A814" s="7"/>
      <c r="B814" s="4"/>
      <c r="C814" s="6"/>
      <c r="D814" s="5" t="str">
        <f>IF(B814="","",IFERROR(INDEX(Articles!$E:$E,MATCH(B814,Articles!$B:$B,0)),""))</f>
        <v/>
      </c>
      <c r="E814" s="9" t="str">
        <f>IF(OR(C814="",D814=""),"",C814*D814)</f>
        <v/>
      </c>
      <c r="F814" s="4"/>
      <c r="G814" s="4"/>
      <c r="H814" s="9" t="str">
        <f>IF(OR(B814="",C814=""),"",C814*IFERROR(INDEX(Articles!$D:$D,MATCH(B814,Articles!$B:$B,0)),0))</f>
        <v/>
      </c>
      <c r="I814" s="9" t="str">
        <f>IF(OR(E814="",H814=""),"",E814-H814)</f>
        <v/>
      </c>
      <c r="J814" s="4"/>
    </row>
    <row r="815">
      <c r="A815" s="7"/>
      <c r="B815" s="4"/>
      <c r="C815" s="6"/>
      <c r="D815" s="5" t="str">
        <f>IF(B815="","",IFERROR(INDEX(Articles!$E:$E,MATCH(B815,Articles!$B:$B,0)),""))</f>
        <v/>
      </c>
      <c r="E815" s="9" t="str">
        <f>IF(OR(C815="",D815=""),"",C815*D815)</f>
        <v/>
      </c>
      <c r="F815" s="4"/>
      <c r="G815" s="4"/>
      <c r="H815" s="9" t="str">
        <f>IF(OR(B815="",C815=""),"",C815*IFERROR(INDEX(Articles!$D:$D,MATCH(B815,Articles!$B:$B,0)),0))</f>
        <v/>
      </c>
      <c r="I815" s="9" t="str">
        <f>IF(OR(E815="",H815=""),"",E815-H815)</f>
        <v/>
      </c>
      <c r="J815" s="4"/>
    </row>
    <row r="816">
      <c r="A816" s="7"/>
      <c r="B816" s="4"/>
      <c r="C816" s="6"/>
      <c r="D816" s="5" t="str">
        <f>IF(B816="","",IFERROR(INDEX(Articles!$E:$E,MATCH(B816,Articles!$B:$B,0)),""))</f>
        <v/>
      </c>
      <c r="E816" s="9" t="str">
        <f>IF(OR(C816="",D816=""),"",C816*D816)</f>
        <v/>
      </c>
      <c r="F816" s="4"/>
      <c r="G816" s="4"/>
      <c r="H816" s="9" t="str">
        <f>IF(OR(B816="",C816=""),"",C816*IFERROR(INDEX(Articles!$D:$D,MATCH(B816,Articles!$B:$B,0)),0))</f>
        <v/>
      </c>
      <c r="I816" s="9" t="str">
        <f>IF(OR(E816="",H816=""),"",E816-H816)</f>
        <v/>
      </c>
      <c r="J816" s="4"/>
    </row>
    <row r="817">
      <c r="A817" s="7"/>
      <c r="B817" s="4"/>
      <c r="C817" s="6"/>
      <c r="D817" s="5" t="str">
        <f>IF(B817="","",IFERROR(INDEX(Articles!$E:$E,MATCH(B817,Articles!$B:$B,0)),""))</f>
        <v/>
      </c>
      <c r="E817" s="9" t="str">
        <f>IF(OR(C817="",D817=""),"",C817*D817)</f>
        <v/>
      </c>
      <c r="F817" s="4"/>
      <c r="G817" s="4"/>
      <c r="H817" s="9" t="str">
        <f>IF(OR(B817="",C817=""),"",C817*IFERROR(INDEX(Articles!$D:$D,MATCH(B817,Articles!$B:$B,0)),0))</f>
        <v/>
      </c>
      <c r="I817" s="9" t="str">
        <f>IF(OR(E817="",H817=""),"",E817-H817)</f>
        <v/>
      </c>
      <c r="J817" s="4"/>
    </row>
    <row r="818">
      <c r="A818" s="7"/>
      <c r="B818" s="4"/>
      <c r="C818" s="6"/>
      <c r="D818" s="5" t="str">
        <f>IF(B818="","",IFERROR(INDEX(Articles!$E:$E,MATCH(B818,Articles!$B:$B,0)),""))</f>
        <v/>
      </c>
      <c r="E818" s="9" t="str">
        <f>IF(OR(C818="",D818=""),"",C818*D818)</f>
        <v/>
      </c>
      <c r="F818" s="4"/>
      <c r="G818" s="4"/>
      <c r="H818" s="9" t="str">
        <f>IF(OR(B818="",C818=""),"",C818*IFERROR(INDEX(Articles!$D:$D,MATCH(B818,Articles!$B:$B,0)),0))</f>
        <v/>
      </c>
      <c r="I818" s="9" t="str">
        <f>IF(OR(E818="",H818=""),"",E818-H818)</f>
        <v/>
      </c>
      <c r="J818" s="4"/>
    </row>
    <row r="819">
      <c r="A819" s="7"/>
      <c r="B819" s="4"/>
      <c r="C819" s="6"/>
      <c r="D819" s="5" t="str">
        <f>IF(B819="","",IFERROR(INDEX(Articles!$E:$E,MATCH(B819,Articles!$B:$B,0)),""))</f>
        <v/>
      </c>
      <c r="E819" s="9" t="str">
        <f>IF(OR(C819="",D819=""),"",C819*D819)</f>
        <v/>
      </c>
      <c r="F819" s="4"/>
      <c r="G819" s="4"/>
      <c r="H819" s="9" t="str">
        <f>IF(OR(B819="",C819=""),"",C819*IFERROR(INDEX(Articles!$D:$D,MATCH(B819,Articles!$B:$B,0)),0))</f>
        <v/>
      </c>
      <c r="I819" s="9" t="str">
        <f>IF(OR(E819="",H819=""),"",E819-H819)</f>
        <v/>
      </c>
      <c r="J819" s="4"/>
    </row>
    <row r="820">
      <c r="A820" s="7"/>
      <c r="B820" s="4"/>
      <c r="C820" s="6"/>
      <c r="D820" s="5" t="str">
        <f>IF(B820="","",IFERROR(INDEX(Articles!$E:$E,MATCH(B820,Articles!$B:$B,0)),""))</f>
        <v/>
      </c>
      <c r="E820" s="9" t="str">
        <f>IF(OR(C820="",D820=""),"",C820*D820)</f>
        <v/>
      </c>
      <c r="F820" s="4"/>
      <c r="G820" s="4"/>
      <c r="H820" s="9" t="str">
        <f>IF(OR(B820="",C820=""),"",C820*IFERROR(INDEX(Articles!$D:$D,MATCH(B820,Articles!$B:$B,0)),0))</f>
        <v/>
      </c>
      <c r="I820" s="9" t="str">
        <f>IF(OR(E820="",H820=""),"",E820-H820)</f>
        <v/>
      </c>
      <c r="J820" s="4"/>
    </row>
    <row r="821">
      <c r="A821" s="7"/>
      <c r="B821" s="4"/>
      <c r="C821" s="6"/>
      <c r="D821" s="5" t="str">
        <f>IF(B821="","",IFERROR(INDEX(Articles!$E:$E,MATCH(B821,Articles!$B:$B,0)),""))</f>
        <v/>
      </c>
      <c r="E821" s="9" t="str">
        <f>IF(OR(C821="",D821=""),"",C821*D821)</f>
        <v/>
      </c>
      <c r="F821" s="4"/>
      <c r="G821" s="4"/>
      <c r="H821" s="9" t="str">
        <f>IF(OR(B821="",C821=""),"",C821*IFERROR(INDEX(Articles!$D:$D,MATCH(B821,Articles!$B:$B,0)),0))</f>
        <v/>
      </c>
      <c r="I821" s="9" t="str">
        <f>IF(OR(E821="",H821=""),"",E821-H821)</f>
        <v/>
      </c>
      <c r="J821" s="4"/>
    </row>
    <row r="822">
      <c r="A822" s="7"/>
      <c r="B822" s="4"/>
      <c r="C822" s="6"/>
      <c r="D822" s="5" t="str">
        <f>IF(B822="","",IFERROR(INDEX(Articles!$E:$E,MATCH(B822,Articles!$B:$B,0)),""))</f>
        <v/>
      </c>
      <c r="E822" s="9" t="str">
        <f>IF(OR(C822="",D822=""),"",C822*D822)</f>
        <v/>
      </c>
      <c r="F822" s="4"/>
      <c r="G822" s="4"/>
      <c r="H822" s="9" t="str">
        <f>IF(OR(B822="",C822=""),"",C822*IFERROR(INDEX(Articles!$D:$D,MATCH(B822,Articles!$B:$B,0)),0))</f>
        <v/>
      </c>
      <c r="I822" s="9" t="str">
        <f>IF(OR(E822="",H822=""),"",E822-H822)</f>
        <v/>
      </c>
      <c r="J822" s="4"/>
    </row>
    <row r="823">
      <c r="A823" s="7"/>
      <c r="B823" s="4"/>
      <c r="C823" s="6"/>
      <c r="D823" s="5" t="str">
        <f>IF(B823="","",IFERROR(INDEX(Articles!$E:$E,MATCH(B823,Articles!$B:$B,0)),""))</f>
        <v/>
      </c>
      <c r="E823" s="9" t="str">
        <f>IF(OR(C823="",D823=""),"",C823*D823)</f>
        <v/>
      </c>
      <c r="F823" s="4"/>
      <c r="G823" s="4"/>
      <c r="H823" s="9" t="str">
        <f>IF(OR(B823="",C823=""),"",C823*IFERROR(INDEX(Articles!$D:$D,MATCH(B823,Articles!$B:$B,0)),0))</f>
        <v/>
      </c>
      <c r="I823" s="9" t="str">
        <f>IF(OR(E823="",H823=""),"",E823-H823)</f>
        <v/>
      </c>
      <c r="J823" s="4"/>
    </row>
    <row r="824">
      <c r="A824" s="7"/>
      <c r="B824" s="4"/>
      <c r="C824" s="6"/>
      <c r="D824" s="5" t="str">
        <f>IF(B824="","",IFERROR(INDEX(Articles!$E:$E,MATCH(B824,Articles!$B:$B,0)),""))</f>
        <v/>
      </c>
      <c r="E824" s="9" t="str">
        <f>IF(OR(C824="",D824=""),"",C824*D824)</f>
        <v/>
      </c>
      <c r="F824" s="4"/>
      <c r="G824" s="4"/>
      <c r="H824" s="9" t="str">
        <f>IF(OR(B824="",C824=""),"",C824*IFERROR(INDEX(Articles!$D:$D,MATCH(B824,Articles!$B:$B,0)),0))</f>
        <v/>
      </c>
      <c r="I824" s="9" t="str">
        <f>IF(OR(E824="",H824=""),"",E824-H824)</f>
        <v/>
      </c>
      <c r="J824" s="4"/>
    </row>
    <row r="825">
      <c r="A825" s="7"/>
      <c r="B825" s="4"/>
      <c r="C825" s="6"/>
      <c r="D825" s="5" t="str">
        <f>IF(B825="","",IFERROR(INDEX(Articles!$E:$E,MATCH(B825,Articles!$B:$B,0)),""))</f>
        <v/>
      </c>
      <c r="E825" s="9" t="str">
        <f>IF(OR(C825="",D825=""),"",C825*D825)</f>
        <v/>
      </c>
      <c r="F825" s="4"/>
      <c r="G825" s="4"/>
      <c r="H825" s="9" t="str">
        <f>IF(OR(B825="",C825=""),"",C825*IFERROR(INDEX(Articles!$D:$D,MATCH(B825,Articles!$B:$B,0)),0))</f>
        <v/>
      </c>
      <c r="I825" s="9" t="str">
        <f>IF(OR(E825="",H825=""),"",E825-H825)</f>
        <v/>
      </c>
      <c r="J825" s="4"/>
    </row>
    <row r="826">
      <c r="A826" s="7"/>
      <c r="B826" s="4"/>
      <c r="C826" s="6"/>
      <c r="D826" s="5" t="str">
        <f>IF(B826="","",IFERROR(INDEX(Articles!$E:$E,MATCH(B826,Articles!$B:$B,0)),""))</f>
        <v/>
      </c>
      <c r="E826" s="9" t="str">
        <f>IF(OR(C826="",D826=""),"",C826*D826)</f>
        <v/>
      </c>
      <c r="F826" s="4"/>
      <c r="G826" s="4"/>
      <c r="H826" s="9" t="str">
        <f>IF(OR(B826="",C826=""),"",C826*IFERROR(INDEX(Articles!$D:$D,MATCH(B826,Articles!$B:$B,0)),0))</f>
        <v/>
      </c>
      <c r="I826" s="9" t="str">
        <f>IF(OR(E826="",H826=""),"",E826-H826)</f>
        <v/>
      </c>
      <c r="J826" s="4"/>
    </row>
    <row r="827">
      <c r="A827" s="7"/>
      <c r="B827" s="4"/>
      <c r="C827" s="6"/>
      <c r="D827" s="5" t="str">
        <f>IF(B827="","",IFERROR(INDEX(Articles!$E:$E,MATCH(B827,Articles!$B:$B,0)),""))</f>
        <v/>
      </c>
      <c r="E827" s="9" t="str">
        <f>IF(OR(C827="",D827=""),"",C827*D827)</f>
        <v/>
      </c>
      <c r="F827" s="4"/>
      <c r="G827" s="4"/>
      <c r="H827" s="9" t="str">
        <f>IF(OR(B827="",C827=""),"",C827*IFERROR(INDEX(Articles!$D:$D,MATCH(B827,Articles!$B:$B,0)),0))</f>
        <v/>
      </c>
      <c r="I827" s="9" t="str">
        <f>IF(OR(E827="",H827=""),"",E827-H827)</f>
        <v/>
      </c>
      <c r="J827" s="4"/>
    </row>
    <row r="828">
      <c r="A828" s="7"/>
      <c r="B828" s="4"/>
      <c r="C828" s="6"/>
      <c r="D828" s="5" t="str">
        <f>IF(B828="","",IFERROR(INDEX(Articles!$E:$E,MATCH(B828,Articles!$B:$B,0)),""))</f>
        <v/>
      </c>
      <c r="E828" s="9" t="str">
        <f>IF(OR(C828="",D828=""),"",C828*D828)</f>
        <v/>
      </c>
      <c r="F828" s="4"/>
      <c r="G828" s="4"/>
      <c r="H828" s="9" t="str">
        <f>IF(OR(B828="",C828=""),"",C828*IFERROR(INDEX(Articles!$D:$D,MATCH(B828,Articles!$B:$B,0)),0))</f>
        <v/>
      </c>
      <c r="I828" s="9" t="str">
        <f>IF(OR(E828="",H828=""),"",E828-H828)</f>
        <v/>
      </c>
      <c r="J828" s="4"/>
    </row>
    <row r="829">
      <c r="A829" s="7"/>
      <c r="B829" s="4"/>
      <c r="C829" s="6"/>
      <c r="D829" s="5" t="str">
        <f>IF(B829="","",IFERROR(INDEX(Articles!$E:$E,MATCH(B829,Articles!$B:$B,0)),""))</f>
        <v/>
      </c>
      <c r="E829" s="9" t="str">
        <f>IF(OR(C829="",D829=""),"",C829*D829)</f>
        <v/>
      </c>
      <c r="F829" s="4"/>
      <c r="G829" s="4"/>
      <c r="H829" s="9" t="str">
        <f>IF(OR(B829="",C829=""),"",C829*IFERROR(INDEX(Articles!$D:$D,MATCH(B829,Articles!$B:$B,0)),0))</f>
        <v/>
      </c>
      <c r="I829" s="9" t="str">
        <f>IF(OR(E829="",H829=""),"",E829-H829)</f>
        <v/>
      </c>
      <c r="J829" s="4"/>
    </row>
    <row r="830">
      <c r="A830" s="7"/>
      <c r="B830" s="4"/>
      <c r="C830" s="6"/>
      <c r="D830" s="5" t="str">
        <f>IF(B830="","",IFERROR(INDEX(Articles!$E:$E,MATCH(B830,Articles!$B:$B,0)),""))</f>
        <v/>
      </c>
      <c r="E830" s="9" t="str">
        <f>IF(OR(C830="",D830=""),"",C830*D830)</f>
        <v/>
      </c>
      <c r="F830" s="4"/>
      <c r="G830" s="4"/>
      <c r="H830" s="9" t="str">
        <f>IF(OR(B830="",C830=""),"",C830*IFERROR(INDEX(Articles!$D:$D,MATCH(B830,Articles!$B:$B,0)),0))</f>
        <v/>
      </c>
      <c r="I830" s="9" t="str">
        <f>IF(OR(E830="",H830=""),"",E830-H830)</f>
        <v/>
      </c>
      <c r="J830" s="4"/>
    </row>
    <row r="831">
      <c r="A831" s="7"/>
      <c r="B831" s="4"/>
      <c r="C831" s="6"/>
      <c r="D831" s="5" t="str">
        <f>IF(B831="","",IFERROR(INDEX(Articles!$E:$E,MATCH(B831,Articles!$B:$B,0)),""))</f>
        <v/>
      </c>
      <c r="E831" s="9" t="str">
        <f>IF(OR(C831="",D831=""),"",C831*D831)</f>
        <v/>
      </c>
      <c r="F831" s="4"/>
      <c r="G831" s="4"/>
      <c r="H831" s="9" t="str">
        <f>IF(OR(B831="",C831=""),"",C831*IFERROR(INDEX(Articles!$D:$D,MATCH(B831,Articles!$B:$B,0)),0))</f>
        <v/>
      </c>
      <c r="I831" s="9" t="str">
        <f>IF(OR(E831="",H831=""),"",E831-H831)</f>
        <v/>
      </c>
      <c r="J831" s="4"/>
    </row>
    <row r="832">
      <c r="A832" s="7"/>
      <c r="B832" s="4"/>
      <c r="C832" s="6"/>
      <c r="D832" s="5" t="str">
        <f>IF(B832="","",IFERROR(INDEX(Articles!$E:$E,MATCH(B832,Articles!$B:$B,0)),""))</f>
        <v/>
      </c>
      <c r="E832" s="9" t="str">
        <f>IF(OR(C832="",D832=""),"",C832*D832)</f>
        <v/>
      </c>
      <c r="F832" s="4"/>
      <c r="G832" s="4"/>
      <c r="H832" s="9" t="str">
        <f>IF(OR(B832="",C832=""),"",C832*IFERROR(INDEX(Articles!$D:$D,MATCH(B832,Articles!$B:$B,0)),0))</f>
        <v/>
      </c>
      <c r="I832" s="9" t="str">
        <f>IF(OR(E832="",H832=""),"",E832-H832)</f>
        <v/>
      </c>
      <c r="J832" s="4"/>
    </row>
    <row r="833">
      <c r="A833" s="7"/>
      <c r="B833" s="4"/>
      <c r="C833" s="6"/>
      <c r="D833" s="5" t="str">
        <f>IF(B833="","",IFERROR(INDEX(Articles!$E:$E,MATCH(B833,Articles!$B:$B,0)),""))</f>
        <v/>
      </c>
      <c r="E833" s="9" t="str">
        <f>IF(OR(C833="",D833=""),"",C833*D833)</f>
        <v/>
      </c>
      <c r="F833" s="4"/>
      <c r="G833" s="4"/>
      <c r="H833" s="9" t="str">
        <f>IF(OR(B833="",C833=""),"",C833*IFERROR(INDEX(Articles!$D:$D,MATCH(B833,Articles!$B:$B,0)),0))</f>
        <v/>
      </c>
      <c r="I833" s="9" t="str">
        <f>IF(OR(E833="",H833=""),"",E833-H833)</f>
        <v/>
      </c>
      <c r="J833" s="4"/>
    </row>
    <row r="834">
      <c r="A834" s="7"/>
      <c r="B834" s="4"/>
      <c r="C834" s="6"/>
      <c r="D834" s="5" t="str">
        <f>IF(B834="","",IFERROR(INDEX(Articles!$E:$E,MATCH(B834,Articles!$B:$B,0)),""))</f>
        <v/>
      </c>
      <c r="E834" s="9" t="str">
        <f>IF(OR(C834="",D834=""),"",C834*D834)</f>
        <v/>
      </c>
      <c r="F834" s="4"/>
      <c r="G834" s="4"/>
      <c r="H834" s="9" t="str">
        <f>IF(OR(B834="",C834=""),"",C834*IFERROR(INDEX(Articles!$D:$D,MATCH(B834,Articles!$B:$B,0)),0))</f>
        <v/>
      </c>
      <c r="I834" s="9" t="str">
        <f>IF(OR(E834="",H834=""),"",E834-H834)</f>
        <v/>
      </c>
      <c r="J834" s="4"/>
    </row>
    <row r="835">
      <c r="A835" s="7"/>
      <c r="B835" s="4"/>
      <c r="C835" s="6"/>
      <c r="D835" s="5" t="str">
        <f>IF(B835="","",IFERROR(INDEX(Articles!$E:$E,MATCH(B835,Articles!$B:$B,0)),""))</f>
        <v/>
      </c>
      <c r="E835" s="9" t="str">
        <f>IF(OR(C835="",D835=""),"",C835*D835)</f>
        <v/>
      </c>
      <c r="F835" s="4"/>
      <c r="G835" s="4"/>
      <c r="H835" s="9" t="str">
        <f>IF(OR(B835="",C835=""),"",C835*IFERROR(INDEX(Articles!$D:$D,MATCH(B835,Articles!$B:$B,0)),0))</f>
        <v/>
      </c>
      <c r="I835" s="9" t="str">
        <f>IF(OR(E835="",H835=""),"",E835-H835)</f>
        <v/>
      </c>
      <c r="J835" s="4"/>
    </row>
    <row r="836">
      <c r="A836" s="7"/>
      <c r="B836" s="4"/>
      <c r="C836" s="6"/>
      <c r="D836" s="5" t="str">
        <f>IF(B836="","",IFERROR(INDEX(Articles!$E:$E,MATCH(B836,Articles!$B:$B,0)),""))</f>
        <v/>
      </c>
      <c r="E836" s="9" t="str">
        <f>IF(OR(C836="",D836=""),"",C836*D836)</f>
        <v/>
      </c>
      <c r="F836" s="4"/>
      <c r="G836" s="4"/>
      <c r="H836" s="9" t="str">
        <f>IF(OR(B836="",C836=""),"",C836*IFERROR(INDEX(Articles!$D:$D,MATCH(B836,Articles!$B:$B,0)),0))</f>
        <v/>
      </c>
      <c r="I836" s="9" t="str">
        <f>IF(OR(E836="",H836=""),"",E836-H836)</f>
        <v/>
      </c>
      <c r="J836" s="4"/>
    </row>
    <row r="837">
      <c r="A837" s="7"/>
      <c r="B837" s="4"/>
      <c r="C837" s="6"/>
      <c r="D837" s="5" t="str">
        <f>IF(B837="","",IFERROR(INDEX(Articles!$E:$E,MATCH(B837,Articles!$B:$B,0)),""))</f>
        <v/>
      </c>
      <c r="E837" s="9" t="str">
        <f>IF(OR(C837="",D837=""),"",C837*D837)</f>
        <v/>
      </c>
      <c r="F837" s="4"/>
      <c r="G837" s="4"/>
      <c r="H837" s="9" t="str">
        <f>IF(OR(B837="",C837=""),"",C837*IFERROR(INDEX(Articles!$D:$D,MATCH(B837,Articles!$B:$B,0)),0))</f>
        <v/>
      </c>
      <c r="I837" s="9" t="str">
        <f>IF(OR(E837="",H837=""),"",E837-H837)</f>
        <v/>
      </c>
      <c r="J837" s="4"/>
    </row>
    <row r="838">
      <c r="A838" s="7"/>
      <c r="B838" s="4"/>
      <c r="C838" s="6"/>
      <c r="D838" s="5" t="str">
        <f>IF(B838="","",IFERROR(INDEX(Articles!$E:$E,MATCH(B838,Articles!$B:$B,0)),""))</f>
        <v/>
      </c>
      <c r="E838" s="9" t="str">
        <f>IF(OR(C838="",D838=""),"",C838*D838)</f>
        <v/>
      </c>
      <c r="F838" s="4"/>
      <c r="G838" s="4"/>
      <c r="H838" s="9" t="str">
        <f>IF(OR(B838="",C838=""),"",C838*IFERROR(INDEX(Articles!$D:$D,MATCH(B838,Articles!$B:$B,0)),0))</f>
        <v/>
      </c>
      <c r="I838" s="9" t="str">
        <f>IF(OR(E838="",H838=""),"",E838-H838)</f>
        <v/>
      </c>
      <c r="J838" s="4"/>
    </row>
    <row r="839">
      <c r="A839" s="7"/>
      <c r="B839" s="4"/>
      <c r="C839" s="6"/>
      <c r="D839" s="5" t="str">
        <f>IF(B839="","",IFERROR(INDEX(Articles!$E:$E,MATCH(B839,Articles!$B:$B,0)),""))</f>
        <v/>
      </c>
      <c r="E839" s="9" t="str">
        <f>IF(OR(C839="",D839=""),"",C839*D839)</f>
        <v/>
      </c>
      <c r="F839" s="4"/>
      <c r="G839" s="4"/>
      <c r="H839" s="9" t="str">
        <f>IF(OR(B839="",C839=""),"",C839*IFERROR(INDEX(Articles!$D:$D,MATCH(B839,Articles!$B:$B,0)),0))</f>
        <v/>
      </c>
      <c r="I839" s="9" t="str">
        <f>IF(OR(E839="",H839=""),"",E839-H839)</f>
        <v/>
      </c>
      <c r="J839" s="4"/>
    </row>
    <row r="840">
      <c r="A840" s="7"/>
      <c r="B840" s="4"/>
      <c r="C840" s="6"/>
      <c r="D840" s="5" t="str">
        <f>IF(B840="","",IFERROR(INDEX(Articles!$E:$E,MATCH(B840,Articles!$B:$B,0)),""))</f>
        <v/>
      </c>
      <c r="E840" s="9" t="str">
        <f>IF(OR(C840="",D840=""),"",C840*D840)</f>
        <v/>
      </c>
      <c r="F840" s="4"/>
      <c r="G840" s="4"/>
      <c r="H840" s="9" t="str">
        <f>IF(OR(B840="",C840=""),"",C840*IFERROR(INDEX(Articles!$D:$D,MATCH(B840,Articles!$B:$B,0)),0))</f>
        <v/>
      </c>
      <c r="I840" s="9" t="str">
        <f>IF(OR(E840="",H840=""),"",E840-H840)</f>
        <v/>
      </c>
      <c r="J840" s="4"/>
    </row>
    <row r="841">
      <c r="A841" s="7"/>
      <c r="B841" s="4"/>
      <c r="C841" s="6"/>
      <c r="D841" s="5" t="str">
        <f>IF(B841="","",IFERROR(INDEX(Articles!$E:$E,MATCH(B841,Articles!$B:$B,0)),""))</f>
        <v/>
      </c>
      <c r="E841" s="9" t="str">
        <f>IF(OR(C841="",D841=""),"",C841*D841)</f>
        <v/>
      </c>
      <c r="F841" s="4"/>
      <c r="G841" s="4"/>
      <c r="H841" s="9" t="str">
        <f>IF(OR(B841="",C841=""),"",C841*IFERROR(INDEX(Articles!$D:$D,MATCH(B841,Articles!$B:$B,0)),0))</f>
        <v/>
      </c>
      <c r="I841" s="9" t="str">
        <f>IF(OR(E841="",H841=""),"",E841-H841)</f>
        <v/>
      </c>
      <c r="J841" s="4"/>
    </row>
    <row r="842">
      <c r="A842" s="7"/>
      <c r="B842" s="4"/>
      <c r="C842" s="6"/>
      <c r="D842" s="5" t="str">
        <f>IF(B842="","",IFERROR(INDEX(Articles!$E:$E,MATCH(B842,Articles!$B:$B,0)),""))</f>
        <v/>
      </c>
      <c r="E842" s="9" t="str">
        <f>IF(OR(C842="",D842=""),"",C842*D842)</f>
        <v/>
      </c>
      <c r="F842" s="4"/>
      <c r="G842" s="4"/>
      <c r="H842" s="9" t="str">
        <f>IF(OR(B842="",C842=""),"",C842*IFERROR(INDEX(Articles!$D:$D,MATCH(B842,Articles!$B:$B,0)),0))</f>
        <v/>
      </c>
      <c r="I842" s="9" t="str">
        <f>IF(OR(E842="",H842=""),"",E842-H842)</f>
        <v/>
      </c>
      <c r="J842" s="4"/>
    </row>
    <row r="843">
      <c r="A843" s="7"/>
      <c r="B843" s="4"/>
      <c r="C843" s="6"/>
      <c r="D843" s="5" t="str">
        <f>IF(B843="","",IFERROR(INDEX(Articles!$E:$E,MATCH(B843,Articles!$B:$B,0)),""))</f>
        <v/>
      </c>
      <c r="E843" s="9" t="str">
        <f>IF(OR(C843="",D843=""),"",C843*D843)</f>
        <v/>
      </c>
      <c r="F843" s="4"/>
      <c r="G843" s="4"/>
      <c r="H843" s="9" t="str">
        <f>IF(OR(B843="",C843=""),"",C843*IFERROR(INDEX(Articles!$D:$D,MATCH(B843,Articles!$B:$B,0)),0))</f>
        <v/>
      </c>
      <c r="I843" s="9" t="str">
        <f>IF(OR(E843="",H843=""),"",E843-H843)</f>
        <v/>
      </c>
      <c r="J843" s="4"/>
    </row>
    <row r="844">
      <c r="A844" s="7"/>
      <c r="B844" s="4"/>
      <c r="C844" s="6"/>
      <c r="D844" s="5" t="str">
        <f>IF(B844="","",IFERROR(INDEX(Articles!$E:$E,MATCH(B844,Articles!$B:$B,0)),""))</f>
        <v/>
      </c>
      <c r="E844" s="9" t="str">
        <f>IF(OR(C844="",D844=""),"",C844*D844)</f>
        <v/>
      </c>
      <c r="F844" s="4"/>
      <c r="G844" s="4"/>
      <c r="H844" s="9" t="str">
        <f>IF(OR(B844="",C844=""),"",C844*IFERROR(INDEX(Articles!$D:$D,MATCH(B844,Articles!$B:$B,0)),0))</f>
        <v/>
      </c>
      <c r="I844" s="9" t="str">
        <f>IF(OR(E844="",H844=""),"",E844-H844)</f>
        <v/>
      </c>
      <c r="J844" s="4"/>
    </row>
    <row r="845">
      <c r="A845" s="7"/>
      <c r="B845" s="4"/>
      <c r="C845" s="6"/>
      <c r="D845" s="5" t="str">
        <f>IF(B845="","",IFERROR(INDEX(Articles!$E:$E,MATCH(B845,Articles!$B:$B,0)),""))</f>
        <v/>
      </c>
      <c r="E845" s="9" t="str">
        <f>IF(OR(C845="",D845=""),"",C845*D845)</f>
        <v/>
      </c>
      <c r="F845" s="4"/>
      <c r="G845" s="4"/>
      <c r="H845" s="9" t="str">
        <f>IF(OR(B845="",C845=""),"",C845*IFERROR(INDEX(Articles!$D:$D,MATCH(B845,Articles!$B:$B,0)),0))</f>
        <v/>
      </c>
      <c r="I845" s="9" t="str">
        <f>IF(OR(E845="",H845=""),"",E845-H845)</f>
        <v/>
      </c>
      <c r="J845" s="4"/>
    </row>
    <row r="846">
      <c r="A846" s="7"/>
      <c r="B846" s="4"/>
      <c r="C846" s="6"/>
      <c r="D846" s="5" t="str">
        <f>IF(B846="","",IFERROR(INDEX(Articles!$E:$E,MATCH(B846,Articles!$B:$B,0)),""))</f>
        <v/>
      </c>
      <c r="E846" s="9" t="str">
        <f>IF(OR(C846="",D846=""),"",C846*D846)</f>
        <v/>
      </c>
      <c r="F846" s="4"/>
      <c r="G846" s="4"/>
      <c r="H846" s="9" t="str">
        <f>IF(OR(B846="",C846=""),"",C846*IFERROR(INDEX(Articles!$D:$D,MATCH(B846,Articles!$B:$B,0)),0))</f>
        <v/>
      </c>
      <c r="I846" s="9" t="str">
        <f>IF(OR(E846="",H846=""),"",E846-H846)</f>
        <v/>
      </c>
      <c r="J846" s="4"/>
    </row>
    <row r="847">
      <c r="A847" s="7"/>
      <c r="B847" s="4"/>
      <c r="C847" s="6"/>
      <c r="D847" s="5" t="str">
        <f>IF(B847="","",IFERROR(INDEX(Articles!$E:$E,MATCH(B847,Articles!$B:$B,0)),""))</f>
        <v/>
      </c>
      <c r="E847" s="9" t="str">
        <f>IF(OR(C847="",D847=""),"",C847*D847)</f>
        <v/>
      </c>
      <c r="F847" s="4"/>
      <c r="G847" s="4"/>
      <c r="H847" s="9" t="str">
        <f>IF(OR(B847="",C847=""),"",C847*IFERROR(INDEX(Articles!$D:$D,MATCH(B847,Articles!$B:$B,0)),0))</f>
        <v/>
      </c>
      <c r="I847" s="9" t="str">
        <f>IF(OR(E847="",H847=""),"",E847-H847)</f>
        <v/>
      </c>
      <c r="J847" s="4"/>
    </row>
    <row r="848">
      <c r="A848" s="7"/>
      <c r="B848" s="4"/>
      <c r="C848" s="6"/>
      <c r="D848" s="5" t="str">
        <f>IF(B848="","",IFERROR(INDEX(Articles!$E:$E,MATCH(B848,Articles!$B:$B,0)),""))</f>
        <v/>
      </c>
      <c r="E848" s="9" t="str">
        <f>IF(OR(C848="",D848=""),"",C848*D848)</f>
        <v/>
      </c>
      <c r="F848" s="4"/>
      <c r="G848" s="4"/>
      <c r="H848" s="9" t="str">
        <f>IF(OR(B848="",C848=""),"",C848*IFERROR(INDEX(Articles!$D:$D,MATCH(B848,Articles!$B:$B,0)),0))</f>
        <v/>
      </c>
      <c r="I848" s="9" t="str">
        <f>IF(OR(E848="",H848=""),"",E848-H848)</f>
        <v/>
      </c>
      <c r="J848" s="4"/>
    </row>
    <row r="849">
      <c r="A849" s="7"/>
      <c r="B849" s="4"/>
      <c r="C849" s="6"/>
      <c r="D849" s="5" t="str">
        <f>IF(B849="","",IFERROR(INDEX(Articles!$E:$E,MATCH(B849,Articles!$B:$B,0)),""))</f>
        <v/>
      </c>
      <c r="E849" s="9" t="str">
        <f>IF(OR(C849="",D849=""),"",C849*D849)</f>
        <v/>
      </c>
      <c r="F849" s="4"/>
      <c r="G849" s="4"/>
      <c r="H849" s="9" t="str">
        <f>IF(OR(B849="",C849=""),"",C849*IFERROR(INDEX(Articles!$D:$D,MATCH(B849,Articles!$B:$B,0)),0))</f>
        <v/>
      </c>
      <c r="I849" s="9" t="str">
        <f>IF(OR(E849="",H849=""),"",E849-H849)</f>
        <v/>
      </c>
      <c r="J849" s="4"/>
    </row>
    <row r="850">
      <c r="A850" s="7"/>
      <c r="B850" s="4"/>
      <c r="C850" s="6"/>
      <c r="D850" s="5" t="str">
        <f>IF(B850="","",IFERROR(INDEX(Articles!$E:$E,MATCH(B850,Articles!$B:$B,0)),""))</f>
        <v/>
      </c>
      <c r="E850" s="9" t="str">
        <f>IF(OR(C850="",D850=""),"",C850*D850)</f>
        <v/>
      </c>
      <c r="F850" s="4"/>
      <c r="G850" s="4"/>
      <c r="H850" s="9" t="str">
        <f>IF(OR(B850="",C850=""),"",C850*IFERROR(INDEX(Articles!$D:$D,MATCH(B850,Articles!$B:$B,0)),0))</f>
        <v/>
      </c>
      <c r="I850" s="9" t="str">
        <f>IF(OR(E850="",H850=""),"",E850-H850)</f>
        <v/>
      </c>
      <c r="J850" s="4"/>
    </row>
    <row r="851">
      <c r="A851" s="7"/>
      <c r="B851" s="4"/>
      <c r="C851" s="6"/>
      <c r="D851" s="5" t="str">
        <f>IF(B851="","",IFERROR(INDEX(Articles!$E:$E,MATCH(B851,Articles!$B:$B,0)),""))</f>
        <v/>
      </c>
      <c r="E851" s="9" t="str">
        <f>IF(OR(C851="",D851=""),"",C851*D851)</f>
        <v/>
      </c>
      <c r="F851" s="4"/>
      <c r="G851" s="4"/>
      <c r="H851" s="9" t="str">
        <f>IF(OR(B851="",C851=""),"",C851*IFERROR(INDEX(Articles!$D:$D,MATCH(B851,Articles!$B:$B,0)),0))</f>
        <v/>
      </c>
      <c r="I851" s="9" t="str">
        <f>IF(OR(E851="",H851=""),"",E851-H851)</f>
        <v/>
      </c>
      <c r="J851" s="4"/>
    </row>
    <row r="852">
      <c r="A852" s="7"/>
      <c r="B852" s="4"/>
      <c r="C852" s="6"/>
      <c r="D852" s="5" t="str">
        <f>IF(B852="","",IFERROR(INDEX(Articles!$E:$E,MATCH(B852,Articles!$B:$B,0)),""))</f>
        <v/>
      </c>
      <c r="E852" s="9" t="str">
        <f>IF(OR(C852="",D852=""),"",C852*D852)</f>
        <v/>
      </c>
      <c r="F852" s="4"/>
      <c r="G852" s="4"/>
      <c r="H852" s="9" t="str">
        <f>IF(OR(B852="",C852=""),"",C852*IFERROR(INDEX(Articles!$D:$D,MATCH(B852,Articles!$B:$B,0)),0))</f>
        <v/>
      </c>
      <c r="I852" s="9" t="str">
        <f>IF(OR(E852="",H852=""),"",E852-H852)</f>
        <v/>
      </c>
      <c r="J852" s="4"/>
    </row>
    <row r="853">
      <c r="A853" s="7"/>
      <c r="B853" s="4"/>
      <c r="C853" s="6"/>
      <c r="D853" s="5" t="str">
        <f>IF(B853="","",IFERROR(INDEX(Articles!$E:$E,MATCH(B853,Articles!$B:$B,0)),""))</f>
        <v/>
      </c>
      <c r="E853" s="9" t="str">
        <f>IF(OR(C853="",D853=""),"",C853*D853)</f>
        <v/>
      </c>
      <c r="F853" s="4"/>
      <c r="G853" s="4"/>
      <c r="H853" s="9" t="str">
        <f>IF(OR(B853="",C853=""),"",C853*IFERROR(INDEX(Articles!$D:$D,MATCH(B853,Articles!$B:$B,0)),0))</f>
        <v/>
      </c>
      <c r="I853" s="9" t="str">
        <f>IF(OR(E853="",H853=""),"",E853-H853)</f>
        <v/>
      </c>
      <c r="J853" s="4"/>
    </row>
    <row r="854">
      <c r="A854" s="7"/>
      <c r="B854" s="4"/>
      <c r="C854" s="6"/>
      <c r="D854" s="5" t="str">
        <f>IF(B854="","",IFERROR(INDEX(Articles!$E:$E,MATCH(B854,Articles!$B:$B,0)),""))</f>
        <v/>
      </c>
      <c r="E854" s="9" t="str">
        <f>IF(OR(C854="",D854=""),"",C854*D854)</f>
        <v/>
      </c>
      <c r="F854" s="4"/>
      <c r="G854" s="4"/>
      <c r="H854" s="9" t="str">
        <f>IF(OR(B854="",C854=""),"",C854*IFERROR(INDEX(Articles!$D:$D,MATCH(B854,Articles!$B:$B,0)),0))</f>
        <v/>
      </c>
      <c r="I854" s="9" t="str">
        <f>IF(OR(E854="",H854=""),"",E854-H854)</f>
        <v/>
      </c>
      <c r="J854" s="4"/>
    </row>
    <row r="855">
      <c r="A855" s="7"/>
      <c r="B855" s="4"/>
      <c r="C855" s="6"/>
      <c r="D855" s="5" t="str">
        <f>IF(B855="","",IFERROR(INDEX(Articles!$E:$E,MATCH(B855,Articles!$B:$B,0)),""))</f>
        <v/>
      </c>
      <c r="E855" s="9" t="str">
        <f>IF(OR(C855="",D855=""),"",C855*D855)</f>
        <v/>
      </c>
      <c r="F855" s="4"/>
      <c r="G855" s="4"/>
      <c r="H855" s="9" t="str">
        <f>IF(OR(B855="",C855=""),"",C855*IFERROR(INDEX(Articles!$D:$D,MATCH(B855,Articles!$B:$B,0)),0))</f>
        <v/>
      </c>
      <c r="I855" s="9" t="str">
        <f>IF(OR(E855="",H855=""),"",E855-H855)</f>
        <v/>
      </c>
      <c r="J855" s="4"/>
    </row>
    <row r="856">
      <c r="A856" s="7"/>
      <c r="B856" s="4"/>
      <c r="C856" s="6"/>
      <c r="D856" s="5" t="str">
        <f>IF(B856="","",IFERROR(INDEX(Articles!$E:$E,MATCH(B856,Articles!$B:$B,0)),""))</f>
        <v/>
      </c>
      <c r="E856" s="9" t="str">
        <f>IF(OR(C856="",D856=""),"",C856*D856)</f>
        <v/>
      </c>
      <c r="F856" s="4"/>
      <c r="G856" s="4"/>
      <c r="H856" s="9" t="str">
        <f>IF(OR(B856="",C856=""),"",C856*IFERROR(INDEX(Articles!$D:$D,MATCH(B856,Articles!$B:$B,0)),0))</f>
        <v/>
      </c>
      <c r="I856" s="9" t="str">
        <f>IF(OR(E856="",H856=""),"",E856-H856)</f>
        <v/>
      </c>
      <c r="J856" s="4"/>
    </row>
    <row r="857">
      <c r="A857" s="7"/>
      <c r="B857" s="4"/>
      <c r="C857" s="6"/>
      <c r="D857" s="5" t="str">
        <f>IF(B857="","",IFERROR(INDEX(Articles!$E:$E,MATCH(B857,Articles!$B:$B,0)),""))</f>
        <v/>
      </c>
      <c r="E857" s="9" t="str">
        <f>IF(OR(C857="",D857=""),"",C857*D857)</f>
        <v/>
      </c>
      <c r="F857" s="4"/>
      <c r="G857" s="4"/>
      <c r="H857" s="9" t="str">
        <f>IF(OR(B857="",C857=""),"",C857*IFERROR(INDEX(Articles!$D:$D,MATCH(B857,Articles!$B:$B,0)),0))</f>
        <v/>
      </c>
      <c r="I857" s="9" t="str">
        <f>IF(OR(E857="",H857=""),"",E857-H857)</f>
        <v/>
      </c>
      <c r="J857" s="4"/>
    </row>
    <row r="858">
      <c r="A858" s="7"/>
      <c r="B858" s="4"/>
      <c r="C858" s="6"/>
      <c r="D858" s="5" t="str">
        <f>IF(B858="","",IFERROR(INDEX(Articles!$E:$E,MATCH(B858,Articles!$B:$B,0)),""))</f>
        <v/>
      </c>
      <c r="E858" s="9" t="str">
        <f>IF(OR(C858="",D858=""),"",C858*D858)</f>
        <v/>
      </c>
      <c r="F858" s="4"/>
      <c r="G858" s="4"/>
      <c r="H858" s="9" t="str">
        <f>IF(OR(B858="",C858=""),"",C858*IFERROR(INDEX(Articles!$D:$D,MATCH(B858,Articles!$B:$B,0)),0))</f>
        <v/>
      </c>
      <c r="I858" s="9" t="str">
        <f>IF(OR(E858="",H858=""),"",E858-H858)</f>
        <v/>
      </c>
      <c r="J858" s="4"/>
    </row>
    <row r="859">
      <c r="A859" s="7"/>
      <c r="B859" s="4"/>
      <c r="C859" s="6"/>
      <c r="D859" s="5" t="str">
        <f>IF(B859="","",IFERROR(INDEX(Articles!$E:$E,MATCH(B859,Articles!$B:$B,0)),""))</f>
        <v/>
      </c>
      <c r="E859" s="9" t="str">
        <f>IF(OR(C859="",D859=""),"",C859*D859)</f>
        <v/>
      </c>
      <c r="F859" s="4"/>
      <c r="G859" s="4"/>
      <c r="H859" s="9" t="str">
        <f>IF(OR(B859="",C859=""),"",C859*IFERROR(INDEX(Articles!$D:$D,MATCH(B859,Articles!$B:$B,0)),0))</f>
        <v/>
      </c>
      <c r="I859" s="9" t="str">
        <f>IF(OR(E859="",H859=""),"",E859-H859)</f>
        <v/>
      </c>
      <c r="J859" s="4"/>
    </row>
    <row r="860">
      <c r="A860" s="7"/>
      <c r="B860" s="4"/>
      <c r="C860" s="6"/>
      <c r="D860" s="5" t="str">
        <f>IF(B860="","",IFERROR(INDEX(Articles!$E:$E,MATCH(B860,Articles!$B:$B,0)),""))</f>
        <v/>
      </c>
      <c r="E860" s="9" t="str">
        <f>IF(OR(C860="",D860=""),"",C860*D860)</f>
        <v/>
      </c>
      <c r="F860" s="4"/>
      <c r="G860" s="4"/>
      <c r="H860" s="9" t="str">
        <f>IF(OR(B860="",C860=""),"",C860*IFERROR(INDEX(Articles!$D:$D,MATCH(B860,Articles!$B:$B,0)),0))</f>
        <v/>
      </c>
      <c r="I860" s="9" t="str">
        <f>IF(OR(E860="",H860=""),"",E860-H860)</f>
        <v/>
      </c>
      <c r="J860" s="4"/>
    </row>
    <row r="861">
      <c r="A861" s="7"/>
      <c r="B861" s="4"/>
      <c r="C861" s="6"/>
      <c r="D861" s="5" t="str">
        <f>IF(B861="","",IFERROR(INDEX(Articles!$E:$E,MATCH(B861,Articles!$B:$B,0)),""))</f>
        <v/>
      </c>
      <c r="E861" s="9" t="str">
        <f>IF(OR(C861="",D861=""),"",C861*D861)</f>
        <v/>
      </c>
      <c r="F861" s="4"/>
      <c r="G861" s="4"/>
      <c r="H861" s="9" t="str">
        <f>IF(OR(B861="",C861=""),"",C861*IFERROR(INDEX(Articles!$D:$D,MATCH(B861,Articles!$B:$B,0)),0))</f>
        <v/>
      </c>
      <c r="I861" s="9" t="str">
        <f>IF(OR(E861="",H861=""),"",E861-H861)</f>
        <v/>
      </c>
      <c r="J861" s="4"/>
    </row>
    <row r="862">
      <c r="A862" s="7"/>
      <c r="B862" s="4"/>
      <c r="C862" s="6"/>
      <c r="D862" s="5" t="str">
        <f>IF(B862="","",IFERROR(INDEX(Articles!$E:$E,MATCH(B862,Articles!$B:$B,0)),""))</f>
        <v/>
      </c>
      <c r="E862" s="9" t="str">
        <f>IF(OR(C862="",D862=""),"",C862*D862)</f>
        <v/>
      </c>
      <c r="F862" s="4"/>
      <c r="G862" s="4"/>
      <c r="H862" s="9" t="str">
        <f>IF(OR(B862="",C862=""),"",C862*IFERROR(INDEX(Articles!$D:$D,MATCH(B862,Articles!$B:$B,0)),0))</f>
        <v/>
      </c>
      <c r="I862" s="9" t="str">
        <f>IF(OR(E862="",H862=""),"",E862-H862)</f>
        <v/>
      </c>
      <c r="J862" s="4"/>
    </row>
    <row r="863">
      <c r="A863" s="7"/>
      <c r="B863" s="4"/>
      <c r="C863" s="6"/>
      <c r="D863" s="5" t="str">
        <f>IF(B863="","",IFERROR(INDEX(Articles!$E:$E,MATCH(B863,Articles!$B:$B,0)),""))</f>
        <v/>
      </c>
      <c r="E863" s="9" t="str">
        <f>IF(OR(C863="",D863=""),"",C863*D863)</f>
        <v/>
      </c>
      <c r="F863" s="4"/>
      <c r="G863" s="4"/>
      <c r="H863" s="9" t="str">
        <f>IF(OR(B863="",C863=""),"",C863*IFERROR(INDEX(Articles!$D:$D,MATCH(B863,Articles!$B:$B,0)),0))</f>
        <v/>
      </c>
      <c r="I863" s="9" t="str">
        <f>IF(OR(E863="",H863=""),"",E863-H863)</f>
        <v/>
      </c>
      <c r="J863" s="4"/>
    </row>
    <row r="864">
      <c r="A864" s="7"/>
      <c r="B864" s="4"/>
      <c r="C864" s="6"/>
      <c r="D864" s="5" t="str">
        <f>IF(B864="","",IFERROR(INDEX(Articles!$E:$E,MATCH(B864,Articles!$B:$B,0)),""))</f>
        <v/>
      </c>
      <c r="E864" s="9" t="str">
        <f>IF(OR(C864="",D864=""),"",C864*D864)</f>
        <v/>
      </c>
      <c r="F864" s="4"/>
      <c r="G864" s="4"/>
      <c r="H864" s="9" t="str">
        <f>IF(OR(B864="",C864=""),"",C864*IFERROR(INDEX(Articles!$D:$D,MATCH(B864,Articles!$B:$B,0)),0))</f>
        <v/>
      </c>
      <c r="I864" s="9" t="str">
        <f>IF(OR(E864="",H864=""),"",E864-H864)</f>
        <v/>
      </c>
      <c r="J864" s="4"/>
    </row>
    <row r="865">
      <c r="A865" s="7"/>
      <c r="B865" s="4"/>
      <c r="C865" s="6"/>
      <c r="D865" s="5" t="str">
        <f>IF(B865="","",IFERROR(INDEX(Articles!$E:$E,MATCH(B865,Articles!$B:$B,0)),""))</f>
        <v/>
      </c>
      <c r="E865" s="9" t="str">
        <f>IF(OR(C865="",D865=""),"",C865*D865)</f>
        <v/>
      </c>
      <c r="F865" s="4"/>
      <c r="G865" s="4"/>
      <c r="H865" s="9" t="str">
        <f>IF(OR(B865="",C865=""),"",C865*IFERROR(INDEX(Articles!$D:$D,MATCH(B865,Articles!$B:$B,0)),0))</f>
        <v/>
      </c>
      <c r="I865" s="9" t="str">
        <f>IF(OR(E865="",H865=""),"",E865-H865)</f>
        <v/>
      </c>
      <c r="J865" s="4"/>
    </row>
    <row r="866">
      <c r="A866" s="7"/>
      <c r="B866" s="4"/>
      <c r="C866" s="6"/>
      <c r="D866" s="5" t="str">
        <f>IF(B866="","",IFERROR(INDEX(Articles!$E:$E,MATCH(B866,Articles!$B:$B,0)),""))</f>
        <v/>
      </c>
      <c r="E866" s="9" t="str">
        <f>IF(OR(C866="",D866=""),"",C866*D866)</f>
        <v/>
      </c>
      <c r="F866" s="4"/>
      <c r="G866" s="4"/>
      <c r="H866" s="9" t="str">
        <f>IF(OR(B866="",C866=""),"",C866*IFERROR(INDEX(Articles!$D:$D,MATCH(B866,Articles!$B:$B,0)),0))</f>
        <v/>
      </c>
      <c r="I866" s="9" t="str">
        <f>IF(OR(E866="",H866=""),"",E866-H866)</f>
        <v/>
      </c>
      <c r="J866" s="4"/>
    </row>
    <row r="867">
      <c r="A867" s="7"/>
      <c r="B867" s="4"/>
      <c r="C867" s="6"/>
      <c r="D867" s="5" t="str">
        <f>IF(B867="","",IFERROR(INDEX(Articles!$E:$E,MATCH(B867,Articles!$B:$B,0)),""))</f>
        <v/>
      </c>
      <c r="E867" s="9" t="str">
        <f>IF(OR(C867="",D867=""),"",C867*D867)</f>
        <v/>
      </c>
      <c r="F867" s="4"/>
      <c r="G867" s="4"/>
      <c r="H867" s="9" t="str">
        <f>IF(OR(B867="",C867=""),"",C867*IFERROR(INDEX(Articles!$D:$D,MATCH(B867,Articles!$B:$B,0)),0))</f>
        <v/>
      </c>
      <c r="I867" s="9" t="str">
        <f>IF(OR(E867="",H867=""),"",E867-H867)</f>
        <v/>
      </c>
      <c r="J867" s="4"/>
    </row>
    <row r="868">
      <c r="A868" s="7"/>
      <c r="B868" s="4"/>
      <c r="C868" s="6"/>
      <c r="D868" s="5" t="str">
        <f>IF(B868="","",IFERROR(INDEX(Articles!$E:$E,MATCH(B868,Articles!$B:$B,0)),""))</f>
        <v/>
      </c>
      <c r="E868" s="9" t="str">
        <f>IF(OR(C868="",D868=""),"",C868*D868)</f>
        <v/>
      </c>
      <c r="F868" s="4"/>
      <c r="G868" s="4"/>
      <c r="H868" s="9" t="str">
        <f>IF(OR(B868="",C868=""),"",C868*IFERROR(INDEX(Articles!$D:$D,MATCH(B868,Articles!$B:$B,0)),0))</f>
        <v/>
      </c>
      <c r="I868" s="9" t="str">
        <f>IF(OR(E868="",H868=""),"",E868-H868)</f>
        <v/>
      </c>
      <c r="J868" s="4"/>
    </row>
    <row r="869">
      <c r="A869" s="7"/>
      <c r="B869" s="4"/>
      <c r="C869" s="6"/>
      <c r="D869" s="5" t="str">
        <f>IF(B869="","",IFERROR(INDEX(Articles!$E:$E,MATCH(B869,Articles!$B:$B,0)),""))</f>
        <v/>
      </c>
      <c r="E869" s="9" t="str">
        <f>IF(OR(C869="",D869=""),"",C869*D869)</f>
        <v/>
      </c>
      <c r="F869" s="4"/>
      <c r="G869" s="4"/>
      <c r="H869" s="9" t="str">
        <f>IF(OR(B869="",C869=""),"",C869*IFERROR(INDEX(Articles!$D:$D,MATCH(B869,Articles!$B:$B,0)),0))</f>
        <v/>
      </c>
      <c r="I869" s="9" t="str">
        <f>IF(OR(E869="",H869=""),"",E869-H869)</f>
        <v/>
      </c>
      <c r="J869" s="4"/>
    </row>
    <row r="870">
      <c r="A870" s="7"/>
      <c r="B870" s="4"/>
      <c r="C870" s="6"/>
      <c r="D870" s="5" t="str">
        <f>IF(B870="","",IFERROR(INDEX(Articles!$E:$E,MATCH(B870,Articles!$B:$B,0)),""))</f>
        <v/>
      </c>
      <c r="E870" s="9" t="str">
        <f>IF(OR(C870="",D870=""),"",C870*D870)</f>
        <v/>
      </c>
      <c r="F870" s="4"/>
      <c r="G870" s="4"/>
      <c r="H870" s="9" t="str">
        <f>IF(OR(B870="",C870=""),"",C870*IFERROR(INDEX(Articles!$D:$D,MATCH(B870,Articles!$B:$B,0)),0))</f>
        <v/>
      </c>
      <c r="I870" s="9" t="str">
        <f>IF(OR(E870="",H870=""),"",E870-H870)</f>
        <v/>
      </c>
      <c r="J870" s="4"/>
    </row>
    <row r="871">
      <c r="A871" s="7"/>
      <c r="B871" s="4"/>
      <c r="C871" s="6"/>
      <c r="D871" s="5" t="str">
        <f>IF(B871="","",IFERROR(INDEX(Articles!$E:$E,MATCH(B871,Articles!$B:$B,0)),""))</f>
        <v/>
      </c>
      <c r="E871" s="9" t="str">
        <f>IF(OR(C871="",D871=""),"",C871*D871)</f>
        <v/>
      </c>
      <c r="F871" s="4"/>
      <c r="G871" s="4"/>
      <c r="H871" s="9" t="str">
        <f>IF(OR(B871="",C871=""),"",C871*IFERROR(INDEX(Articles!$D:$D,MATCH(B871,Articles!$B:$B,0)),0))</f>
        <v/>
      </c>
      <c r="I871" s="9" t="str">
        <f>IF(OR(E871="",H871=""),"",E871-H871)</f>
        <v/>
      </c>
      <c r="J871" s="4"/>
    </row>
    <row r="872">
      <c r="A872" s="7"/>
      <c r="B872" s="4"/>
      <c r="C872" s="6"/>
      <c r="D872" s="5" t="str">
        <f>IF(B872="","",IFERROR(INDEX(Articles!$E:$E,MATCH(B872,Articles!$B:$B,0)),""))</f>
        <v/>
      </c>
      <c r="E872" s="9" t="str">
        <f>IF(OR(C872="",D872=""),"",C872*D872)</f>
        <v/>
      </c>
      <c r="F872" s="4"/>
      <c r="G872" s="4"/>
      <c r="H872" s="9" t="str">
        <f>IF(OR(B872="",C872=""),"",C872*IFERROR(INDEX(Articles!$D:$D,MATCH(B872,Articles!$B:$B,0)),0))</f>
        <v/>
      </c>
      <c r="I872" s="9" t="str">
        <f>IF(OR(E872="",H872=""),"",E872-H872)</f>
        <v/>
      </c>
      <c r="J872" s="4"/>
    </row>
    <row r="873">
      <c r="A873" s="7"/>
      <c r="B873" s="4"/>
      <c r="C873" s="6"/>
      <c r="D873" s="5" t="str">
        <f>IF(B873="","",IFERROR(INDEX(Articles!$E:$E,MATCH(B873,Articles!$B:$B,0)),""))</f>
        <v/>
      </c>
      <c r="E873" s="9" t="str">
        <f>IF(OR(C873="",D873=""),"",C873*D873)</f>
        <v/>
      </c>
      <c r="F873" s="4"/>
      <c r="G873" s="4"/>
      <c r="H873" s="9" t="str">
        <f>IF(OR(B873="",C873=""),"",C873*IFERROR(INDEX(Articles!$D:$D,MATCH(B873,Articles!$B:$B,0)),0))</f>
        <v/>
      </c>
      <c r="I873" s="9" t="str">
        <f>IF(OR(E873="",H873=""),"",E873-H873)</f>
        <v/>
      </c>
      <c r="J873" s="4"/>
    </row>
    <row r="874">
      <c r="A874" s="7"/>
      <c r="B874" s="4"/>
      <c r="C874" s="6"/>
      <c r="D874" s="5" t="str">
        <f>IF(B874="","",IFERROR(INDEX(Articles!$E:$E,MATCH(B874,Articles!$B:$B,0)),""))</f>
        <v/>
      </c>
      <c r="E874" s="9" t="str">
        <f>IF(OR(C874="",D874=""),"",C874*D874)</f>
        <v/>
      </c>
      <c r="F874" s="4"/>
      <c r="G874" s="4"/>
      <c r="H874" s="9" t="str">
        <f>IF(OR(B874="",C874=""),"",C874*IFERROR(INDEX(Articles!$D:$D,MATCH(B874,Articles!$B:$B,0)),0))</f>
        <v/>
      </c>
      <c r="I874" s="9" t="str">
        <f>IF(OR(E874="",H874=""),"",E874-H874)</f>
        <v/>
      </c>
      <c r="J874" s="4"/>
    </row>
    <row r="875">
      <c r="A875" s="7"/>
      <c r="B875" s="4"/>
      <c r="C875" s="6"/>
      <c r="D875" s="5" t="str">
        <f>IF(B875="","",IFERROR(INDEX(Articles!$E:$E,MATCH(B875,Articles!$B:$B,0)),""))</f>
        <v/>
      </c>
      <c r="E875" s="9" t="str">
        <f>IF(OR(C875="",D875=""),"",C875*D875)</f>
        <v/>
      </c>
      <c r="F875" s="4"/>
      <c r="G875" s="4"/>
      <c r="H875" s="9" t="str">
        <f>IF(OR(B875="",C875=""),"",C875*IFERROR(INDEX(Articles!$D:$D,MATCH(B875,Articles!$B:$B,0)),0))</f>
        <v/>
      </c>
      <c r="I875" s="9" t="str">
        <f>IF(OR(E875="",H875=""),"",E875-H875)</f>
        <v/>
      </c>
      <c r="J875" s="4"/>
    </row>
    <row r="876">
      <c r="A876" s="7"/>
      <c r="B876" s="4"/>
      <c r="C876" s="6"/>
      <c r="D876" s="5" t="str">
        <f>IF(B876="","",IFERROR(INDEX(Articles!$E:$E,MATCH(B876,Articles!$B:$B,0)),""))</f>
        <v/>
      </c>
      <c r="E876" s="9" t="str">
        <f>IF(OR(C876="",D876=""),"",C876*D876)</f>
        <v/>
      </c>
      <c r="F876" s="4"/>
      <c r="G876" s="4"/>
      <c r="H876" s="9" t="str">
        <f>IF(OR(B876="",C876=""),"",C876*IFERROR(INDEX(Articles!$D:$D,MATCH(B876,Articles!$B:$B,0)),0))</f>
        <v/>
      </c>
      <c r="I876" s="9" t="str">
        <f>IF(OR(E876="",H876=""),"",E876-H876)</f>
        <v/>
      </c>
      <c r="J876" s="4"/>
    </row>
    <row r="877">
      <c r="A877" s="7"/>
      <c r="B877" s="4"/>
      <c r="C877" s="6"/>
      <c r="D877" s="5" t="str">
        <f>IF(B877="","",IFERROR(INDEX(Articles!$E:$E,MATCH(B877,Articles!$B:$B,0)),""))</f>
        <v/>
      </c>
      <c r="E877" s="9" t="str">
        <f>IF(OR(C877="",D877=""),"",C877*D877)</f>
        <v/>
      </c>
      <c r="F877" s="4"/>
      <c r="G877" s="4"/>
      <c r="H877" s="9" t="str">
        <f>IF(OR(B877="",C877=""),"",C877*IFERROR(INDEX(Articles!$D:$D,MATCH(B877,Articles!$B:$B,0)),0))</f>
        <v/>
      </c>
      <c r="I877" s="9" t="str">
        <f>IF(OR(E877="",H877=""),"",E877-H877)</f>
        <v/>
      </c>
      <c r="J877" s="4"/>
    </row>
    <row r="878">
      <c r="A878" s="7"/>
      <c r="B878" s="4"/>
      <c r="C878" s="6"/>
      <c r="D878" s="5" t="str">
        <f>IF(B878="","",IFERROR(INDEX(Articles!$E:$E,MATCH(B878,Articles!$B:$B,0)),""))</f>
        <v/>
      </c>
      <c r="E878" s="9" t="str">
        <f>IF(OR(C878="",D878=""),"",C878*D878)</f>
        <v/>
      </c>
      <c r="F878" s="4"/>
      <c r="G878" s="4"/>
      <c r="H878" s="9" t="str">
        <f>IF(OR(B878="",C878=""),"",C878*IFERROR(INDEX(Articles!$D:$D,MATCH(B878,Articles!$B:$B,0)),0))</f>
        <v/>
      </c>
      <c r="I878" s="9" t="str">
        <f>IF(OR(E878="",H878=""),"",E878-H878)</f>
        <v/>
      </c>
      <c r="J878" s="4"/>
    </row>
    <row r="879">
      <c r="A879" s="7"/>
      <c r="B879" s="4"/>
      <c r="C879" s="6"/>
      <c r="D879" s="5" t="str">
        <f>IF(B879="","",IFERROR(INDEX(Articles!$E:$E,MATCH(B879,Articles!$B:$B,0)),""))</f>
        <v/>
      </c>
      <c r="E879" s="9" t="str">
        <f>IF(OR(C879="",D879=""),"",C879*D879)</f>
        <v/>
      </c>
      <c r="F879" s="4"/>
      <c r="G879" s="4"/>
      <c r="H879" s="9" t="str">
        <f>IF(OR(B879="",C879=""),"",C879*IFERROR(INDEX(Articles!$D:$D,MATCH(B879,Articles!$B:$B,0)),0))</f>
        <v/>
      </c>
      <c r="I879" s="9" t="str">
        <f>IF(OR(E879="",H879=""),"",E879-H879)</f>
        <v/>
      </c>
      <c r="J879" s="4"/>
    </row>
    <row r="880">
      <c r="A880" s="7"/>
      <c r="B880" s="4"/>
      <c r="C880" s="6"/>
      <c r="D880" s="5" t="str">
        <f>IF(B880="","",IFERROR(INDEX(Articles!$E:$E,MATCH(B880,Articles!$B:$B,0)),""))</f>
        <v/>
      </c>
      <c r="E880" s="9" t="str">
        <f>IF(OR(C880="",D880=""),"",C880*D880)</f>
        <v/>
      </c>
      <c r="F880" s="4"/>
      <c r="G880" s="4"/>
      <c r="H880" s="9" t="str">
        <f>IF(OR(B880="",C880=""),"",C880*IFERROR(INDEX(Articles!$D:$D,MATCH(B880,Articles!$B:$B,0)),0))</f>
        <v/>
      </c>
      <c r="I880" s="9" t="str">
        <f>IF(OR(E880="",H880=""),"",E880-H880)</f>
        <v/>
      </c>
      <c r="J880" s="4"/>
    </row>
    <row r="881">
      <c r="A881" s="7"/>
      <c r="B881" s="4"/>
      <c r="C881" s="6"/>
      <c r="D881" s="5" t="str">
        <f>IF(B881="","",IFERROR(INDEX(Articles!$E:$E,MATCH(B881,Articles!$B:$B,0)),""))</f>
        <v/>
      </c>
      <c r="E881" s="9" t="str">
        <f>IF(OR(C881="",D881=""),"",C881*D881)</f>
        <v/>
      </c>
      <c r="F881" s="4"/>
      <c r="G881" s="4"/>
      <c r="H881" s="9" t="str">
        <f>IF(OR(B881="",C881=""),"",C881*IFERROR(INDEX(Articles!$D:$D,MATCH(B881,Articles!$B:$B,0)),0))</f>
        <v/>
      </c>
      <c r="I881" s="9" t="str">
        <f>IF(OR(E881="",H881=""),"",E881-H881)</f>
        <v/>
      </c>
      <c r="J881" s="4"/>
    </row>
    <row r="882">
      <c r="A882" s="7"/>
      <c r="B882" s="4"/>
      <c r="C882" s="6"/>
      <c r="D882" s="5" t="str">
        <f>IF(B882="","",IFERROR(INDEX(Articles!$E:$E,MATCH(B882,Articles!$B:$B,0)),""))</f>
        <v/>
      </c>
      <c r="E882" s="9" t="str">
        <f>IF(OR(C882="",D882=""),"",C882*D882)</f>
        <v/>
      </c>
      <c r="F882" s="4"/>
      <c r="G882" s="4"/>
      <c r="H882" s="9" t="str">
        <f>IF(OR(B882="",C882=""),"",C882*IFERROR(INDEX(Articles!$D:$D,MATCH(B882,Articles!$B:$B,0)),0))</f>
        <v/>
      </c>
      <c r="I882" s="9" t="str">
        <f>IF(OR(E882="",H882=""),"",E882-H882)</f>
        <v/>
      </c>
      <c r="J882" s="4"/>
    </row>
    <row r="883">
      <c r="A883" s="7"/>
      <c r="B883" s="4"/>
      <c r="C883" s="6"/>
      <c r="D883" s="5" t="str">
        <f>IF(B883="","",IFERROR(INDEX(Articles!$E:$E,MATCH(B883,Articles!$B:$B,0)),""))</f>
        <v/>
      </c>
      <c r="E883" s="9" t="str">
        <f>IF(OR(C883="",D883=""),"",C883*D883)</f>
        <v/>
      </c>
      <c r="F883" s="4"/>
      <c r="G883" s="4"/>
      <c r="H883" s="9" t="str">
        <f>IF(OR(B883="",C883=""),"",C883*IFERROR(INDEX(Articles!$D:$D,MATCH(B883,Articles!$B:$B,0)),0))</f>
        <v/>
      </c>
      <c r="I883" s="9" t="str">
        <f>IF(OR(E883="",H883=""),"",E883-H883)</f>
        <v/>
      </c>
      <c r="J883" s="4"/>
    </row>
    <row r="884">
      <c r="A884" s="7"/>
      <c r="B884" s="4"/>
      <c r="C884" s="6"/>
      <c r="D884" s="5" t="str">
        <f>IF(B884="","",IFERROR(INDEX(Articles!$E:$E,MATCH(B884,Articles!$B:$B,0)),""))</f>
        <v/>
      </c>
      <c r="E884" s="9" t="str">
        <f>IF(OR(C884="",D884=""),"",C884*D884)</f>
        <v/>
      </c>
      <c r="F884" s="4"/>
      <c r="G884" s="4"/>
      <c r="H884" s="9" t="str">
        <f>IF(OR(B884="",C884=""),"",C884*IFERROR(INDEX(Articles!$D:$D,MATCH(B884,Articles!$B:$B,0)),0))</f>
        <v/>
      </c>
      <c r="I884" s="9" t="str">
        <f>IF(OR(E884="",H884=""),"",E884-H884)</f>
        <v/>
      </c>
      <c r="J884" s="4"/>
    </row>
    <row r="885">
      <c r="A885" s="7"/>
      <c r="B885" s="4"/>
      <c r="C885" s="6"/>
      <c r="D885" s="5" t="str">
        <f>IF(B885="","",IFERROR(INDEX(Articles!$E:$E,MATCH(B885,Articles!$B:$B,0)),""))</f>
        <v/>
      </c>
      <c r="E885" s="9" t="str">
        <f>IF(OR(C885="",D885=""),"",C885*D885)</f>
        <v/>
      </c>
      <c r="F885" s="4"/>
      <c r="G885" s="4"/>
      <c r="H885" s="9" t="str">
        <f>IF(OR(B885="",C885=""),"",C885*IFERROR(INDEX(Articles!$D:$D,MATCH(B885,Articles!$B:$B,0)),0))</f>
        <v/>
      </c>
      <c r="I885" s="9" t="str">
        <f>IF(OR(E885="",H885=""),"",E885-H885)</f>
        <v/>
      </c>
      <c r="J885" s="4"/>
    </row>
    <row r="886">
      <c r="A886" s="7"/>
      <c r="B886" s="4"/>
      <c r="C886" s="6"/>
      <c r="D886" s="5" t="str">
        <f>IF(B886="","",IFERROR(INDEX(Articles!$E:$E,MATCH(B886,Articles!$B:$B,0)),""))</f>
        <v/>
      </c>
      <c r="E886" s="9" t="str">
        <f>IF(OR(C886="",D886=""),"",C886*D886)</f>
        <v/>
      </c>
      <c r="F886" s="4"/>
      <c r="G886" s="4"/>
      <c r="H886" s="9" t="str">
        <f>IF(OR(B886="",C886=""),"",C886*IFERROR(INDEX(Articles!$D:$D,MATCH(B886,Articles!$B:$B,0)),0))</f>
        <v/>
      </c>
      <c r="I886" s="9" t="str">
        <f>IF(OR(E886="",H886=""),"",E886-H886)</f>
        <v/>
      </c>
      <c r="J886" s="4"/>
    </row>
    <row r="887">
      <c r="A887" s="7"/>
      <c r="B887" s="4"/>
      <c r="C887" s="6"/>
      <c r="D887" s="5" t="str">
        <f>IF(B887="","",IFERROR(INDEX(Articles!$E:$E,MATCH(B887,Articles!$B:$B,0)),""))</f>
        <v/>
      </c>
      <c r="E887" s="9" t="str">
        <f>IF(OR(C887="",D887=""),"",C887*D887)</f>
        <v/>
      </c>
      <c r="F887" s="4"/>
      <c r="G887" s="4"/>
      <c r="H887" s="9" t="str">
        <f>IF(OR(B887="",C887=""),"",C887*IFERROR(INDEX(Articles!$D:$D,MATCH(B887,Articles!$B:$B,0)),0))</f>
        <v/>
      </c>
      <c r="I887" s="9" t="str">
        <f>IF(OR(E887="",H887=""),"",E887-H887)</f>
        <v/>
      </c>
      <c r="J887" s="4"/>
    </row>
    <row r="888">
      <c r="A888" s="7"/>
      <c r="B888" s="4"/>
      <c r="C888" s="6"/>
      <c r="D888" s="5" t="str">
        <f>IF(B888="","",IFERROR(INDEX(Articles!$E:$E,MATCH(B888,Articles!$B:$B,0)),""))</f>
        <v/>
      </c>
      <c r="E888" s="9" t="str">
        <f>IF(OR(C888="",D888=""),"",C888*D888)</f>
        <v/>
      </c>
      <c r="F888" s="4"/>
      <c r="G888" s="4"/>
      <c r="H888" s="9" t="str">
        <f>IF(OR(B888="",C888=""),"",C888*IFERROR(INDEX(Articles!$D:$D,MATCH(B888,Articles!$B:$B,0)),0))</f>
        <v/>
      </c>
      <c r="I888" s="9" t="str">
        <f>IF(OR(E888="",H888=""),"",E888-H888)</f>
        <v/>
      </c>
      <c r="J888" s="4"/>
    </row>
    <row r="889">
      <c r="A889" s="7"/>
      <c r="B889" s="4"/>
      <c r="C889" s="6"/>
      <c r="D889" s="5" t="str">
        <f>IF(B889="","",IFERROR(INDEX(Articles!$E:$E,MATCH(B889,Articles!$B:$B,0)),""))</f>
        <v/>
      </c>
      <c r="E889" s="9" t="str">
        <f>IF(OR(C889="",D889=""),"",C889*D889)</f>
        <v/>
      </c>
      <c r="F889" s="4"/>
      <c r="G889" s="4"/>
      <c r="H889" s="9" t="str">
        <f>IF(OR(B889="",C889=""),"",C889*IFERROR(INDEX(Articles!$D:$D,MATCH(B889,Articles!$B:$B,0)),0))</f>
        <v/>
      </c>
      <c r="I889" s="9" t="str">
        <f>IF(OR(E889="",H889=""),"",E889-H889)</f>
        <v/>
      </c>
      <c r="J889" s="4"/>
    </row>
    <row r="890">
      <c r="A890" s="7"/>
      <c r="B890" s="4"/>
      <c r="C890" s="6"/>
      <c r="D890" s="5" t="str">
        <f>IF(B890="","",IFERROR(INDEX(Articles!$E:$E,MATCH(B890,Articles!$B:$B,0)),""))</f>
        <v/>
      </c>
      <c r="E890" s="9" t="str">
        <f>IF(OR(C890="",D890=""),"",C890*D890)</f>
        <v/>
      </c>
      <c r="F890" s="4"/>
      <c r="G890" s="4"/>
      <c r="H890" s="9" t="str">
        <f>IF(OR(B890="",C890=""),"",C890*IFERROR(INDEX(Articles!$D:$D,MATCH(B890,Articles!$B:$B,0)),0))</f>
        <v/>
      </c>
      <c r="I890" s="9" t="str">
        <f>IF(OR(E890="",H890=""),"",E890-H890)</f>
        <v/>
      </c>
      <c r="J890" s="4"/>
    </row>
    <row r="891">
      <c r="A891" s="7"/>
      <c r="B891" s="4"/>
      <c r="C891" s="6"/>
      <c r="D891" s="5" t="str">
        <f>IF(B891="","",IFERROR(INDEX(Articles!$E:$E,MATCH(B891,Articles!$B:$B,0)),""))</f>
        <v/>
      </c>
      <c r="E891" s="9" t="str">
        <f>IF(OR(C891="",D891=""),"",C891*D891)</f>
        <v/>
      </c>
      <c r="F891" s="4"/>
      <c r="G891" s="4"/>
      <c r="H891" s="9" t="str">
        <f>IF(OR(B891="",C891=""),"",C891*IFERROR(INDEX(Articles!$D:$D,MATCH(B891,Articles!$B:$B,0)),0))</f>
        <v/>
      </c>
      <c r="I891" s="9" t="str">
        <f>IF(OR(E891="",H891=""),"",E891-H891)</f>
        <v/>
      </c>
      <c r="J891" s="4"/>
    </row>
    <row r="892">
      <c r="A892" s="7"/>
      <c r="B892" s="4"/>
      <c r="C892" s="6"/>
      <c r="D892" s="5" t="str">
        <f>IF(B892="","",IFERROR(INDEX(Articles!$E:$E,MATCH(B892,Articles!$B:$B,0)),""))</f>
        <v/>
      </c>
      <c r="E892" s="9" t="str">
        <f>IF(OR(C892="",D892=""),"",C892*D892)</f>
        <v/>
      </c>
      <c r="F892" s="4"/>
      <c r="G892" s="4"/>
      <c r="H892" s="9" t="str">
        <f>IF(OR(B892="",C892=""),"",C892*IFERROR(INDEX(Articles!$D:$D,MATCH(B892,Articles!$B:$B,0)),0))</f>
        <v/>
      </c>
      <c r="I892" s="9" t="str">
        <f>IF(OR(E892="",H892=""),"",E892-H892)</f>
        <v/>
      </c>
      <c r="J892" s="4"/>
    </row>
    <row r="893">
      <c r="A893" s="7"/>
      <c r="B893" s="4"/>
      <c r="C893" s="6"/>
      <c r="D893" s="5" t="str">
        <f>IF(B893="","",IFERROR(INDEX(Articles!$E:$E,MATCH(B893,Articles!$B:$B,0)),""))</f>
        <v/>
      </c>
      <c r="E893" s="9" t="str">
        <f>IF(OR(C893="",D893=""),"",C893*D893)</f>
        <v/>
      </c>
      <c r="F893" s="4"/>
      <c r="G893" s="4"/>
      <c r="H893" s="9" t="str">
        <f>IF(OR(B893="",C893=""),"",C893*IFERROR(INDEX(Articles!$D:$D,MATCH(B893,Articles!$B:$B,0)),0))</f>
        <v/>
      </c>
      <c r="I893" s="9" t="str">
        <f>IF(OR(E893="",H893=""),"",E893-H893)</f>
        <v/>
      </c>
      <c r="J893" s="4"/>
    </row>
    <row r="894">
      <c r="A894" s="7"/>
      <c r="B894" s="4"/>
      <c r="C894" s="6"/>
      <c r="D894" s="5" t="str">
        <f>IF(B894="","",IFERROR(INDEX(Articles!$E:$E,MATCH(B894,Articles!$B:$B,0)),""))</f>
        <v/>
      </c>
      <c r="E894" s="9" t="str">
        <f>IF(OR(C894="",D894=""),"",C894*D894)</f>
        <v/>
      </c>
      <c r="F894" s="4"/>
      <c r="G894" s="4"/>
      <c r="H894" s="9" t="str">
        <f>IF(OR(B894="",C894=""),"",C894*IFERROR(INDEX(Articles!$D:$D,MATCH(B894,Articles!$B:$B,0)),0))</f>
        <v/>
      </c>
      <c r="I894" s="9" t="str">
        <f>IF(OR(E894="",H894=""),"",E894-H894)</f>
        <v/>
      </c>
      <c r="J894" s="4"/>
    </row>
    <row r="895">
      <c r="A895" s="7"/>
      <c r="B895" s="4"/>
      <c r="C895" s="6"/>
      <c r="D895" s="5" t="str">
        <f>IF(B895="","",IFERROR(INDEX(Articles!$E:$E,MATCH(B895,Articles!$B:$B,0)),""))</f>
        <v/>
      </c>
      <c r="E895" s="9" t="str">
        <f>IF(OR(C895="",D895=""),"",C895*D895)</f>
        <v/>
      </c>
      <c r="F895" s="4"/>
      <c r="G895" s="4"/>
      <c r="H895" s="9" t="str">
        <f>IF(OR(B895="",C895=""),"",C895*IFERROR(INDEX(Articles!$D:$D,MATCH(B895,Articles!$B:$B,0)),0))</f>
        <v/>
      </c>
      <c r="I895" s="9" t="str">
        <f>IF(OR(E895="",H895=""),"",E895-H895)</f>
        <v/>
      </c>
      <c r="J895" s="4"/>
    </row>
    <row r="896">
      <c r="A896" s="7"/>
      <c r="B896" s="4"/>
      <c r="C896" s="6"/>
      <c r="D896" s="5" t="str">
        <f>IF(B896="","",IFERROR(INDEX(Articles!$E:$E,MATCH(B896,Articles!$B:$B,0)),""))</f>
        <v/>
      </c>
      <c r="E896" s="9" t="str">
        <f>IF(OR(C896="",D896=""),"",C896*D896)</f>
        <v/>
      </c>
      <c r="F896" s="4"/>
      <c r="G896" s="4"/>
      <c r="H896" s="9" t="str">
        <f>IF(OR(B896="",C896=""),"",C896*IFERROR(INDEX(Articles!$D:$D,MATCH(B896,Articles!$B:$B,0)),0))</f>
        <v/>
      </c>
      <c r="I896" s="9" t="str">
        <f>IF(OR(E896="",H896=""),"",E896-H896)</f>
        <v/>
      </c>
      <c r="J896" s="4"/>
    </row>
    <row r="897">
      <c r="A897" s="7"/>
      <c r="B897" s="4"/>
      <c r="C897" s="6"/>
      <c r="D897" s="5" t="str">
        <f>IF(B897="","",IFERROR(INDEX(Articles!$E:$E,MATCH(B897,Articles!$B:$B,0)),""))</f>
        <v/>
      </c>
      <c r="E897" s="9" t="str">
        <f>IF(OR(C897="",D897=""),"",C897*D897)</f>
        <v/>
      </c>
      <c r="F897" s="4"/>
      <c r="G897" s="4"/>
      <c r="H897" s="9" t="str">
        <f>IF(OR(B897="",C897=""),"",C897*IFERROR(INDEX(Articles!$D:$D,MATCH(B897,Articles!$B:$B,0)),0))</f>
        <v/>
      </c>
      <c r="I897" s="9" t="str">
        <f>IF(OR(E897="",H897=""),"",E897-H897)</f>
        <v/>
      </c>
      <c r="J897" s="4"/>
    </row>
    <row r="898">
      <c r="A898" s="7"/>
      <c r="B898" s="4"/>
      <c r="C898" s="6"/>
      <c r="D898" s="5" t="str">
        <f>IF(B898="","",IFERROR(INDEX(Articles!$E:$E,MATCH(B898,Articles!$B:$B,0)),""))</f>
        <v/>
      </c>
      <c r="E898" s="9" t="str">
        <f>IF(OR(C898="",D898=""),"",C898*D898)</f>
        <v/>
      </c>
      <c r="F898" s="4"/>
      <c r="G898" s="4"/>
      <c r="H898" s="9" t="str">
        <f>IF(OR(B898="",C898=""),"",C898*IFERROR(INDEX(Articles!$D:$D,MATCH(B898,Articles!$B:$B,0)),0))</f>
        <v/>
      </c>
      <c r="I898" s="9" t="str">
        <f>IF(OR(E898="",H898=""),"",E898-H898)</f>
        <v/>
      </c>
      <c r="J898" s="4"/>
    </row>
    <row r="899">
      <c r="A899" s="7"/>
      <c r="B899" s="4"/>
      <c r="C899" s="6"/>
      <c r="D899" s="5" t="str">
        <f>IF(B899="","",IFERROR(INDEX(Articles!$E:$E,MATCH(B899,Articles!$B:$B,0)),""))</f>
        <v/>
      </c>
      <c r="E899" s="9" t="str">
        <f>IF(OR(C899="",D899=""),"",C899*D899)</f>
        <v/>
      </c>
      <c r="F899" s="4"/>
      <c r="G899" s="4"/>
      <c r="H899" s="9" t="str">
        <f>IF(OR(B899="",C899=""),"",C899*IFERROR(INDEX(Articles!$D:$D,MATCH(B899,Articles!$B:$B,0)),0))</f>
        <v/>
      </c>
      <c r="I899" s="9" t="str">
        <f>IF(OR(E899="",H899=""),"",E899-H899)</f>
        <v/>
      </c>
      <c r="J899" s="4"/>
    </row>
    <row r="900">
      <c r="A900" s="7"/>
      <c r="B900" s="4"/>
      <c r="C900" s="6"/>
      <c r="D900" s="5" t="str">
        <f>IF(B900="","",IFERROR(INDEX(Articles!$E:$E,MATCH(B900,Articles!$B:$B,0)),""))</f>
        <v/>
      </c>
      <c r="E900" s="9" t="str">
        <f>IF(OR(C900="",D900=""),"",C900*D900)</f>
        <v/>
      </c>
      <c r="F900" s="4"/>
      <c r="G900" s="4"/>
      <c r="H900" s="9" t="str">
        <f>IF(OR(B900="",C900=""),"",C900*IFERROR(INDEX(Articles!$D:$D,MATCH(B900,Articles!$B:$B,0)),0))</f>
        <v/>
      </c>
      <c r="I900" s="9" t="str">
        <f>IF(OR(E900="",H900=""),"",E900-H900)</f>
        <v/>
      </c>
      <c r="J900" s="4"/>
    </row>
    <row r="901">
      <c r="A901" s="7"/>
      <c r="B901" s="4"/>
      <c r="C901" s="6"/>
      <c r="D901" s="5" t="str">
        <f>IF(B901="","",IFERROR(INDEX(Articles!$E:$E,MATCH(B901,Articles!$B:$B,0)),""))</f>
        <v/>
      </c>
      <c r="E901" s="9" t="str">
        <f>IF(OR(C901="",D901=""),"",C901*D901)</f>
        <v/>
      </c>
      <c r="F901" s="4"/>
      <c r="G901" s="4"/>
      <c r="H901" s="9" t="str">
        <f>IF(OR(B901="",C901=""),"",C901*IFERROR(INDEX(Articles!$D:$D,MATCH(B901,Articles!$B:$B,0)),0))</f>
        <v/>
      </c>
      <c r="I901" s="9" t="str">
        <f>IF(OR(E901="",H901=""),"",E901-H901)</f>
        <v/>
      </c>
      <c r="J901" s="4"/>
    </row>
    <row r="902">
      <c r="A902" s="7"/>
      <c r="B902" s="4"/>
      <c r="C902" s="6"/>
      <c r="D902" s="5" t="str">
        <f>IF(B902="","",IFERROR(INDEX(Articles!$E:$E,MATCH(B902,Articles!$B:$B,0)),""))</f>
        <v/>
      </c>
      <c r="E902" s="9" t="str">
        <f>IF(OR(C902="",D902=""),"",C902*D902)</f>
        <v/>
      </c>
      <c r="F902" s="4"/>
      <c r="G902" s="4"/>
      <c r="H902" s="9" t="str">
        <f>IF(OR(B902="",C902=""),"",C902*IFERROR(INDEX(Articles!$D:$D,MATCH(B902,Articles!$B:$B,0)),0))</f>
        <v/>
      </c>
      <c r="I902" s="9" t="str">
        <f>IF(OR(E902="",H902=""),"",E902-H902)</f>
        <v/>
      </c>
      <c r="J902" s="4"/>
    </row>
    <row r="903">
      <c r="A903" s="7"/>
      <c r="B903" s="4"/>
      <c r="C903" s="6"/>
      <c r="D903" s="5" t="str">
        <f>IF(B903="","",IFERROR(INDEX(Articles!$E:$E,MATCH(B903,Articles!$B:$B,0)),""))</f>
        <v/>
      </c>
      <c r="E903" s="9" t="str">
        <f>IF(OR(C903="",D903=""),"",C903*D903)</f>
        <v/>
      </c>
      <c r="F903" s="4"/>
      <c r="G903" s="4"/>
      <c r="H903" s="9" t="str">
        <f>IF(OR(B903="",C903=""),"",C903*IFERROR(INDEX(Articles!$D:$D,MATCH(B903,Articles!$B:$B,0)),0))</f>
        <v/>
      </c>
      <c r="I903" s="9" t="str">
        <f>IF(OR(E903="",H903=""),"",E903-H903)</f>
        <v/>
      </c>
      <c r="J903" s="4"/>
    </row>
    <row r="904">
      <c r="A904" s="7"/>
      <c r="B904" s="4"/>
      <c r="C904" s="6"/>
      <c r="D904" s="5" t="str">
        <f>IF(B904="","",IFERROR(INDEX(Articles!$E:$E,MATCH(B904,Articles!$B:$B,0)),""))</f>
        <v/>
      </c>
      <c r="E904" s="9" t="str">
        <f>IF(OR(C904="",D904=""),"",C904*D904)</f>
        <v/>
      </c>
      <c r="F904" s="4"/>
      <c r="G904" s="4"/>
      <c r="H904" s="9" t="str">
        <f>IF(OR(B904="",C904=""),"",C904*IFERROR(INDEX(Articles!$D:$D,MATCH(B904,Articles!$B:$B,0)),0))</f>
        <v/>
      </c>
      <c r="I904" s="9" t="str">
        <f>IF(OR(E904="",H904=""),"",E904-H904)</f>
        <v/>
      </c>
      <c r="J904" s="4"/>
    </row>
    <row r="905">
      <c r="A905" s="7"/>
      <c r="B905" s="4"/>
      <c r="C905" s="6"/>
      <c r="D905" s="5" t="str">
        <f>IF(B905="","",IFERROR(INDEX(Articles!$E:$E,MATCH(B905,Articles!$B:$B,0)),""))</f>
        <v/>
      </c>
      <c r="E905" s="9" t="str">
        <f>IF(OR(C905="",D905=""),"",C905*D905)</f>
        <v/>
      </c>
      <c r="F905" s="4"/>
      <c r="G905" s="4"/>
      <c r="H905" s="9" t="str">
        <f>IF(OR(B905="",C905=""),"",C905*IFERROR(INDEX(Articles!$D:$D,MATCH(B905,Articles!$B:$B,0)),0))</f>
        <v/>
      </c>
      <c r="I905" s="9" t="str">
        <f>IF(OR(E905="",H905=""),"",E905-H905)</f>
        <v/>
      </c>
      <c r="J905" s="4"/>
    </row>
    <row r="906">
      <c r="A906" s="7"/>
      <c r="B906" s="4"/>
      <c r="C906" s="6"/>
      <c r="D906" s="5" t="str">
        <f>IF(B906="","",IFERROR(INDEX(Articles!$E:$E,MATCH(B906,Articles!$B:$B,0)),""))</f>
        <v/>
      </c>
      <c r="E906" s="9" t="str">
        <f>IF(OR(C906="",D906=""),"",C906*D906)</f>
        <v/>
      </c>
      <c r="F906" s="4"/>
      <c r="G906" s="4"/>
      <c r="H906" s="9" t="str">
        <f>IF(OR(B906="",C906=""),"",C906*IFERROR(INDEX(Articles!$D:$D,MATCH(B906,Articles!$B:$B,0)),0))</f>
        <v/>
      </c>
      <c r="I906" s="9" t="str">
        <f>IF(OR(E906="",H906=""),"",E906-H906)</f>
        <v/>
      </c>
      <c r="J906" s="4"/>
    </row>
    <row r="907">
      <c r="A907" s="7"/>
      <c r="B907" s="4"/>
      <c r="C907" s="6"/>
      <c r="D907" s="5" t="str">
        <f>IF(B907="","",IFERROR(INDEX(Articles!$E:$E,MATCH(B907,Articles!$B:$B,0)),""))</f>
        <v/>
      </c>
      <c r="E907" s="9" t="str">
        <f>IF(OR(C907="",D907=""),"",C907*D907)</f>
        <v/>
      </c>
      <c r="F907" s="4"/>
      <c r="G907" s="4"/>
      <c r="H907" s="9" t="str">
        <f>IF(OR(B907="",C907=""),"",C907*IFERROR(INDEX(Articles!$D:$D,MATCH(B907,Articles!$B:$B,0)),0))</f>
        <v/>
      </c>
      <c r="I907" s="9" t="str">
        <f>IF(OR(E907="",H907=""),"",E907-H907)</f>
        <v/>
      </c>
      <c r="J907" s="4"/>
    </row>
    <row r="908">
      <c r="A908" s="7"/>
      <c r="B908" s="4"/>
      <c r="C908" s="6"/>
      <c r="D908" s="5" t="str">
        <f>IF(B908="","",IFERROR(INDEX(Articles!$E:$E,MATCH(B908,Articles!$B:$B,0)),""))</f>
        <v/>
      </c>
      <c r="E908" s="9" t="str">
        <f>IF(OR(C908="",D908=""),"",C908*D908)</f>
        <v/>
      </c>
      <c r="F908" s="4"/>
      <c r="G908" s="4"/>
      <c r="H908" s="9" t="str">
        <f>IF(OR(B908="",C908=""),"",C908*IFERROR(INDEX(Articles!$D:$D,MATCH(B908,Articles!$B:$B,0)),0))</f>
        <v/>
      </c>
      <c r="I908" s="9" t="str">
        <f>IF(OR(E908="",H908=""),"",E908-H908)</f>
        <v/>
      </c>
      <c r="J908" s="4"/>
    </row>
    <row r="909">
      <c r="A909" s="7"/>
      <c r="B909" s="4"/>
      <c r="C909" s="6"/>
      <c r="D909" s="5" t="str">
        <f>IF(B909="","",IFERROR(INDEX(Articles!$E:$E,MATCH(B909,Articles!$B:$B,0)),""))</f>
        <v/>
      </c>
      <c r="E909" s="9" t="str">
        <f>IF(OR(C909="",D909=""),"",C909*D909)</f>
        <v/>
      </c>
      <c r="F909" s="4"/>
      <c r="G909" s="4"/>
      <c r="H909" s="9" t="str">
        <f>IF(OR(B909="",C909=""),"",C909*IFERROR(INDEX(Articles!$D:$D,MATCH(B909,Articles!$B:$B,0)),0))</f>
        <v/>
      </c>
      <c r="I909" s="9" t="str">
        <f>IF(OR(E909="",H909=""),"",E909-H909)</f>
        <v/>
      </c>
      <c r="J909" s="4"/>
    </row>
    <row r="910">
      <c r="A910" s="7"/>
      <c r="B910" s="4"/>
      <c r="C910" s="6"/>
      <c r="D910" s="5" t="str">
        <f>IF(B910="","",IFERROR(INDEX(Articles!$E:$E,MATCH(B910,Articles!$B:$B,0)),""))</f>
        <v/>
      </c>
      <c r="E910" s="9" t="str">
        <f>IF(OR(C910="",D910=""),"",C910*D910)</f>
        <v/>
      </c>
      <c r="F910" s="4"/>
      <c r="G910" s="4"/>
      <c r="H910" s="9" t="str">
        <f>IF(OR(B910="",C910=""),"",C910*IFERROR(INDEX(Articles!$D:$D,MATCH(B910,Articles!$B:$B,0)),0))</f>
        <v/>
      </c>
      <c r="I910" s="9" t="str">
        <f>IF(OR(E910="",H910=""),"",E910-H910)</f>
        <v/>
      </c>
      <c r="J910" s="4"/>
    </row>
    <row r="911">
      <c r="A911" s="7"/>
      <c r="B911" s="4"/>
      <c r="C911" s="6"/>
      <c r="D911" s="5" t="str">
        <f>IF(B911="","",IFERROR(INDEX(Articles!$E:$E,MATCH(B911,Articles!$B:$B,0)),""))</f>
        <v/>
      </c>
      <c r="E911" s="9" t="str">
        <f>IF(OR(C911="",D911=""),"",C911*D911)</f>
        <v/>
      </c>
      <c r="F911" s="4"/>
      <c r="G911" s="4"/>
      <c r="H911" s="9" t="str">
        <f>IF(OR(B911="",C911=""),"",C911*IFERROR(INDEX(Articles!$D:$D,MATCH(B911,Articles!$B:$B,0)),0))</f>
        <v/>
      </c>
      <c r="I911" s="9" t="str">
        <f>IF(OR(E911="",H911=""),"",E911-H911)</f>
        <v/>
      </c>
      <c r="J911" s="4"/>
    </row>
    <row r="912">
      <c r="A912" s="7"/>
      <c r="B912" s="4"/>
      <c r="C912" s="6"/>
      <c r="D912" s="5" t="str">
        <f>IF(B912="","",IFERROR(INDEX(Articles!$E:$E,MATCH(B912,Articles!$B:$B,0)),""))</f>
        <v/>
      </c>
      <c r="E912" s="9" t="str">
        <f>IF(OR(C912="",D912=""),"",C912*D912)</f>
        <v/>
      </c>
      <c r="F912" s="4"/>
      <c r="G912" s="4"/>
      <c r="H912" s="9" t="str">
        <f>IF(OR(B912="",C912=""),"",C912*IFERROR(INDEX(Articles!$D:$D,MATCH(B912,Articles!$B:$B,0)),0))</f>
        <v/>
      </c>
      <c r="I912" s="9" t="str">
        <f>IF(OR(E912="",H912=""),"",E912-H912)</f>
        <v/>
      </c>
      <c r="J912" s="4"/>
    </row>
    <row r="913">
      <c r="A913" s="7"/>
      <c r="B913" s="4"/>
      <c r="C913" s="6"/>
      <c r="D913" s="5" t="str">
        <f>IF(B913="","",IFERROR(INDEX(Articles!$E:$E,MATCH(B913,Articles!$B:$B,0)),""))</f>
        <v/>
      </c>
      <c r="E913" s="9" t="str">
        <f>IF(OR(C913="",D913=""),"",C913*D913)</f>
        <v/>
      </c>
      <c r="F913" s="4"/>
      <c r="G913" s="4"/>
      <c r="H913" s="9" t="str">
        <f>IF(OR(B913="",C913=""),"",C913*IFERROR(INDEX(Articles!$D:$D,MATCH(B913,Articles!$B:$B,0)),0))</f>
        <v/>
      </c>
      <c r="I913" s="9" t="str">
        <f>IF(OR(E913="",H913=""),"",E913-H913)</f>
        <v/>
      </c>
      <c r="J913" s="4"/>
    </row>
    <row r="914">
      <c r="A914" s="7"/>
      <c r="B914" s="4"/>
      <c r="C914" s="6"/>
      <c r="D914" s="5" t="str">
        <f>IF(B914="","",IFERROR(INDEX(Articles!$E:$E,MATCH(B914,Articles!$B:$B,0)),""))</f>
        <v/>
      </c>
      <c r="E914" s="9" t="str">
        <f>IF(OR(C914="",D914=""),"",C914*D914)</f>
        <v/>
      </c>
      <c r="F914" s="4"/>
      <c r="G914" s="4"/>
      <c r="H914" s="9" t="str">
        <f>IF(OR(B914="",C914=""),"",C914*IFERROR(INDEX(Articles!$D:$D,MATCH(B914,Articles!$B:$B,0)),0))</f>
        <v/>
      </c>
      <c r="I914" s="9" t="str">
        <f>IF(OR(E914="",H914=""),"",E914-H914)</f>
        <v/>
      </c>
      <c r="J914" s="4"/>
    </row>
    <row r="915">
      <c r="A915" s="7"/>
      <c r="B915" s="4"/>
      <c r="C915" s="6"/>
      <c r="D915" s="5" t="str">
        <f>IF(B915="","",IFERROR(INDEX(Articles!$E:$E,MATCH(B915,Articles!$B:$B,0)),""))</f>
        <v/>
      </c>
      <c r="E915" s="9" t="str">
        <f>IF(OR(C915="",D915=""),"",C915*D915)</f>
        <v/>
      </c>
      <c r="F915" s="4"/>
      <c r="G915" s="4"/>
      <c r="H915" s="9" t="str">
        <f>IF(OR(B915="",C915=""),"",C915*IFERROR(INDEX(Articles!$D:$D,MATCH(B915,Articles!$B:$B,0)),0))</f>
        <v/>
      </c>
      <c r="I915" s="9" t="str">
        <f>IF(OR(E915="",H915=""),"",E915-H915)</f>
        <v/>
      </c>
      <c r="J915" s="4"/>
    </row>
    <row r="916">
      <c r="A916" s="7"/>
      <c r="B916" s="4"/>
      <c r="C916" s="6"/>
      <c r="D916" s="5" t="str">
        <f>IF(B916="","",IFERROR(INDEX(Articles!$E:$E,MATCH(B916,Articles!$B:$B,0)),""))</f>
        <v/>
      </c>
      <c r="E916" s="9" t="str">
        <f>IF(OR(C916="",D916=""),"",C916*D916)</f>
        <v/>
      </c>
      <c r="F916" s="4"/>
      <c r="G916" s="4"/>
      <c r="H916" s="9" t="str">
        <f>IF(OR(B916="",C916=""),"",C916*IFERROR(INDEX(Articles!$D:$D,MATCH(B916,Articles!$B:$B,0)),0))</f>
        <v/>
      </c>
      <c r="I916" s="9" t="str">
        <f>IF(OR(E916="",H916=""),"",E916-H916)</f>
        <v/>
      </c>
      <c r="J916" s="4"/>
    </row>
    <row r="917">
      <c r="A917" s="7"/>
      <c r="B917" s="4"/>
      <c r="C917" s="6"/>
      <c r="D917" s="5" t="str">
        <f>IF(B917="","",IFERROR(INDEX(Articles!$E:$E,MATCH(B917,Articles!$B:$B,0)),""))</f>
        <v/>
      </c>
      <c r="E917" s="9" t="str">
        <f>IF(OR(C917="",D917=""),"",C917*D917)</f>
        <v/>
      </c>
      <c r="F917" s="4"/>
      <c r="G917" s="4"/>
      <c r="H917" s="9" t="str">
        <f>IF(OR(B917="",C917=""),"",C917*IFERROR(INDEX(Articles!$D:$D,MATCH(B917,Articles!$B:$B,0)),0))</f>
        <v/>
      </c>
      <c r="I917" s="9" t="str">
        <f>IF(OR(E917="",H917=""),"",E917-H917)</f>
        <v/>
      </c>
      <c r="J917" s="4"/>
    </row>
    <row r="918">
      <c r="A918" s="7"/>
      <c r="B918" s="4"/>
      <c r="C918" s="6"/>
      <c r="D918" s="5" t="str">
        <f>IF(B918="","",IFERROR(INDEX(Articles!$E:$E,MATCH(B918,Articles!$B:$B,0)),""))</f>
        <v/>
      </c>
      <c r="E918" s="9" t="str">
        <f>IF(OR(C918="",D918=""),"",C918*D918)</f>
        <v/>
      </c>
      <c r="F918" s="4"/>
      <c r="G918" s="4"/>
      <c r="H918" s="9" t="str">
        <f>IF(OR(B918="",C918=""),"",C918*IFERROR(INDEX(Articles!$D:$D,MATCH(B918,Articles!$B:$B,0)),0))</f>
        <v/>
      </c>
      <c r="I918" s="9" t="str">
        <f>IF(OR(E918="",H918=""),"",E918-H918)</f>
        <v/>
      </c>
      <c r="J918" s="4"/>
    </row>
    <row r="919">
      <c r="A919" s="7"/>
      <c r="B919" s="4"/>
      <c r="C919" s="6"/>
      <c r="D919" s="5" t="str">
        <f>IF(B919="","",IFERROR(INDEX(Articles!$E:$E,MATCH(B919,Articles!$B:$B,0)),""))</f>
        <v/>
      </c>
      <c r="E919" s="9" t="str">
        <f>IF(OR(C919="",D919=""),"",C919*D919)</f>
        <v/>
      </c>
      <c r="F919" s="4"/>
      <c r="G919" s="4"/>
      <c r="H919" s="9" t="str">
        <f>IF(OR(B919="",C919=""),"",C919*IFERROR(INDEX(Articles!$D:$D,MATCH(B919,Articles!$B:$B,0)),0))</f>
        <v/>
      </c>
      <c r="I919" s="9" t="str">
        <f>IF(OR(E919="",H919=""),"",E919-H919)</f>
        <v/>
      </c>
      <c r="J919" s="4"/>
    </row>
    <row r="920">
      <c r="A920" s="7"/>
      <c r="B920" s="4"/>
      <c r="C920" s="6"/>
      <c r="D920" s="5" t="str">
        <f>IF(B920="","",IFERROR(INDEX(Articles!$E:$E,MATCH(B920,Articles!$B:$B,0)),""))</f>
        <v/>
      </c>
      <c r="E920" s="9" t="str">
        <f>IF(OR(C920="",D920=""),"",C920*D920)</f>
        <v/>
      </c>
      <c r="F920" s="4"/>
      <c r="G920" s="4"/>
      <c r="H920" s="9" t="str">
        <f>IF(OR(B920="",C920=""),"",C920*IFERROR(INDEX(Articles!$D:$D,MATCH(B920,Articles!$B:$B,0)),0))</f>
        <v/>
      </c>
      <c r="I920" s="9" t="str">
        <f>IF(OR(E920="",H920=""),"",E920-H920)</f>
        <v/>
      </c>
      <c r="J920" s="4"/>
    </row>
    <row r="921">
      <c r="A921" s="7"/>
      <c r="B921" s="4"/>
      <c r="C921" s="6"/>
      <c r="D921" s="5" t="str">
        <f>IF(B921="","",IFERROR(INDEX(Articles!$E:$E,MATCH(B921,Articles!$B:$B,0)),""))</f>
        <v/>
      </c>
      <c r="E921" s="9" t="str">
        <f>IF(OR(C921="",D921=""),"",C921*D921)</f>
        <v/>
      </c>
      <c r="F921" s="4"/>
      <c r="G921" s="4"/>
      <c r="H921" s="9" t="str">
        <f>IF(OR(B921="",C921=""),"",C921*IFERROR(INDEX(Articles!$D:$D,MATCH(B921,Articles!$B:$B,0)),0))</f>
        <v/>
      </c>
      <c r="I921" s="9" t="str">
        <f>IF(OR(E921="",H921=""),"",E921-H921)</f>
        <v/>
      </c>
      <c r="J921" s="4"/>
    </row>
    <row r="922">
      <c r="A922" s="7"/>
      <c r="B922" s="4"/>
      <c r="C922" s="6"/>
      <c r="D922" s="5" t="str">
        <f>IF(B922="","",IFERROR(INDEX(Articles!$E:$E,MATCH(B922,Articles!$B:$B,0)),""))</f>
        <v/>
      </c>
      <c r="E922" s="9" t="str">
        <f>IF(OR(C922="",D922=""),"",C922*D922)</f>
        <v/>
      </c>
      <c r="F922" s="4"/>
      <c r="G922" s="4"/>
      <c r="H922" s="9" t="str">
        <f>IF(OR(B922="",C922=""),"",C922*IFERROR(INDEX(Articles!$D:$D,MATCH(B922,Articles!$B:$B,0)),0))</f>
        <v/>
      </c>
      <c r="I922" s="9" t="str">
        <f>IF(OR(E922="",H922=""),"",E922-H922)</f>
        <v/>
      </c>
      <c r="J922" s="4"/>
    </row>
    <row r="923">
      <c r="A923" s="7"/>
      <c r="B923" s="4"/>
      <c r="C923" s="6"/>
      <c r="D923" s="5" t="str">
        <f>IF(B923="","",IFERROR(INDEX(Articles!$E:$E,MATCH(B923,Articles!$B:$B,0)),""))</f>
        <v/>
      </c>
      <c r="E923" s="9" t="str">
        <f>IF(OR(C923="",D923=""),"",C923*D923)</f>
        <v/>
      </c>
      <c r="F923" s="4"/>
      <c r="G923" s="4"/>
      <c r="H923" s="9" t="str">
        <f>IF(OR(B923="",C923=""),"",C923*IFERROR(INDEX(Articles!$D:$D,MATCH(B923,Articles!$B:$B,0)),0))</f>
        <v/>
      </c>
      <c r="I923" s="9" t="str">
        <f>IF(OR(E923="",H923=""),"",E923-H923)</f>
        <v/>
      </c>
      <c r="J923" s="4"/>
    </row>
    <row r="924">
      <c r="A924" s="7"/>
      <c r="B924" s="4"/>
      <c r="C924" s="6"/>
      <c r="D924" s="5" t="str">
        <f>IF(B924="","",IFERROR(INDEX(Articles!$E:$E,MATCH(B924,Articles!$B:$B,0)),""))</f>
        <v/>
      </c>
      <c r="E924" s="9" t="str">
        <f>IF(OR(C924="",D924=""),"",C924*D924)</f>
        <v/>
      </c>
      <c r="F924" s="4"/>
      <c r="G924" s="4"/>
      <c r="H924" s="9" t="str">
        <f>IF(OR(B924="",C924=""),"",C924*IFERROR(INDEX(Articles!$D:$D,MATCH(B924,Articles!$B:$B,0)),0))</f>
        <v/>
      </c>
      <c r="I924" s="9" t="str">
        <f>IF(OR(E924="",H924=""),"",E924-H924)</f>
        <v/>
      </c>
      <c r="J924" s="4"/>
    </row>
    <row r="925">
      <c r="A925" s="7"/>
      <c r="B925" s="4"/>
      <c r="C925" s="6"/>
      <c r="D925" s="5" t="str">
        <f>IF(B925="","",IFERROR(INDEX(Articles!$E:$E,MATCH(B925,Articles!$B:$B,0)),""))</f>
        <v/>
      </c>
      <c r="E925" s="9" t="str">
        <f>IF(OR(C925="",D925=""),"",C925*D925)</f>
        <v/>
      </c>
      <c r="F925" s="4"/>
      <c r="G925" s="4"/>
      <c r="H925" s="9" t="str">
        <f>IF(OR(B925="",C925=""),"",C925*IFERROR(INDEX(Articles!$D:$D,MATCH(B925,Articles!$B:$B,0)),0))</f>
        <v/>
      </c>
      <c r="I925" s="9" t="str">
        <f>IF(OR(E925="",H925=""),"",E925-H925)</f>
        <v/>
      </c>
      <c r="J925" s="4"/>
    </row>
    <row r="926">
      <c r="A926" s="7"/>
      <c r="B926" s="4"/>
      <c r="C926" s="6"/>
      <c r="D926" s="5" t="str">
        <f>IF(B926="","",IFERROR(INDEX(Articles!$E:$E,MATCH(B926,Articles!$B:$B,0)),""))</f>
        <v/>
      </c>
      <c r="E926" s="9" t="str">
        <f>IF(OR(C926="",D926=""),"",C926*D926)</f>
        <v/>
      </c>
      <c r="F926" s="4"/>
      <c r="G926" s="4"/>
      <c r="H926" s="9" t="str">
        <f>IF(OR(B926="",C926=""),"",C926*IFERROR(INDEX(Articles!$D:$D,MATCH(B926,Articles!$B:$B,0)),0))</f>
        <v/>
      </c>
      <c r="I926" s="9" t="str">
        <f>IF(OR(E926="",H926=""),"",E926-H926)</f>
        <v/>
      </c>
      <c r="J926" s="4"/>
    </row>
    <row r="927">
      <c r="A927" s="7"/>
      <c r="B927" s="4"/>
      <c r="C927" s="6"/>
      <c r="D927" s="5" t="str">
        <f>IF(B927="","",IFERROR(INDEX(Articles!$E:$E,MATCH(B927,Articles!$B:$B,0)),""))</f>
        <v/>
      </c>
      <c r="E927" s="9" t="str">
        <f>IF(OR(C927="",D927=""),"",C927*D927)</f>
        <v/>
      </c>
      <c r="F927" s="4"/>
      <c r="G927" s="4"/>
      <c r="H927" s="9" t="str">
        <f>IF(OR(B927="",C927=""),"",C927*IFERROR(INDEX(Articles!$D:$D,MATCH(B927,Articles!$B:$B,0)),0))</f>
        <v/>
      </c>
      <c r="I927" s="9" t="str">
        <f>IF(OR(E927="",H927=""),"",E927-H927)</f>
        <v/>
      </c>
      <c r="J927" s="4"/>
    </row>
    <row r="928">
      <c r="A928" s="7"/>
      <c r="B928" s="4"/>
      <c r="C928" s="6"/>
      <c r="D928" s="5" t="str">
        <f>IF(B928="","",IFERROR(INDEX(Articles!$E:$E,MATCH(B928,Articles!$B:$B,0)),""))</f>
        <v/>
      </c>
      <c r="E928" s="9" t="str">
        <f>IF(OR(C928="",D928=""),"",C928*D928)</f>
        <v/>
      </c>
      <c r="F928" s="4"/>
      <c r="G928" s="4"/>
      <c r="H928" s="9" t="str">
        <f>IF(OR(B928="",C928=""),"",C928*IFERROR(INDEX(Articles!$D:$D,MATCH(B928,Articles!$B:$B,0)),0))</f>
        <v/>
      </c>
      <c r="I928" s="9" t="str">
        <f>IF(OR(E928="",H928=""),"",E928-H928)</f>
        <v/>
      </c>
      <c r="J928" s="4"/>
    </row>
    <row r="929">
      <c r="A929" s="7"/>
      <c r="B929" s="4"/>
      <c r="C929" s="6"/>
      <c r="D929" s="5" t="str">
        <f>IF(B929="","",IFERROR(INDEX(Articles!$E:$E,MATCH(B929,Articles!$B:$B,0)),""))</f>
        <v/>
      </c>
      <c r="E929" s="9" t="str">
        <f>IF(OR(C929="",D929=""),"",C929*D929)</f>
        <v/>
      </c>
      <c r="F929" s="4"/>
      <c r="G929" s="4"/>
      <c r="H929" s="9" t="str">
        <f>IF(OR(B929="",C929=""),"",C929*IFERROR(INDEX(Articles!$D:$D,MATCH(B929,Articles!$B:$B,0)),0))</f>
        <v/>
      </c>
      <c r="I929" s="9" t="str">
        <f>IF(OR(E929="",H929=""),"",E929-H929)</f>
        <v/>
      </c>
      <c r="J929" s="4"/>
    </row>
    <row r="930">
      <c r="A930" s="7"/>
      <c r="B930" s="4"/>
      <c r="C930" s="6"/>
      <c r="D930" s="5" t="str">
        <f>IF(B930="","",IFERROR(INDEX(Articles!$E:$E,MATCH(B930,Articles!$B:$B,0)),""))</f>
        <v/>
      </c>
      <c r="E930" s="9" t="str">
        <f>IF(OR(C930="",D930=""),"",C930*D930)</f>
        <v/>
      </c>
      <c r="F930" s="4"/>
      <c r="G930" s="4"/>
      <c r="H930" s="9" t="str">
        <f>IF(OR(B930="",C930=""),"",C930*IFERROR(INDEX(Articles!$D:$D,MATCH(B930,Articles!$B:$B,0)),0))</f>
        <v/>
      </c>
      <c r="I930" s="9" t="str">
        <f>IF(OR(E930="",H930=""),"",E930-H930)</f>
        <v/>
      </c>
      <c r="J930" s="4"/>
    </row>
    <row r="931">
      <c r="A931" s="7"/>
      <c r="B931" s="4"/>
      <c r="C931" s="6"/>
      <c r="D931" s="5" t="str">
        <f>IF(B931="","",IFERROR(INDEX(Articles!$E:$E,MATCH(B931,Articles!$B:$B,0)),""))</f>
        <v/>
      </c>
      <c r="E931" s="9" t="str">
        <f>IF(OR(C931="",D931=""),"",C931*D931)</f>
        <v/>
      </c>
      <c r="F931" s="4"/>
      <c r="G931" s="4"/>
      <c r="H931" s="9" t="str">
        <f>IF(OR(B931="",C931=""),"",C931*IFERROR(INDEX(Articles!$D:$D,MATCH(B931,Articles!$B:$B,0)),0))</f>
        <v/>
      </c>
      <c r="I931" s="9" t="str">
        <f>IF(OR(E931="",H931=""),"",E931-H931)</f>
        <v/>
      </c>
      <c r="J931" s="4"/>
    </row>
    <row r="932">
      <c r="A932" s="7"/>
      <c r="B932" s="4"/>
      <c r="C932" s="6"/>
      <c r="D932" s="5" t="str">
        <f>IF(B932="","",IFERROR(INDEX(Articles!$E:$E,MATCH(B932,Articles!$B:$B,0)),""))</f>
        <v/>
      </c>
      <c r="E932" s="9" t="str">
        <f>IF(OR(C932="",D932=""),"",C932*D932)</f>
        <v/>
      </c>
      <c r="F932" s="4"/>
      <c r="G932" s="4"/>
      <c r="H932" s="9" t="str">
        <f>IF(OR(B932="",C932=""),"",C932*IFERROR(INDEX(Articles!$D:$D,MATCH(B932,Articles!$B:$B,0)),0))</f>
        <v/>
      </c>
      <c r="I932" s="9" t="str">
        <f>IF(OR(E932="",H932=""),"",E932-H932)</f>
        <v/>
      </c>
      <c r="J932" s="4"/>
    </row>
    <row r="933">
      <c r="A933" s="7"/>
      <c r="B933" s="4"/>
      <c r="C933" s="6"/>
      <c r="D933" s="5" t="str">
        <f>IF(B933="","",IFERROR(INDEX(Articles!$E:$E,MATCH(B933,Articles!$B:$B,0)),""))</f>
        <v/>
      </c>
      <c r="E933" s="9" t="str">
        <f>IF(OR(C933="",D933=""),"",C933*D933)</f>
        <v/>
      </c>
      <c r="F933" s="4"/>
      <c r="G933" s="4"/>
      <c r="H933" s="9" t="str">
        <f>IF(OR(B933="",C933=""),"",C933*IFERROR(INDEX(Articles!$D:$D,MATCH(B933,Articles!$B:$B,0)),0))</f>
        <v/>
      </c>
      <c r="I933" s="9" t="str">
        <f>IF(OR(E933="",H933=""),"",E933-H933)</f>
        <v/>
      </c>
      <c r="J933" s="4"/>
    </row>
    <row r="934">
      <c r="A934" s="7"/>
      <c r="B934" s="4"/>
      <c r="C934" s="6"/>
      <c r="D934" s="5" t="str">
        <f>IF(B934="","",IFERROR(INDEX(Articles!$E:$E,MATCH(B934,Articles!$B:$B,0)),""))</f>
        <v/>
      </c>
      <c r="E934" s="9" t="str">
        <f>IF(OR(C934="",D934=""),"",C934*D934)</f>
        <v/>
      </c>
      <c r="F934" s="4"/>
      <c r="G934" s="4"/>
      <c r="H934" s="9" t="str">
        <f>IF(OR(B934="",C934=""),"",C934*IFERROR(INDEX(Articles!$D:$D,MATCH(B934,Articles!$B:$B,0)),0))</f>
        <v/>
      </c>
      <c r="I934" s="9" t="str">
        <f>IF(OR(E934="",H934=""),"",E934-H934)</f>
        <v/>
      </c>
      <c r="J934" s="4"/>
    </row>
    <row r="935">
      <c r="A935" s="7"/>
      <c r="B935" s="4"/>
      <c r="C935" s="6"/>
      <c r="D935" s="5" t="str">
        <f>IF(B935="","",IFERROR(INDEX(Articles!$E:$E,MATCH(B935,Articles!$B:$B,0)),""))</f>
        <v/>
      </c>
      <c r="E935" s="9" t="str">
        <f>IF(OR(C935="",D935=""),"",C935*D935)</f>
        <v/>
      </c>
      <c r="F935" s="4"/>
      <c r="G935" s="4"/>
      <c r="H935" s="9" t="str">
        <f>IF(OR(B935="",C935=""),"",C935*IFERROR(INDEX(Articles!$D:$D,MATCH(B935,Articles!$B:$B,0)),0))</f>
        <v/>
      </c>
      <c r="I935" s="9" t="str">
        <f>IF(OR(E935="",H935=""),"",E935-H935)</f>
        <v/>
      </c>
      <c r="J935" s="4"/>
    </row>
    <row r="936">
      <c r="A936" s="7"/>
      <c r="B936" s="4"/>
      <c r="C936" s="6"/>
      <c r="D936" s="5" t="str">
        <f>IF(B936="","",IFERROR(INDEX(Articles!$E:$E,MATCH(B936,Articles!$B:$B,0)),""))</f>
        <v/>
      </c>
      <c r="E936" s="9" t="str">
        <f>IF(OR(C936="",D936=""),"",C936*D936)</f>
        <v/>
      </c>
      <c r="F936" s="4"/>
      <c r="G936" s="4"/>
      <c r="H936" s="9" t="str">
        <f>IF(OR(B936="",C936=""),"",C936*IFERROR(INDEX(Articles!$D:$D,MATCH(B936,Articles!$B:$B,0)),0))</f>
        <v/>
      </c>
      <c r="I936" s="9" t="str">
        <f>IF(OR(E936="",H936=""),"",E936-H936)</f>
        <v/>
      </c>
      <c r="J936" s="4"/>
    </row>
    <row r="937">
      <c r="A937" s="7"/>
      <c r="B937" s="4"/>
      <c r="C937" s="6"/>
      <c r="D937" s="5" t="str">
        <f>IF(B937="","",IFERROR(INDEX(Articles!$E:$E,MATCH(B937,Articles!$B:$B,0)),""))</f>
        <v/>
      </c>
      <c r="E937" s="9" t="str">
        <f>IF(OR(C937="",D937=""),"",C937*D937)</f>
        <v/>
      </c>
      <c r="F937" s="4"/>
      <c r="G937" s="4"/>
      <c r="H937" s="9" t="str">
        <f>IF(OR(B937="",C937=""),"",C937*IFERROR(INDEX(Articles!$D:$D,MATCH(B937,Articles!$B:$B,0)),0))</f>
        <v/>
      </c>
      <c r="I937" s="9" t="str">
        <f>IF(OR(E937="",H937=""),"",E937-H937)</f>
        <v/>
      </c>
      <c r="J937" s="4"/>
    </row>
    <row r="938">
      <c r="A938" s="7"/>
      <c r="B938" s="4"/>
      <c r="C938" s="6"/>
      <c r="D938" s="5" t="str">
        <f>IF(B938="","",IFERROR(INDEX(Articles!$E:$E,MATCH(B938,Articles!$B:$B,0)),""))</f>
        <v/>
      </c>
      <c r="E938" s="9" t="str">
        <f>IF(OR(C938="",D938=""),"",C938*D938)</f>
        <v/>
      </c>
      <c r="F938" s="4"/>
      <c r="G938" s="4"/>
      <c r="H938" s="9" t="str">
        <f>IF(OR(B938="",C938=""),"",C938*IFERROR(INDEX(Articles!$D:$D,MATCH(B938,Articles!$B:$B,0)),0))</f>
        <v/>
      </c>
      <c r="I938" s="9" t="str">
        <f>IF(OR(E938="",H938=""),"",E938-H938)</f>
        <v/>
      </c>
      <c r="J938" s="4"/>
    </row>
    <row r="939">
      <c r="A939" s="7"/>
      <c r="B939" s="4"/>
      <c r="C939" s="6"/>
      <c r="D939" s="5" t="str">
        <f>IF(B939="","",IFERROR(INDEX(Articles!$E:$E,MATCH(B939,Articles!$B:$B,0)),""))</f>
        <v/>
      </c>
      <c r="E939" s="9" t="str">
        <f>IF(OR(C939="",D939=""),"",C939*D939)</f>
        <v/>
      </c>
      <c r="F939" s="4"/>
      <c r="G939" s="4"/>
      <c r="H939" s="9" t="str">
        <f>IF(OR(B939="",C939=""),"",C939*IFERROR(INDEX(Articles!$D:$D,MATCH(B939,Articles!$B:$B,0)),0))</f>
        <v/>
      </c>
      <c r="I939" s="9" t="str">
        <f>IF(OR(E939="",H939=""),"",E939-H939)</f>
        <v/>
      </c>
      <c r="J939" s="4"/>
    </row>
    <row r="940">
      <c r="A940" s="7"/>
      <c r="B940" s="4"/>
      <c r="C940" s="6"/>
      <c r="D940" s="5" t="str">
        <f>IF(B940="","",IFERROR(INDEX(Articles!$E:$E,MATCH(B940,Articles!$B:$B,0)),""))</f>
        <v/>
      </c>
      <c r="E940" s="9" t="str">
        <f>IF(OR(C940="",D940=""),"",C940*D940)</f>
        <v/>
      </c>
      <c r="F940" s="4"/>
      <c r="G940" s="4"/>
      <c r="H940" s="9" t="str">
        <f>IF(OR(B940="",C940=""),"",C940*IFERROR(INDEX(Articles!$D:$D,MATCH(B940,Articles!$B:$B,0)),0))</f>
        <v/>
      </c>
      <c r="I940" s="9" t="str">
        <f>IF(OR(E940="",H940=""),"",E940-H940)</f>
        <v/>
      </c>
      <c r="J940" s="4"/>
    </row>
    <row r="941">
      <c r="A941" s="7"/>
      <c r="B941" s="4"/>
      <c r="C941" s="6"/>
      <c r="D941" s="5" t="str">
        <f>IF(B941="","",IFERROR(INDEX(Articles!$E:$E,MATCH(B941,Articles!$B:$B,0)),""))</f>
        <v/>
      </c>
      <c r="E941" s="9" t="str">
        <f>IF(OR(C941="",D941=""),"",C941*D941)</f>
        <v/>
      </c>
      <c r="F941" s="4"/>
      <c r="G941" s="4"/>
      <c r="H941" s="9" t="str">
        <f>IF(OR(B941="",C941=""),"",C941*IFERROR(INDEX(Articles!$D:$D,MATCH(B941,Articles!$B:$B,0)),0))</f>
        <v/>
      </c>
      <c r="I941" s="9" t="str">
        <f>IF(OR(E941="",H941=""),"",E941-H941)</f>
        <v/>
      </c>
      <c r="J941" s="4"/>
    </row>
    <row r="942">
      <c r="A942" s="7"/>
      <c r="B942" s="4"/>
      <c r="C942" s="6"/>
      <c r="D942" s="5" t="str">
        <f>IF(B942="","",IFERROR(INDEX(Articles!$E:$E,MATCH(B942,Articles!$B:$B,0)),""))</f>
        <v/>
      </c>
      <c r="E942" s="9" t="str">
        <f>IF(OR(C942="",D942=""),"",C942*D942)</f>
        <v/>
      </c>
      <c r="F942" s="4"/>
      <c r="G942" s="4"/>
      <c r="H942" s="9" t="str">
        <f>IF(OR(B942="",C942=""),"",C942*IFERROR(INDEX(Articles!$D:$D,MATCH(B942,Articles!$B:$B,0)),0))</f>
        <v/>
      </c>
      <c r="I942" s="9" t="str">
        <f>IF(OR(E942="",H942=""),"",E942-H942)</f>
        <v/>
      </c>
      <c r="J942" s="4"/>
    </row>
    <row r="943">
      <c r="A943" s="7"/>
      <c r="B943" s="4"/>
      <c r="C943" s="6"/>
      <c r="D943" s="5" t="str">
        <f>IF(B943="","",IFERROR(INDEX(Articles!$E:$E,MATCH(B943,Articles!$B:$B,0)),""))</f>
        <v/>
      </c>
      <c r="E943" s="9" t="str">
        <f>IF(OR(C943="",D943=""),"",C943*D943)</f>
        <v/>
      </c>
      <c r="F943" s="4"/>
      <c r="G943" s="4"/>
      <c r="H943" s="9" t="str">
        <f>IF(OR(B943="",C943=""),"",C943*IFERROR(INDEX(Articles!$D:$D,MATCH(B943,Articles!$B:$B,0)),0))</f>
        <v/>
      </c>
      <c r="I943" s="9" t="str">
        <f>IF(OR(E943="",H943=""),"",E943-H943)</f>
        <v/>
      </c>
      <c r="J943" s="4"/>
    </row>
    <row r="944">
      <c r="A944" s="7"/>
      <c r="B944" s="4"/>
      <c r="C944" s="6"/>
      <c r="D944" s="5" t="str">
        <f>IF(B944="","",IFERROR(INDEX(Articles!$E:$E,MATCH(B944,Articles!$B:$B,0)),""))</f>
        <v/>
      </c>
      <c r="E944" s="9" t="str">
        <f>IF(OR(C944="",D944=""),"",C944*D944)</f>
        <v/>
      </c>
      <c r="F944" s="4"/>
      <c r="G944" s="4"/>
      <c r="H944" s="9" t="str">
        <f>IF(OR(B944="",C944=""),"",C944*IFERROR(INDEX(Articles!$D:$D,MATCH(B944,Articles!$B:$B,0)),0))</f>
        <v/>
      </c>
      <c r="I944" s="9" t="str">
        <f>IF(OR(E944="",H944=""),"",E944-H944)</f>
        <v/>
      </c>
      <c r="J944" s="4"/>
    </row>
    <row r="945">
      <c r="A945" s="7"/>
      <c r="B945" s="4"/>
      <c r="C945" s="6"/>
      <c r="D945" s="5" t="str">
        <f>IF(B945="","",IFERROR(INDEX(Articles!$E:$E,MATCH(B945,Articles!$B:$B,0)),""))</f>
        <v/>
      </c>
      <c r="E945" s="9" t="str">
        <f>IF(OR(C945="",D945=""),"",C945*D945)</f>
        <v/>
      </c>
      <c r="F945" s="4"/>
      <c r="G945" s="4"/>
      <c r="H945" s="9" t="str">
        <f>IF(OR(B945="",C945=""),"",C945*IFERROR(INDEX(Articles!$D:$D,MATCH(B945,Articles!$B:$B,0)),0))</f>
        <v/>
      </c>
      <c r="I945" s="9" t="str">
        <f>IF(OR(E945="",H945=""),"",E945-H945)</f>
        <v/>
      </c>
      <c r="J945" s="4"/>
    </row>
    <row r="946">
      <c r="A946" s="7"/>
      <c r="B946" s="4"/>
      <c r="C946" s="6"/>
      <c r="D946" s="5" t="str">
        <f>IF(B946="","",IFERROR(INDEX(Articles!$E:$E,MATCH(B946,Articles!$B:$B,0)),""))</f>
        <v/>
      </c>
      <c r="E946" s="9" t="str">
        <f>IF(OR(C946="",D946=""),"",C946*D946)</f>
        <v/>
      </c>
      <c r="F946" s="4"/>
      <c r="G946" s="4"/>
      <c r="H946" s="9" t="str">
        <f>IF(OR(B946="",C946=""),"",C946*IFERROR(INDEX(Articles!$D:$D,MATCH(B946,Articles!$B:$B,0)),0))</f>
        <v/>
      </c>
      <c r="I946" s="9" t="str">
        <f>IF(OR(E946="",H946=""),"",E946-H946)</f>
        <v/>
      </c>
      <c r="J946" s="4"/>
    </row>
    <row r="947">
      <c r="A947" s="7"/>
      <c r="B947" s="4"/>
      <c r="C947" s="6"/>
      <c r="D947" s="5" t="str">
        <f>IF(B947="","",IFERROR(INDEX(Articles!$E:$E,MATCH(B947,Articles!$B:$B,0)),""))</f>
        <v/>
      </c>
      <c r="E947" s="9" t="str">
        <f>IF(OR(C947="",D947=""),"",C947*D947)</f>
        <v/>
      </c>
      <c r="F947" s="4"/>
      <c r="G947" s="4"/>
      <c r="H947" s="9" t="str">
        <f>IF(OR(B947="",C947=""),"",C947*IFERROR(INDEX(Articles!$D:$D,MATCH(B947,Articles!$B:$B,0)),0))</f>
        <v/>
      </c>
      <c r="I947" s="9" t="str">
        <f>IF(OR(E947="",H947=""),"",E947-H947)</f>
        <v/>
      </c>
      <c r="J947" s="4"/>
    </row>
    <row r="948">
      <c r="A948" s="7"/>
      <c r="B948" s="4"/>
      <c r="C948" s="6"/>
      <c r="D948" s="5" t="str">
        <f>IF(B948="","",IFERROR(INDEX(Articles!$E:$E,MATCH(B948,Articles!$B:$B,0)),""))</f>
        <v/>
      </c>
      <c r="E948" s="9" t="str">
        <f>IF(OR(C948="",D948=""),"",C948*D948)</f>
        <v/>
      </c>
      <c r="F948" s="4"/>
      <c r="G948" s="4"/>
      <c r="H948" s="9" t="str">
        <f>IF(OR(B948="",C948=""),"",C948*IFERROR(INDEX(Articles!$D:$D,MATCH(B948,Articles!$B:$B,0)),0))</f>
        <v/>
      </c>
      <c r="I948" s="9" t="str">
        <f>IF(OR(E948="",H948=""),"",E948-H948)</f>
        <v/>
      </c>
      <c r="J948" s="4"/>
    </row>
    <row r="949">
      <c r="A949" s="7"/>
      <c r="B949" s="4"/>
      <c r="C949" s="6"/>
      <c r="D949" s="5" t="str">
        <f>IF(B949="","",IFERROR(INDEX(Articles!$E:$E,MATCH(B949,Articles!$B:$B,0)),""))</f>
        <v/>
      </c>
      <c r="E949" s="9" t="str">
        <f>IF(OR(C949="",D949=""),"",C949*D949)</f>
        <v/>
      </c>
      <c r="F949" s="4"/>
      <c r="G949" s="4"/>
      <c r="H949" s="9" t="str">
        <f>IF(OR(B949="",C949=""),"",C949*IFERROR(INDEX(Articles!$D:$D,MATCH(B949,Articles!$B:$B,0)),0))</f>
        <v/>
      </c>
      <c r="I949" s="9" t="str">
        <f>IF(OR(E949="",H949=""),"",E949-H949)</f>
        <v/>
      </c>
      <c r="J949" s="4"/>
    </row>
    <row r="950">
      <c r="A950" s="7"/>
      <c r="B950" s="4"/>
      <c r="C950" s="6"/>
      <c r="D950" s="5" t="str">
        <f>IF(B950="","",IFERROR(INDEX(Articles!$E:$E,MATCH(B950,Articles!$B:$B,0)),""))</f>
        <v/>
      </c>
      <c r="E950" s="9" t="str">
        <f>IF(OR(C950="",D950=""),"",C950*D950)</f>
        <v/>
      </c>
      <c r="F950" s="4"/>
      <c r="G950" s="4"/>
      <c r="H950" s="9" t="str">
        <f>IF(OR(B950="",C950=""),"",C950*IFERROR(INDEX(Articles!$D:$D,MATCH(B950,Articles!$B:$B,0)),0))</f>
        <v/>
      </c>
      <c r="I950" s="9" t="str">
        <f>IF(OR(E950="",H950=""),"",E950-H950)</f>
        <v/>
      </c>
      <c r="J950" s="4"/>
    </row>
    <row r="951">
      <c r="A951" s="7"/>
      <c r="B951" s="4"/>
      <c r="C951" s="6"/>
      <c r="D951" s="5" t="str">
        <f>IF(B951="","",IFERROR(INDEX(Articles!$E:$E,MATCH(B951,Articles!$B:$B,0)),""))</f>
        <v/>
      </c>
      <c r="E951" s="9" t="str">
        <f>IF(OR(C951="",D951=""),"",C951*D951)</f>
        <v/>
      </c>
      <c r="F951" s="4"/>
      <c r="G951" s="4"/>
      <c r="H951" s="9" t="str">
        <f>IF(OR(B951="",C951=""),"",C951*IFERROR(INDEX(Articles!$D:$D,MATCH(B951,Articles!$B:$B,0)),0))</f>
        <v/>
      </c>
      <c r="I951" s="9" t="str">
        <f>IF(OR(E951="",H951=""),"",E951-H951)</f>
        <v/>
      </c>
      <c r="J951" s="4"/>
    </row>
    <row r="952">
      <c r="A952" s="7"/>
      <c r="B952" s="4"/>
      <c r="C952" s="6"/>
      <c r="D952" s="5" t="str">
        <f>IF(B952="","",IFERROR(INDEX(Articles!$E:$E,MATCH(B952,Articles!$B:$B,0)),""))</f>
        <v/>
      </c>
      <c r="E952" s="9" t="str">
        <f>IF(OR(C952="",D952=""),"",C952*D952)</f>
        <v/>
      </c>
      <c r="F952" s="4"/>
      <c r="G952" s="4"/>
      <c r="H952" s="9" t="str">
        <f>IF(OR(B952="",C952=""),"",C952*IFERROR(INDEX(Articles!$D:$D,MATCH(B952,Articles!$B:$B,0)),0))</f>
        <v/>
      </c>
      <c r="I952" s="9" t="str">
        <f>IF(OR(E952="",H952=""),"",E952-H952)</f>
        <v/>
      </c>
      <c r="J952" s="4"/>
    </row>
    <row r="953">
      <c r="A953" s="7"/>
      <c r="B953" s="4"/>
      <c r="C953" s="6"/>
      <c r="D953" s="5" t="str">
        <f>IF(B953="","",IFERROR(INDEX(Articles!$E:$E,MATCH(B953,Articles!$B:$B,0)),""))</f>
        <v/>
      </c>
      <c r="E953" s="9" t="str">
        <f>IF(OR(C953="",D953=""),"",C953*D953)</f>
        <v/>
      </c>
      <c r="F953" s="4"/>
      <c r="G953" s="4"/>
      <c r="H953" s="9" t="str">
        <f>IF(OR(B953="",C953=""),"",C953*IFERROR(INDEX(Articles!$D:$D,MATCH(B953,Articles!$B:$B,0)),0))</f>
        <v/>
      </c>
      <c r="I953" s="9" t="str">
        <f>IF(OR(E953="",H953=""),"",E953-H953)</f>
        <v/>
      </c>
      <c r="J953" s="4"/>
    </row>
    <row r="954">
      <c r="A954" s="7"/>
      <c r="B954" s="4"/>
      <c r="C954" s="6"/>
      <c r="D954" s="5" t="str">
        <f>IF(B954="","",IFERROR(INDEX(Articles!$E:$E,MATCH(B954,Articles!$B:$B,0)),""))</f>
        <v/>
      </c>
      <c r="E954" s="9" t="str">
        <f>IF(OR(C954="",D954=""),"",C954*D954)</f>
        <v/>
      </c>
      <c r="F954" s="4"/>
      <c r="G954" s="4"/>
      <c r="H954" s="9" t="str">
        <f>IF(OR(B954="",C954=""),"",C954*IFERROR(INDEX(Articles!$D:$D,MATCH(B954,Articles!$B:$B,0)),0))</f>
        <v/>
      </c>
      <c r="I954" s="9" t="str">
        <f>IF(OR(E954="",H954=""),"",E954-H954)</f>
        <v/>
      </c>
      <c r="J954" s="4"/>
    </row>
    <row r="955">
      <c r="A955" s="7"/>
      <c r="B955" s="4"/>
      <c r="C955" s="6"/>
      <c r="D955" s="5" t="str">
        <f>IF(B955="","",IFERROR(INDEX(Articles!$E:$E,MATCH(B955,Articles!$B:$B,0)),""))</f>
        <v/>
      </c>
      <c r="E955" s="9" t="str">
        <f>IF(OR(C955="",D955=""),"",C955*D955)</f>
        <v/>
      </c>
      <c r="F955" s="4"/>
      <c r="G955" s="4"/>
      <c r="H955" s="9" t="str">
        <f>IF(OR(B955="",C955=""),"",C955*IFERROR(INDEX(Articles!$D:$D,MATCH(B955,Articles!$B:$B,0)),0))</f>
        <v/>
      </c>
      <c r="I955" s="9" t="str">
        <f>IF(OR(E955="",H955=""),"",E955-H955)</f>
        <v/>
      </c>
      <c r="J955" s="4"/>
    </row>
    <row r="956">
      <c r="A956" s="7"/>
      <c r="B956" s="4"/>
      <c r="C956" s="6"/>
      <c r="D956" s="5" t="str">
        <f>IF(B956="","",IFERROR(INDEX(Articles!$E:$E,MATCH(B956,Articles!$B:$B,0)),""))</f>
        <v/>
      </c>
      <c r="E956" s="9" t="str">
        <f>IF(OR(C956="",D956=""),"",C956*D956)</f>
        <v/>
      </c>
      <c r="F956" s="4"/>
      <c r="G956" s="4"/>
      <c r="H956" s="9" t="str">
        <f>IF(OR(B956="",C956=""),"",C956*IFERROR(INDEX(Articles!$D:$D,MATCH(B956,Articles!$B:$B,0)),0))</f>
        <v/>
      </c>
      <c r="I956" s="9" t="str">
        <f>IF(OR(E956="",H956=""),"",E956-H956)</f>
        <v/>
      </c>
      <c r="J956" s="4"/>
    </row>
    <row r="957">
      <c r="A957" s="7"/>
      <c r="B957" s="4"/>
      <c r="C957" s="6"/>
      <c r="D957" s="5" t="str">
        <f>IF(B957="","",IFERROR(INDEX(Articles!$E:$E,MATCH(B957,Articles!$B:$B,0)),""))</f>
        <v/>
      </c>
      <c r="E957" s="9" t="str">
        <f>IF(OR(C957="",D957=""),"",C957*D957)</f>
        <v/>
      </c>
      <c r="F957" s="4"/>
      <c r="G957" s="4"/>
      <c r="H957" s="9" t="str">
        <f>IF(OR(B957="",C957=""),"",C957*IFERROR(INDEX(Articles!$D:$D,MATCH(B957,Articles!$B:$B,0)),0))</f>
        <v/>
      </c>
      <c r="I957" s="9" t="str">
        <f>IF(OR(E957="",H957=""),"",E957-H957)</f>
        <v/>
      </c>
      <c r="J957" s="4"/>
    </row>
    <row r="958">
      <c r="A958" s="7"/>
      <c r="B958" s="4"/>
      <c r="C958" s="6"/>
      <c r="D958" s="5" t="str">
        <f>IF(B958="","",IFERROR(INDEX(Articles!$E:$E,MATCH(B958,Articles!$B:$B,0)),""))</f>
        <v/>
      </c>
      <c r="E958" s="9" t="str">
        <f>IF(OR(C958="",D958=""),"",C958*D958)</f>
        <v/>
      </c>
      <c r="F958" s="4"/>
      <c r="G958" s="4"/>
      <c r="H958" s="9" t="str">
        <f>IF(OR(B958="",C958=""),"",C958*IFERROR(INDEX(Articles!$D:$D,MATCH(B958,Articles!$B:$B,0)),0))</f>
        <v/>
      </c>
      <c r="I958" s="9" t="str">
        <f>IF(OR(E958="",H958=""),"",E958-H958)</f>
        <v/>
      </c>
      <c r="J958" s="4"/>
    </row>
    <row r="959">
      <c r="A959" s="7"/>
      <c r="B959" s="4"/>
      <c r="C959" s="6"/>
      <c r="D959" s="5" t="str">
        <f>IF(B959="","",IFERROR(INDEX(Articles!$E:$E,MATCH(B959,Articles!$B:$B,0)),""))</f>
        <v/>
      </c>
      <c r="E959" s="9" t="str">
        <f>IF(OR(C959="",D959=""),"",C959*D959)</f>
        <v/>
      </c>
      <c r="F959" s="4"/>
      <c r="G959" s="4"/>
      <c r="H959" s="9" t="str">
        <f>IF(OR(B959="",C959=""),"",C959*IFERROR(INDEX(Articles!$D:$D,MATCH(B959,Articles!$B:$B,0)),0))</f>
        <v/>
      </c>
      <c r="I959" s="9" t="str">
        <f>IF(OR(E959="",H959=""),"",E959-H959)</f>
        <v/>
      </c>
      <c r="J959" s="4"/>
    </row>
    <row r="960">
      <c r="A960" s="7"/>
      <c r="B960" s="4"/>
      <c r="C960" s="6"/>
      <c r="D960" s="5" t="str">
        <f>IF(B960="","",IFERROR(INDEX(Articles!$E:$E,MATCH(B960,Articles!$B:$B,0)),""))</f>
        <v/>
      </c>
      <c r="E960" s="9" t="str">
        <f>IF(OR(C960="",D960=""),"",C960*D960)</f>
        <v/>
      </c>
      <c r="F960" s="4"/>
      <c r="G960" s="4"/>
      <c r="H960" s="9" t="str">
        <f>IF(OR(B960="",C960=""),"",C960*IFERROR(INDEX(Articles!$D:$D,MATCH(B960,Articles!$B:$B,0)),0))</f>
        <v/>
      </c>
      <c r="I960" s="9" t="str">
        <f>IF(OR(E960="",H960=""),"",E960-H960)</f>
        <v/>
      </c>
      <c r="J960" s="4"/>
    </row>
    <row r="961">
      <c r="A961" s="7"/>
      <c r="B961" s="4"/>
      <c r="C961" s="6"/>
      <c r="D961" s="5" t="str">
        <f>IF(B961="","",IFERROR(INDEX(Articles!$E:$E,MATCH(B961,Articles!$B:$B,0)),""))</f>
        <v/>
      </c>
      <c r="E961" s="9" t="str">
        <f>IF(OR(C961="",D961=""),"",C961*D961)</f>
        <v/>
      </c>
      <c r="F961" s="4"/>
      <c r="G961" s="4"/>
      <c r="H961" s="9" t="str">
        <f>IF(OR(B961="",C961=""),"",C961*IFERROR(INDEX(Articles!$D:$D,MATCH(B961,Articles!$B:$B,0)),0))</f>
        <v/>
      </c>
      <c r="I961" s="9" t="str">
        <f>IF(OR(E961="",H961=""),"",E961-H961)</f>
        <v/>
      </c>
      <c r="J961" s="4"/>
    </row>
    <row r="962">
      <c r="A962" s="7"/>
      <c r="B962" s="4"/>
      <c r="C962" s="6"/>
      <c r="D962" s="5" t="str">
        <f>IF(B962="","",IFERROR(INDEX(Articles!$E:$E,MATCH(B962,Articles!$B:$B,0)),""))</f>
        <v/>
      </c>
      <c r="E962" s="9" t="str">
        <f>IF(OR(C962="",D962=""),"",C962*D962)</f>
        <v/>
      </c>
      <c r="F962" s="4"/>
      <c r="G962" s="4"/>
      <c r="H962" s="9" t="str">
        <f>IF(OR(B962="",C962=""),"",C962*IFERROR(INDEX(Articles!$D:$D,MATCH(B962,Articles!$B:$B,0)),0))</f>
        <v/>
      </c>
      <c r="I962" s="9" t="str">
        <f>IF(OR(E962="",H962=""),"",E962-H962)</f>
        <v/>
      </c>
      <c r="J962" s="4"/>
    </row>
    <row r="963">
      <c r="A963" s="7"/>
      <c r="B963" s="4"/>
      <c r="C963" s="6"/>
      <c r="D963" s="5" t="str">
        <f>IF(B963="","",IFERROR(INDEX(Articles!$E:$E,MATCH(B963,Articles!$B:$B,0)),""))</f>
        <v/>
      </c>
      <c r="E963" s="9" t="str">
        <f>IF(OR(C963="",D963=""),"",C963*D963)</f>
        <v/>
      </c>
      <c r="F963" s="4"/>
      <c r="G963" s="4"/>
      <c r="H963" s="9" t="str">
        <f>IF(OR(B963="",C963=""),"",C963*IFERROR(INDEX(Articles!$D:$D,MATCH(B963,Articles!$B:$B,0)),0))</f>
        <v/>
      </c>
      <c r="I963" s="9" t="str">
        <f>IF(OR(E963="",H963=""),"",E963-H963)</f>
        <v/>
      </c>
      <c r="J963" s="4"/>
    </row>
    <row r="964">
      <c r="A964" s="7"/>
      <c r="B964" s="4"/>
      <c r="C964" s="6"/>
      <c r="D964" s="5" t="str">
        <f>IF(B964="","",IFERROR(INDEX(Articles!$E:$E,MATCH(B964,Articles!$B:$B,0)),""))</f>
        <v/>
      </c>
      <c r="E964" s="9" t="str">
        <f>IF(OR(C964="",D964=""),"",C964*D964)</f>
        <v/>
      </c>
      <c r="F964" s="4"/>
      <c r="G964" s="4"/>
      <c r="H964" s="9" t="str">
        <f>IF(OR(B964="",C964=""),"",C964*IFERROR(INDEX(Articles!$D:$D,MATCH(B964,Articles!$B:$B,0)),0))</f>
        <v/>
      </c>
      <c r="I964" s="9" t="str">
        <f>IF(OR(E964="",H964=""),"",E964-H964)</f>
        <v/>
      </c>
      <c r="J964" s="4"/>
    </row>
    <row r="965">
      <c r="A965" s="7"/>
      <c r="B965" s="4"/>
      <c r="C965" s="6"/>
      <c r="D965" s="5" t="str">
        <f>IF(B965="","",IFERROR(INDEX(Articles!$E:$E,MATCH(B965,Articles!$B:$B,0)),""))</f>
        <v/>
      </c>
      <c r="E965" s="9" t="str">
        <f>IF(OR(C965="",D965=""),"",C965*D965)</f>
        <v/>
      </c>
      <c r="F965" s="4"/>
      <c r="G965" s="4"/>
      <c r="H965" s="9" t="str">
        <f>IF(OR(B965="",C965=""),"",C965*IFERROR(INDEX(Articles!$D:$D,MATCH(B965,Articles!$B:$B,0)),0))</f>
        <v/>
      </c>
      <c r="I965" s="9" t="str">
        <f>IF(OR(E965="",H965=""),"",E965-H965)</f>
        <v/>
      </c>
      <c r="J965" s="4"/>
    </row>
    <row r="966">
      <c r="A966" s="7"/>
      <c r="B966" s="4"/>
      <c r="C966" s="6"/>
      <c r="D966" s="5" t="str">
        <f>IF(B966="","",IFERROR(INDEX(Articles!$E:$E,MATCH(B966,Articles!$B:$B,0)),""))</f>
        <v/>
      </c>
      <c r="E966" s="9" t="str">
        <f>IF(OR(C966="",D966=""),"",C966*D966)</f>
        <v/>
      </c>
      <c r="F966" s="4"/>
      <c r="G966" s="4"/>
      <c r="H966" s="9" t="str">
        <f>IF(OR(B966="",C966=""),"",C966*IFERROR(INDEX(Articles!$D:$D,MATCH(B966,Articles!$B:$B,0)),0))</f>
        <v/>
      </c>
      <c r="I966" s="9" t="str">
        <f>IF(OR(E966="",H966=""),"",E966-H966)</f>
        <v/>
      </c>
      <c r="J966" s="4"/>
    </row>
    <row r="967">
      <c r="A967" s="7"/>
      <c r="B967" s="4"/>
      <c r="C967" s="6"/>
      <c r="D967" s="5" t="str">
        <f>IF(B967="","",IFERROR(INDEX(Articles!$E:$E,MATCH(B967,Articles!$B:$B,0)),""))</f>
        <v/>
      </c>
      <c r="E967" s="9" t="str">
        <f>IF(OR(C967="",D967=""),"",C967*D967)</f>
        <v/>
      </c>
      <c r="F967" s="4"/>
      <c r="G967" s="4"/>
      <c r="H967" s="9" t="str">
        <f>IF(OR(B967="",C967=""),"",C967*IFERROR(INDEX(Articles!$D:$D,MATCH(B967,Articles!$B:$B,0)),0))</f>
        <v/>
      </c>
      <c r="I967" s="9" t="str">
        <f>IF(OR(E967="",H967=""),"",E967-H967)</f>
        <v/>
      </c>
      <c r="J967" s="4"/>
    </row>
    <row r="968">
      <c r="A968" s="7"/>
      <c r="B968" s="4"/>
      <c r="C968" s="6"/>
      <c r="D968" s="5" t="str">
        <f>IF(B968="","",IFERROR(INDEX(Articles!$E:$E,MATCH(B968,Articles!$B:$B,0)),""))</f>
        <v/>
      </c>
      <c r="E968" s="9" t="str">
        <f>IF(OR(C968="",D968=""),"",C968*D968)</f>
        <v/>
      </c>
      <c r="F968" s="4"/>
      <c r="G968" s="4"/>
      <c r="H968" s="9" t="str">
        <f>IF(OR(B968="",C968=""),"",C968*IFERROR(INDEX(Articles!$D:$D,MATCH(B968,Articles!$B:$B,0)),0))</f>
        <v/>
      </c>
      <c r="I968" s="9" t="str">
        <f>IF(OR(E968="",H968=""),"",E968-H968)</f>
        <v/>
      </c>
      <c r="J968" s="4"/>
    </row>
    <row r="969">
      <c r="A969" s="7"/>
      <c r="B969" s="4"/>
      <c r="C969" s="6"/>
      <c r="D969" s="5" t="str">
        <f>IF(B969="","",IFERROR(INDEX(Articles!$E:$E,MATCH(B969,Articles!$B:$B,0)),""))</f>
        <v/>
      </c>
      <c r="E969" s="9" t="str">
        <f>IF(OR(C969="",D969=""),"",C969*D969)</f>
        <v/>
      </c>
      <c r="F969" s="4"/>
      <c r="G969" s="4"/>
      <c r="H969" s="9" t="str">
        <f>IF(OR(B969="",C969=""),"",C969*IFERROR(INDEX(Articles!$D:$D,MATCH(B969,Articles!$B:$B,0)),0))</f>
        <v/>
      </c>
      <c r="I969" s="9" t="str">
        <f>IF(OR(E969="",H969=""),"",E969-H969)</f>
        <v/>
      </c>
      <c r="J969" s="4"/>
    </row>
    <row r="970">
      <c r="A970" s="7"/>
      <c r="B970" s="4"/>
      <c r="C970" s="6"/>
      <c r="D970" s="5" t="str">
        <f>IF(B970="","",IFERROR(INDEX(Articles!$E:$E,MATCH(B970,Articles!$B:$B,0)),""))</f>
        <v/>
      </c>
      <c r="E970" s="9" t="str">
        <f>IF(OR(C970="",D970=""),"",C970*D970)</f>
        <v/>
      </c>
      <c r="F970" s="4"/>
      <c r="G970" s="4"/>
      <c r="H970" s="9" t="str">
        <f>IF(OR(B970="",C970=""),"",C970*IFERROR(INDEX(Articles!$D:$D,MATCH(B970,Articles!$B:$B,0)),0))</f>
        <v/>
      </c>
      <c r="I970" s="9" t="str">
        <f>IF(OR(E970="",H970=""),"",E970-H970)</f>
        <v/>
      </c>
      <c r="J970" s="4"/>
    </row>
    <row r="971">
      <c r="A971" s="7"/>
      <c r="B971" s="4"/>
      <c r="C971" s="6"/>
      <c r="D971" s="5" t="str">
        <f>IF(B971="","",IFERROR(INDEX(Articles!$E:$E,MATCH(B971,Articles!$B:$B,0)),""))</f>
        <v/>
      </c>
      <c r="E971" s="9" t="str">
        <f>IF(OR(C971="",D971=""),"",C971*D971)</f>
        <v/>
      </c>
      <c r="F971" s="4"/>
      <c r="G971" s="4"/>
      <c r="H971" s="9" t="str">
        <f>IF(OR(B971="",C971=""),"",C971*IFERROR(INDEX(Articles!$D:$D,MATCH(B971,Articles!$B:$B,0)),0))</f>
        <v/>
      </c>
      <c r="I971" s="9" t="str">
        <f>IF(OR(E971="",H971=""),"",E971-H971)</f>
        <v/>
      </c>
      <c r="J971" s="4"/>
    </row>
    <row r="972">
      <c r="A972" s="7"/>
      <c r="B972" s="4"/>
      <c r="C972" s="6"/>
      <c r="D972" s="5" t="str">
        <f>IF(B972="","",IFERROR(INDEX(Articles!$E:$E,MATCH(B972,Articles!$B:$B,0)),""))</f>
        <v/>
      </c>
      <c r="E972" s="9" t="str">
        <f>IF(OR(C972="",D972=""),"",C972*D972)</f>
        <v/>
      </c>
      <c r="F972" s="4"/>
      <c r="G972" s="4"/>
      <c r="H972" s="9" t="str">
        <f>IF(OR(B972="",C972=""),"",C972*IFERROR(INDEX(Articles!$D:$D,MATCH(B972,Articles!$B:$B,0)),0))</f>
        <v/>
      </c>
      <c r="I972" s="9" t="str">
        <f>IF(OR(E972="",H972=""),"",E972-H972)</f>
        <v/>
      </c>
      <c r="J972" s="4"/>
    </row>
    <row r="973">
      <c r="A973" s="7"/>
      <c r="B973" s="4"/>
      <c r="C973" s="6"/>
      <c r="D973" s="5" t="str">
        <f>IF(B973="","",IFERROR(INDEX(Articles!$E:$E,MATCH(B973,Articles!$B:$B,0)),""))</f>
        <v/>
      </c>
      <c r="E973" s="9" t="str">
        <f>IF(OR(C973="",D973=""),"",C973*D973)</f>
        <v/>
      </c>
      <c r="F973" s="4"/>
      <c r="G973" s="4"/>
      <c r="H973" s="9" t="str">
        <f>IF(OR(B973="",C973=""),"",C973*IFERROR(INDEX(Articles!$D:$D,MATCH(B973,Articles!$B:$B,0)),0))</f>
        <v/>
      </c>
      <c r="I973" s="9" t="str">
        <f>IF(OR(E973="",H973=""),"",E973-H973)</f>
        <v/>
      </c>
      <c r="J973" s="4"/>
    </row>
    <row r="974">
      <c r="A974" s="7"/>
      <c r="B974" s="4"/>
      <c r="C974" s="6"/>
      <c r="D974" s="5" t="str">
        <f>IF(B974="","",IFERROR(INDEX(Articles!$E:$E,MATCH(B974,Articles!$B:$B,0)),""))</f>
        <v/>
      </c>
      <c r="E974" s="9" t="str">
        <f>IF(OR(C974="",D974=""),"",C974*D974)</f>
        <v/>
      </c>
      <c r="F974" s="4"/>
      <c r="G974" s="4"/>
      <c r="H974" s="9" t="str">
        <f>IF(OR(B974="",C974=""),"",C974*IFERROR(INDEX(Articles!$D:$D,MATCH(B974,Articles!$B:$B,0)),0))</f>
        <v/>
      </c>
      <c r="I974" s="9" t="str">
        <f>IF(OR(E974="",H974=""),"",E974-H974)</f>
        <v/>
      </c>
      <c r="J974" s="4"/>
    </row>
    <row r="975">
      <c r="A975" s="7"/>
      <c r="B975" s="4"/>
      <c r="C975" s="6"/>
      <c r="D975" s="5" t="str">
        <f>IF(B975="","",IFERROR(INDEX(Articles!$E:$E,MATCH(B975,Articles!$B:$B,0)),""))</f>
        <v/>
      </c>
      <c r="E975" s="9" t="str">
        <f>IF(OR(C975="",D975=""),"",C975*D975)</f>
        <v/>
      </c>
      <c r="F975" s="4"/>
      <c r="G975" s="4"/>
      <c r="H975" s="9" t="str">
        <f>IF(OR(B975="",C975=""),"",C975*IFERROR(INDEX(Articles!$D:$D,MATCH(B975,Articles!$B:$B,0)),0))</f>
        <v/>
      </c>
      <c r="I975" s="9" t="str">
        <f>IF(OR(E975="",H975=""),"",E975-H975)</f>
        <v/>
      </c>
      <c r="J975" s="4"/>
    </row>
    <row r="976">
      <c r="A976" s="7"/>
      <c r="B976" s="4"/>
      <c r="C976" s="6"/>
      <c r="D976" s="5" t="str">
        <f>IF(B976="","",IFERROR(INDEX(Articles!$E:$E,MATCH(B976,Articles!$B:$B,0)),""))</f>
        <v/>
      </c>
      <c r="E976" s="9" t="str">
        <f>IF(OR(C976="",D976=""),"",C976*D976)</f>
        <v/>
      </c>
      <c r="F976" s="4"/>
      <c r="G976" s="4"/>
      <c r="H976" s="9" t="str">
        <f>IF(OR(B976="",C976=""),"",C976*IFERROR(INDEX(Articles!$D:$D,MATCH(B976,Articles!$B:$B,0)),0))</f>
        <v/>
      </c>
      <c r="I976" s="9" t="str">
        <f>IF(OR(E976="",H976=""),"",E976-H976)</f>
        <v/>
      </c>
      <c r="J976" s="4"/>
    </row>
    <row r="977">
      <c r="A977" s="7"/>
      <c r="B977" s="4"/>
      <c r="C977" s="6"/>
      <c r="D977" s="5" t="str">
        <f>IF(B977="","",IFERROR(INDEX(Articles!$E:$E,MATCH(B977,Articles!$B:$B,0)),""))</f>
        <v/>
      </c>
      <c r="E977" s="9" t="str">
        <f>IF(OR(C977="",D977=""),"",C977*D977)</f>
        <v/>
      </c>
      <c r="F977" s="4"/>
      <c r="G977" s="4"/>
      <c r="H977" s="9" t="str">
        <f>IF(OR(B977="",C977=""),"",C977*IFERROR(INDEX(Articles!$D:$D,MATCH(B977,Articles!$B:$B,0)),0))</f>
        <v/>
      </c>
      <c r="I977" s="9" t="str">
        <f>IF(OR(E977="",H977=""),"",E977-H977)</f>
        <v/>
      </c>
      <c r="J977" s="4"/>
    </row>
    <row r="978">
      <c r="A978" s="7"/>
      <c r="B978" s="4"/>
      <c r="C978" s="6"/>
      <c r="D978" s="5" t="str">
        <f>IF(B978="","",IFERROR(INDEX(Articles!$E:$E,MATCH(B978,Articles!$B:$B,0)),""))</f>
        <v/>
      </c>
      <c r="E978" s="9" t="str">
        <f>IF(OR(C978="",D978=""),"",C978*D978)</f>
        <v/>
      </c>
      <c r="F978" s="4"/>
      <c r="G978" s="4"/>
      <c r="H978" s="9" t="str">
        <f>IF(OR(B978="",C978=""),"",C978*IFERROR(INDEX(Articles!$D:$D,MATCH(B978,Articles!$B:$B,0)),0))</f>
        <v/>
      </c>
      <c r="I978" s="9" t="str">
        <f>IF(OR(E978="",H978=""),"",E978-H978)</f>
        <v/>
      </c>
      <c r="J978" s="4"/>
    </row>
    <row r="979">
      <c r="A979" s="7"/>
      <c r="B979" s="4"/>
      <c r="C979" s="6"/>
      <c r="D979" s="5" t="str">
        <f>IF(B979="","",IFERROR(INDEX(Articles!$E:$E,MATCH(B979,Articles!$B:$B,0)),""))</f>
        <v/>
      </c>
      <c r="E979" s="9" t="str">
        <f>IF(OR(C979="",D979=""),"",C979*D979)</f>
        <v/>
      </c>
      <c r="F979" s="4"/>
      <c r="G979" s="4"/>
      <c r="H979" s="9" t="str">
        <f>IF(OR(B979="",C979=""),"",C979*IFERROR(INDEX(Articles!$D:$D,MATCH(B979,Articles!$B:$B,0)),0))</f>
        <v/>
      </c>
      <c r="I979" s="9" t="str">
        <f>IF(OR(E979="",H979=""),"",E979-H979)</f>
        <v/>
      </c>
      <c r="J979" s="4"/>
    </row>
    <row r="980">
      <c r="A980" s="7"/>
      <c r="B980" s="4"/>
      <c r="C980" s="6"/>
      <c r="D980" s="5" t="str">
        <f>IF(B980="","",IFERROR(INDEX(Articles!$E:$E,MATCH(B980,Articles!$B:$B,0)),""))</f>
        <v/>
      </c>
      <c r="E980" s="9" t="str">
        <f>IF(OR(C980="",D980=""),"",C980*D980)</f>
        <v/>
      </c>
      <c r="F980" s="4"/>
      <c r="G980" s="4"/>
      <c r="H980" s="9" t="str">
        <f>IF(OR(B980="",C980=""),"",C980*IFERROR(INDEX(Articles!$D:$D,MATCH(B980,Articles!$B:$B,0)),0))</f>
        <v/>
      </c>
      <c r="I980" s="9" t="str">
        <f>IF(OR(E980="",H980=""),"",E980-H980)</f>
        <v/>
      </c>
      <c r="J980" s="4"/>
    </row>
    <row r="981">
      <c r="A981" s="7"/>
      <c r="B981" s="4"/>
      <c r="C981" s="6"/>
      <c r="D981" s="5" t="str">
        <f>IF(B981="","",IFERROR(INDEX(Articles!$E:$E,MATCH(B981,Articles!$B:$B,0)),""))</f>
        <v/>
      </c>
      <c r="E981" s="9" t="str">
        <f>IF(OR(C981="",D981=""),"",C981*D981)</f>
        <v/>
      </c>
      <c r="F981" s="4"/>
      <c r="G981" s="4"/>
      <c r="H981" s="9" t="str">
        <f>IF(OR(B981="",C981=""),"",C981*IFERROR(INDEX(Articles!$D:$D,MATCH(B981,Articles!$B:$B,0)),0))</f>
        <v/>
      </c>
      <c r="I981" s="9" t="str">
        <f>IF(OR(E981="",H981=""),"",E981-H981)</f>
        <v/>
      </c>
      <c r="J981" s="4"/>
    </row>
    <row r="982">
      <c r="A982" s="7"/>
      <c r="B982" s="4"/>
      <c r="C982" s="6"/>
      <c r="D982" s="5" t="str">
        <f>IF(B982="","",IFERROR(INDEX(Articles!$E:$E,MATCH(B982,Articles!$B:$B,0)),""))</f>
        <v/>
      </c>
      <c r="E982" s="9" t="str">
        <f>IF(OR(C982="",D982=""),"",C982*D982)</f>
        <v/>
      </c>
      <c r="F982" s="4"/>
      <c r="G982" s="4"/>
      <c r="H982" s="9" t="str">
        <f>IF(OR(B982="",C982=""),"",C982*IFERROR(INDEX(Articles!$D:$D,MATCH(B982,Articles!$B:$B,0)),0))</f>
        <v/>
      </c>
      <c r="I982" s="9" t="str">
        <f>IF(OR(E982="",H982=""),"",E982-H982)</f>
        <v/>
      </c>
      <c r="J982" s="4"/>
    </row>
    <row r="983">
      <c r="A983" s="7"/>
      <c r="B983" s="4"/>
      <c r="C983" s="6"/>
      <c r="D983" s="5" t="str">
        <f>IF(B983="","",IFERROR(INDEX(Articles!$E:$E,MATCH(B983,Articles!$B:$B,0)),""))</f>
        <v/>
      </c>
      <c r="E983" s="9" t="str">
        <f>IF(OR(C983="",D983=""),"",C983*D983)</f>
        <v/>
      </c>
      <c r="F983" s="4"/>
      <c r="G983" s="4"/>
      <c r="H983" s="9" t="str">
        <f>IF(OR(B983="",C983=""),"",C983*IFERROR(INDEX(Articles!$D:$D,MATCH(B983,Articles!$B:$B,0)),0))</f>
        <v/>
      </c>
      <c r="I983" s="9" t="str">
        <f>IF(OR(E983="",H983=""),"",E983-H983)</f>
        <v/>
      </c>
      <c r="J983" s="4"/>
    </row>
    <row r="984">
      <c r="A984" s="7"/>
      <c r="B984" s="4"/>
      <c r="C984" s="6"/>
      <c r="D984" s="5" t="str">
        <f>IF(B984="","",IFERROR(INDEX(Articles!$E:$E,MATCH(B984,Articles!$B:$B,0)),""))</f>
        <v/>
      </c>
      <c r="E984" s="9" t="str">
        <f>IF(OR(C984="",D984=""),"",C984*D984)</f>
        <v/>
      </c>
      <c r="F984" s="4"/>
      <c r="G984" s="4"/>
      <c r="H984" s="9" t="str">
        <f>IF(OR(B984="",C984=""),"",C984*IFERROR(INDEX(Articles!$D:$D,MATCH(B984,Articles!$B:$B,0)),0))</f>
        <v/>
      </c>
      <c r="I984" s="9" t="str">
        <f>IF(OR(E984="",H984=""),"",E984-H984)</f>
        <v/>
      </c>
      <c r="J984" s="4"/>
    </row>
    <row r="985">
      <c r="A985" s="7"/>
      <c r="B985" s="4"/>
      <c r="C985" s="6"/>
      <c r="D985" s="5" t="str">
        <f>IF(B985="","",IFERROR(INDEX(Articles!$E:$E,MATCH(B985,Articles!$B:$B,0)),""))</f>
        <v/>
      </c>
      <c r="E985" s="9" t="str">
        <f>IF(OR(C985="",D985=""),"",C985*D985)</f>
        <v/>
      </c>
      <c r="F985" s="4"/>
      <c r="G985" s="4"/>
      <c r="H985" s="9" t="str">
        <f>IF(OR(B985="",C985=""),"",C985*IFERROR(INDEX(Articles!$D:$D,MATCH(B985,Articles!$B:$B,0)),0))</f>
        <v/>
      </c>
      <c r="I985" s="9" t="str">
        <f>IF(OR(E985="",H985=""),"",E985-H985)</f>
        <v/>
      </c>
      <c r="J985" s="4"/>
    </row>
    <row r="986">
      <c r="A986" s="7"/>
      <c r="B986" s="4"/>
      <c r="C986" s="6"/>
      <c r="D986" s="5" t="str">
        <f>IF(B986="","",IFERROR(INDEX(Articles!$E:$E,MATCH(B986,Articles!$B:$B,0)),""))</f>
        <v/>
      </c>
      <c r="E986" s="9" t="str">
        <f>IF(OR(C986="",D986=""),"",C986*D986)</f>
        <v/>
      </c>
      <c r="F986" s="4"/>
      <c r="G986" s="4"/>
      <c r="H986" s="9" t="str">
        <f>IF(OR(B986="",C986=""),"",C986*IFERROR(INDEX(Articles!$D:$D,MATCH(B986,Articles!$B:$B,0)),0))</f>
        <v/>
      </c>
      <c r="I986" s="9" t="str">
        <f>IF(OR(E986="",H986=""),"",E986-H986)</f>
        <v/>
      </c>
      <c r="J986" s="4"/>
    </row>
    <row r="987">
      <c r="A987" s="7"/>
      <c r="B987" s="4"/>
      <c r="C987" s="6"/>
      <c r="D987" s="5" t="str">
        <f>IF(B987="","",IFERROR(INDEX(Articles!$E:$E,MATCH(B987,Articles!$B:$B,0)),""))</f>
        <v/>
      </c>
      <c r="E987" s="9" t="str">
        <f>IF(OR(C987="",D987=""),"",C987*D987)</f>
        <v/>
      </c>
      <c r="F987" s="4"/>
      <c r="G987" s="4"/>
      <c r="H987" s="9" t="str">
        <f>IF(OR(B987="",C987=""),"",C987*IFERROR(INDEX(Articles!$D:$D,MATCH(B987,Articles!$B:$B,0)),0))</f>
        <v/>
      </c>
      <c r="I987" s="9" t="str">
        <f>IF(OR(E987="",H987=""),"",E987-H987)</f>
        <v/>
      </c>
      <c r="J987" s="4"/>
    </row>
    <row r="988">
      <c r="A988" s="7"/>
      <c r="B988" s="4"/>
      <c r="C988" s="6"/>
      <c r="D988" s="5" t="str">
        <f>IF(B988="","",IFERROR(INDEX(Articles!$E:$E,MATCH(B988,Articles!$B:$B,0)),""))</f>
        <v/>
      </c>
      <c r="E988" s="9" t="str">
        <f>IF(OR(C988="",D988=""),"",C988*D988)</f>
        <v/>
      </c>
      <c r="F988" s="4"/>
      <c r="G988" s="4"/>
      <c r="H988" s="9" t="str">
        <f>IF(OR(B988="",C988=""),"",C988*IFERROR(INDEX(Articles!$D:$D,MATCH(B988,Articles!$B:$B,0)),0))</f>
        <v/>
      </c>
      <c r="I988" s="9" t="str">
        <f>IF(OR(E988="",H988=""),"",E988-H988)</f>
        <v/>
      </c>
      <c r="J988" s="4"/>
    </row>
    <row r="989">
      <c r="A989" s="7"/>
      <c r="B989" s="4"/>
      <c r="C989" s="6"/>
      <c r="D989" s="5" t="str">
        <f>IF(B989="","",IFERROR(INDEX(Articles!$E:$E,MATCH(B989,Articles!$B:$B,0)),""))</f>
        <v/>
      </c>
      <c r="E989" s="9" t="str">
        <f>IF(OR(C989="",D989=""),"",C989*D989)</f>
        <v/>
      </c>
      <c r="F989" s="4"/>
      <c r="G989" s="4"/>
      <c r="H989" s="9" t="str">
        <f>IF(OR(B989="",C989=""),"",C989*IFERROR(INDEX(Articles!$D:$D,MATCH(B989,Articles!$B:$B,0)),0))</f>
        <v/>
      </c>
      <c r="I989" s="9" t="str">
        <f>IF(OR(E989="",H989=""),"",E989-H989)</f>
        <v/>
      </c>
      <c r="J989" s="4"/>
    </row>
    <row r="990">
      <c r="A990" s="7"/>
      <c r="B990" s="4"/>
      <c r="C990" s="6"/>
      <c r="D990" s="5" t="str">
        <f>IF(B990="","",IFERROR(INDEX(Articles!$E:$E,MATCH(B990,Articles!$B:$B,0)),""))</f>
        <v/>
      </c>
      <c r="E990" s="9" t="str">
        <f>IF(OR(C990="",D990=""),"",C990*D990)</f>
        <v/>
      </c>
      <c r="F990" s="4"/>
      <c r="G990" s="4"/>
      <c r="H990" s="9" t="str">
        <f>IF(OR(B990="",C990=""),"",C990*IFERROR(INDEX(Articles!$D:$D,MATCH(B990,Articles!$B:$B,0)),0))</f>
        <v/>
      </c>
      <c r="I990" s="9" t="str">
        <f>IF(OR(E990="",H990=""),"",E990-H990)</f>
        <v/>
      </c>
      <c r="J990" s="4"/>
    </row>
    <row r="991">
      <c r="A991" s="7"/>
      <c r="B991" s="4"/>
      <c r="C991" s="6"/>
      <c r="D991" s="5" t="str">
        <f>IF(B991="","",IFERROR(INDEX(Articles!$E:$E,MATCH(B991,Articles!$B:$B,0)),""))</f>
        <v/>
      </c>
      <c r="E991" s="9" t="str">
        <f>IF(OR(C991="",D991=""),"",C991*D991)</f>
        <v/>
      </c>
      <c r="F991" s="4"/>
      <c r="G991" s="4"/>
      <c r="H991" s="9" t="str">
        <f>IF(OR(B991="",C991=""),"",C991*IFERROR(INDEX(Articles!$D:$D,MATCH(B991,Articles!$B:$B,0)),0))</f>
        <v/>
      </c>
      <c r="I991" s="9" t="str">
        <f>IF(OR(E991="",H991=""),"",E991-H991)</f>
        <v/>
      </c>
      <c r="J991" s="4"/>
    </row>
    <row r="992">
      <c r="A992" s="7"/>
      <c r="B992" s="4"/>
      <c r="C992" s="6"/>
      <c r="D992" s="5" t="str">
        <f>IF(B992="","",IFERROR(INDEX(Articles!$E:$E,MATCH(B992,Articles!$B:$B,0)),""))</f>
        <v/>
      </c>
      <c r="E992" s="9" t="str">
        <f>IF(OR(C992="",D992=""),"",C992*D992)</f>
        <v/>
      </c>
      <c r="F992" s="4"/>
      <c r="G992" s="4"/>
      <c r="H992" s="9" t="str">
        <f>IF(OR(B992="",C992=""),"",C992*IFERROR(INDEX(Articles!$D:$D,MATCH(B992,Articles!$B:$B,0)),0))</f>
        <v/>
      </c>
      <c r="I992" s="9" t="str">
        <f>IF(OR(E992="",H992=""),"",E992-H992)</f>
        <v/>
      </c>
      <c r="J992" s="4"/>
    </row>
    <row r="993">
      <c r="A993" s="7"/>
      <c r="B993" s="4"/>
      <c r="C993" s="6"/>
      <c r="D993" s="5" t="str">
        <f>IF(B993="","",IFERROR(INDEX(Articles!$E:$E,MATCH(B993,Articles!$B:$B,0)),""))</f>
        <v/>
      </c>
      <c r="E993" s="9" t="str">
        <f>IF(OR(C993="",D993=""),"",C993*D993)</f>
        <v/>
      </c>
      <c r="F993" s="4"/>
      <c r="G993" s="4"/>
      <c r="H993" s="9" t="str">
        <f>IF(OR(B993="",C993=""),"",C993*IFERROR(INDEX(Articles!$D:$D,MATCH(B993,Articles!$B:$B,0)),0))</f>
        <v/>
      </c>
      <c r="I993" s="9" t="str">
        <f>IF(OR(E993="",H993=""),"",E993-H993)</f>
        <v/>
      </c>
      <c r="J993" s="4"/>
    </row>
    <row r="994">
      <c r="A994" s="7"/>
      <c r="B994" s="4"/>
      <c r="C994" s="6"/>
      <c r="D994" s="5" t="str">
        <f>IF(B994="","",IFERROR(INDEX(Articles!$E:$E,MATCH(B994,Articles!$B:$B,0)),""))</f>
        <v/>
      </c>
      <c r="E994" s="9" t="str">
        <f>IF(OR(C994="",D994=""),"",C994*D994)</f>
        <v/>
      </c>
      <c r="F994" s="4"/>
      <c r="G994" s="4"/>
      <c r="H994" s="9" t="str">
        <f>IF(OR(B994="",C994=""),"",C994*IFERROR(INDEX(Articles!$D:$D,MATCH(B994,Articles!$B:$B,0)),0))</f>
        <v/>
      </c>
      <c r="I994" s="9" t="str">
        <f>IF(OR(E994="",H994=""),"",E994-H994)</f>
        <v/>
      </c>
      <c r="J994" s="4"/>
    </row>
    <row r="995">
      <c r="A995" s="7"/>
      <c r="B995" s="4"/>
      <c r="C995" s="6"/>
      <c r="D995" s="5" t="str">
        <f>IF(B995="","",IFERROR(INDEX(Articles!$E:$E,MATCH(B995,Articles!$B:$B,0)),""))</f>
        <v/>
      </c>
      <c r="E995" s="9" t="str">
        <f>IF(OR(C995="",D995=""),"",C995*D995)</f>
        <v/>
      </c>
      <c r="F995" s="4"/>
      <c r="G995" s="4"/>
      <c r="H995" s="9" t="str">
        <f>IF(OR(B995="",C995=""),"",C995*IFERROR(INDEX(Articles!$D:$D,MATCH(B995,Articles!$B:$B,0)),0))</f>
        <v/>
      </c>
      <c r="I995" s="9" t="str">
        <f>IF(OR(E995="",H995=""),"",E995-H995)</f>
        <v/>
      </c>
      <c r="J995" s="4"/>
    </row>
    <row r="996">
      <c r="A996" s="7"/>
      <c r="B996" s="4"/>
      <c r="C996" s="6"/>
      <c r="D996" s="5" t="str">
        <f>IF(B996="","",IFERROR(INDEX(Articles!$E:$E,MATCH(B996,Articles!$B:$B,0)),""))</f>
        <v/>
      </c>
      <c r="E996" s="9" t="str">
        <f>IF(OR(C996="",D996=""),"",C996*D996)</f>
        <v/>
      </c>
      <c r="F996" s="4"/>
      <c r="G996" s="4"/>
      <c r="H996" s="9" t="str">
        <f>IF(OR(B996="",C996=""),"",C996*IFERROR(INDEX(Articles!$D:$D,MATCH(B996,Articles!$B:$B,0)),0))</f>
        <v/>
      </c>
      <c r="I996" s="9" t="str">
        <f>IF(OR(E996="",H996=""),"",E996-H996)</f>
        <v/>
      </c>
      <c r="J996" s="4"/>
    </row>
    <row r="997">
      <c r="A997" s="7"/>
      <c r="B997" s="4"/>
      <c r="C997" s="6"/>
      <c r="D997" s="5" t="str">
        <f>IF(B997="","",IFERROR(INDEX(Articles!$E:$E,MATCH(B997,Articles!$B:$B,0)),""))</f>
        <v/>
      </c>
      <c r="E997" s="9" t="str">
        <f>IF(OR(C997="",D997=""),"",C997*D997)</f>
        <v/>
      </c>
      <c r="F997" s="4"/>
      <c r="G997" s="4"/>
      <c r="H997" s="9" t="str">
        <f>IF(OR(B997="",C997=""),"",C997*IFERROR(INDEX(Articles!$D:$D,MATCH(B997,Articles!$B:$B,0)),0))</f>
        <v/>
      </c>
      <c r="I997" s="9" t="str">
        <f>IF(OR(E997="",H997=""),"",E997-H997)</f>
        <v/>
      </c>
      <c r="J997" s="4"/>
    </row>
    <row r="998">
      <c r="A998" s="7"/>
      <c r="B998" s="4"/>
      <c r="C998" s="6"/>
      <c r="D998" s="5" t="str">
        <f>IF(B998="","",IFERROR(INDEX(Articles!$E:$E,MATCH(B998,Articles!$B:$B,0)),""))</f>
        <v/>
      </c>
      <c r="E998" s="9" t="str">
        <f>IF(OR(C998="",D998=""),"",C998*D998)</f>
        <v/>
      </c>
      <c r="F998" s="4"/>
      <c r="G998" s="4"/>
      <c r="H998" s="9" t="str">
        <f>IF(OR(B998="",C998=""),"",C998*IFERROR(INDEX(Articles!$D:$D,MATCH(B998,Articles!$B:$B,0)),0))</f>
        <v/>
      </c>
      <c r="I998" s="9" t="str">
        <f>IF(OR(E998="",H998=""),"",E998-H998)</f>
        <v/>
      </c>
      <c r="J998" s="4"/>
    </row>
    <row r="999">
      <c r="A999" s="7"/>
      <c r="B999" s="4"/>
      <c r="C999" s="6"/>
      <c r="D999" s="5" t="str">
        <f>IF(B999="","",IFERROR(INDEX(Articles!$E:$E,MATCH(B999,Articles!$B:$B,0)),""))</f>
        <v/>
      </c>
      <c r="E999" s="9" t="str">
        <f>IF(OR(C999="",D999=""),"",C999*D999)</f>
        <v/>
      </c>
      <c r="F999" s="4"/>
      <c r="G999" s="4"/>
      <c r="H999" s="9" t="str">
        <f>IF(OR(B999="",C999=""),"",C999*IFERROR(INDEX(Articles!$D:$D,MATCH(B999,Articles!$B:$B,0)),0))</f>
        <v/>
      </c>
      <c r="I999" s="9" t="str">
        <f>IF(OR(E999="",H999=""),"",E999-H999)</f>
        <v/>
      </c>
      <c r="J999" s="4"/>
    </row>
    <row r="1000">
      <c r="A1000" s="7"/>
      <c r="B1000" s="4"/>
      <c r="C1000" s="6"/>
      <c r="D1000" s="5" t="str">
        <f>IF(B1000="","",IFERROR(INDEX(Articles!$E:$E,MATCH(B1000,Articles!$B:$B,0)),""))</f>
        <v/>
      </c>
      <c r="E1000" s="9" t="str">
        <f>IF(OR(C1000="",D1000=""),"",C1000*D1000)</f>
        <v/>
      </c>
      <c r="F1000" s="4"/>
      <c r="G1000" s="4"/>
      <c r="H1000" s="9" t="str">
        <f>IF(OR(B1000="",C1000=""),"",C1000*IFERROR(INDEX(Articles!$D:$D,MATCH(B1000,Articles!$B:$B,0)),0))</f>
        <v/>
      </c>
      <c r="I1000" s="9" t="str">
        <f>IF(OR(E1000="",H1000=""),"",E1000-H1000)</f>
        <v/>
      </c>
      <c r="J1000" s="4"/>
    </row>
    <row r="1001">
      <c r="A1001" s="7"/>
      <c r="B1001" s="4"/>
      <c r="C1001" s="6"/>
      <c r="D1001" s="5" t="str">
        <f>IF(B1001="","",IFERROR(INDEX(Articles!$E:$E,MATCH(B1001,Articles!$B:$B,0)),""))</f>
        <v/>
      </c>
      <c r="E1001" s="9" t="str">
        <f>IF(OR(C1001="",D1001=""),"",C1001*D1001)</f>
        <v/>
      </c>
      <c r="F1001" s="4"/>
      <c r="G1001" s="4"/>
      <c r="H1001" s="9" t="str">
        <f>IF(OR(B1001="",C1001=""),"",C1001*IFERROR(INDEX(Articles!$D:$D,MATCH(B1001,Articles!$B:$B,0)),0))</f>
        <v/>
      </c>
      <c r="I1001" s="9" t="str">
        <f>IF(OR(E1001="",H1001=""),"",E1001-H1001)</f>
        <v/>
      </c>
      <c r="J1001" s="4"/>
    </row>
    <row r="1002">
      <c r="A1002" s="7"/>
      <c r="B1002" s="4"/>
      <c r="C1002" s="6"/>
      <c r="D1002" s="5" t="str">
        <f>IF(B1002="","",IFERROR(INDEX(Articles!$E:$E,MATCH(B1002,Articles!$B:$B,0)),""))</f>
        <v/>
      </c>
      <c r="E1002" s="9" t="str">
        <f>IF(OR(C1002="",D1002=""),"",C1002*D1002)</f>
        <v/>
      </c>
      <c r="F1002" s="4"/>
      <c r="G1002" s="4"/>
      <c r="H1002" s="9" t="str">
        <f>IF(OR(B1002="",C1002=""),"",C1002*IFERROR(INDEX(Articles!$D:$D,MATCH(B1002,Articles!$B:$B,0)),0))</f>
        <v/>
      </c>
      <c r="I1002" s="9" t="str">
        <f>IF(OR(E1002="",H1002=""),"",E1002-H1002)</f>
        <v/>
      </c>
      <c r="J1002" s="4"/>
    </row>
    <row r="1003">
      <c r="A1003" s="7"/>
      <c r="B1003" s="4"/>
      <c r="C1003" s="6"/>
      <c r="D1003" s="5" t="str">
        <f>IF(B1003="","",IFERROR(INDEX(Articles!$E:$E,MATCH(B1003,Articles!$B:$B,0)),""))</f>
        <v/>
      </c>
      <c r="E1003" s="9" t="str">
        <f>IF(OR(C1003="",D1003=""),"",C1003*D1003)</f>
        <v/>
      </c>
      <c r="F1003" s="4"/>
      <c r="G1003" s="4"/>
      <c r="H1003" s="9" t="str">
        <f>IF(OR(B1003="",C1003=""),"",C1003*IFERROR(INDEX(Articles!$D:$D,MATCH(B1003,Articles!$B:$B,0)),0))</f>
        <v/>
      </c>
      <c r="I1003" s="9" t="str">
        <f>IF(OR(E1003="",H1003=""),"",E1003-H1003)</f>
        <v/>
      </c>
      <c r="J1003" s="4"/>
    </row>
    <row r="1004">
      <c r="A1004" s="7"/>
      <c r="B1004" s="4"/>
      <c r="C1004" s="6"/>
      <c r="D1004" s="5" t="str">
        <f>IF(B1004="","",IFERROR(INDEX(Articles!$E:$E,MATCH(B1004,Articles!$B:$B,0)),""))</f>
        <v/>
      </c>
      <c r="E1004" s="9" t="str">
        <f>IF(OR(C1004="",D1004=""),"",C1004*D1004)</f>
        <v/>
      </c>
      <c r="F1004" s="4"/>
      <c r="G1004" s="4"/>
      <c r="H1004" s="9" t="str">
        <f>IF(OR(B1004="",C1004=""),"",C1004*IFERROR(INDEX(Articles!$D:$D,MATCH(B1004,Articles!$B:$B,0)),0))</f>
        <v/>
      </c>
      <c r="I1004" s="9" t="str">
        <f>IF(OR(E1004="",H1004=""),"",E1004-H1004)</f>
        <v/>
      </c>
      <c r="J1004" s="4"/>
    </row>
    <row r="1005">
      <c r="A1005" s="7"/>
      <c r="B1005" s="4"/>
      <c r="C1005" s="6"/>
      <c r="D1005" s="5" t="str">
        <f>IF(B1005="","",IFERROR(INDEX(Articles!$E:$E,MATCH(B1005,Articles!$B:$B,0)),""))</f>
        <v/>
      </c>
      <c r="E1005" s="9" t="str">
        <f>IF(OR(C1005="",D1005=""),"",C1005*D1005)</f>
        <v/>
      </c>
      <c r="F1005" s="4"/>
      <c r="G1005" s="4"/>
      <c r="H1005" s="9" t="str">
        <f>IF(OR(B1005="",C1005=""),"",C1005*IFERROR(INDEX(Articles!$D:$D,MATCH(B1005,Articles!$B:$B,0)),0))</f>
        <v/>
      </c>
      <c r="I1005" s="9" t="str">
        <f>IF(OR(E1005="",H1005=""),"",E1005-H1005)</f>
        <v/>
      </c>
      <c r="J1005" s="4"/>
    </row>
    <row r="1006">
      <c r="A1006" s="7"/>
      <c r="B1006" s="4"/>
      <c r="C1006" s="6"/>
      <c r="D1006" s="5" t="str">
        <f>IF(B1006="","",IFERROR(INDEX(Articles!$E:$E,MATCH(B1006,Articles!$B:$B,0)),""))</f>
        <v/>
      </c>
      <c r="E1006" s="9" t="str">
        <f>IF(OR(C1006="",D1006=""),"",C1006*D1006)</f>
        <v/>
      </c>
      <c r="F1006" s="4"/>
      <c r="G1006" s="4"/>
      <c r="H1006" s="9" t="str">
        <f>IF(OR(B1006="",C1006=""),"",C1006*IFERROR(INDEX(Articles!$D:$D,MATCH(B1006,Articles!$B:$B,0)),0))</f>
        <v/>
      </c>
      <c r="I1006" s="9" t="str">
        <f>IF(OR(E1006="",H1006=""),"",E1006-H1006)</f>
        <v/>
      </c>
      <c r="J1006" s="4"/>
    </row>
    <row r="1007">
      <c r="A1007" s="7"/>
      <c r="B1007" s="4"/>
      <c r="C1007" s="6"/>
      <c r="D1007" s="5" t="str">
        <f>IF(B1007="","",IFERROR(INDEX(Articles!$E:$E,MATCH(B1007,Articles!$B:$B,0)),""))</f>
        <v/>
      </c>
      <c r="E1007" s="9" t="str">
        <f>IF(OR(C1007="",D1007=""),"",C1007*D1007)</f>
        <v/>
      </c>
      <c r="F1007" s="4"/>
      <c r="G1007" s="4"/>
      <c r="H1007" s="9" t="str">
        <f>IF(OR(B1007="",C1007=""),"",C1007*IFERROR(INDEX(Articles!$D:$D,MATCH(B1007,Articles!$B:$B,0)),0))</f>
        <v/>
      </c>
      <c r="I1007" s="9" t="str">
        <f>IF(OR(E1007="",H1007=""),"",E1007-H1007)</f>
        <v/>
      </c>
      <c r="J1007" s="4"/>
    </row>
    <row r="1008">
      <c r="A1008" s="7"/>
      <c r="B1008" s="4"/>
      <c r="C1008" s="6"/>
      <c r="D1008" s="5" t="str">
        <f>IF(B1008="","",IFERROR(INDEX(Articles!$E:$E,MATCH(B1008,Articles!$B:$B,0)),""))</f>
        <v/>
      </c>
      <c r="E1008" s="9" t="str">
        <f>IF(OR(C1008="",D1008=""),"",C1008*D1008)</f>
        <v/>
      </c>
      <c r="F1008" s="4"/>
      <c r="G1008" s="4"/>
      <c r="H1008" s="9" t="str">
        <f>IF(OR(B1008="",C1008=""),"",C1008*IFERROR(INDEX(Articles!$D:$D,MATCH(B1008,Articles!$B:$B,0)),0))</f>
        <v/>
      </c>
      <c r="I1008" s="9" t="str">
        <f>IF(OR(E1008="",H1008=""),"",E1008-H1008)</f>
        <v/>
      </c>
      <c r="J1008" s="4"/>
    </row>
    <row r="1009">
      <c r="A1009" s="7"/>
      <c r="B1009" s="4"/>
      <c r="C1009" s="6"/>
      <c r="D1009" s="5" t="str">
        <f>IF(B1009="","",IFERROR(INDEX(Articles!$E:$E,MATCH(B1009,Articles!$B:$B,0)),""))</f>
        <v/>
      </c>
      <c r="E1009" s="9" t="str">
        <f>IF(OR(C1009="",D1009=""),"",C1009*D1009)</f>
        <v/>
      </c>
      <c r="F1009" s="4"/>
      <c r="G1009" s="4"/>
      <c r="H1009" s="9" t="str">
        <f>IF(OR(B1009="",C1009=""),"",C1009*IFERROR(INDEX(Articles!$D:$D,MATCH(B1009,Articles!$B:$B,0)),0))</f>
        <v/>
      </c>
      <c r="I1009" s="9" t="str">
        <f>IF(OR(E1009="",H1009=""),"",E1009-H1009)</f>
        <v/>
      </c>
      <c r="J1009" s="4"/>
    </row>
    <row r="1010">
      <c r="A1010" s="7"/>
      <c r="B1010" s="4"/>
      <c r="C1010" s="6"/>
      <c r="D1010" s="5" t="str">
        <f>IF(B1010="","",IFERROR(INDEX(Articles!$E:$E,MATCH(B1010,Articles!$B:$B,0)),""))</f>
        <v/>
      </c>
      <c r="E1010" s="9" t="str">
        <f>IF(OR(C1010="",D1010=""),"",C1010*D1010)</f>
        <v/>
      </c>
      <c r="F1010" s="4"/>
      <c r="G1010" s="4"/>
      <c r="H1010" s="9" t="str">
        <f>IF(OR(B1010="",C1010=""),"",C1010*IFERROR(INDEX(Articles!$D:$D,MATCH(B1010,Articles!$B:$B,0)),0))</f>
        <v/>
      </c>
      <c r="I1010" s="9" t="str">
        <f>IF(OR(E1010="",H1010=""),"",E1010-H1010)</f>
        <v/>
      </c>
      <c r="J1010" s="4"/>
    </row>
    <row r="1011">
      <c r="A1011" s="7"/>
      <c r="B1011" s="4"/>
      <c r="C1011" s="6"/>
      <c r="D1011" s="5" t="str">
        <f>IF(B1011="","",IFERROR(INDEX(Articles!$E:$E,MATCH(B1011,Articles!$B:$B,0)),""))</f>
        <v/>
      </c>
      <c r="E1011" s="9" t="str">
        <f>IF(OR(C1011="",D1011=""),"",C1011*D1011)</f>
        <v/>
      </c>
      <c r="F1011" s="4"/>
      <c r="G1011" s="4"/>
      <c r="H1011" s="9" t="str">
        <f>IF(OR(B1011="",C1011=""),"",C1011*IFERROR(INDEX(Articles!$D:$D,MATCH(B1011,Articles!$B:$B,0)),0))</f>
        <v/>
      </c>
      <c r="I1011" s="9" t="str">
        <f>IF(OR(E1011="",H1011=""),"",E1011-H1011)</f>
        <v/>
      </c>
      <c r="J1011" s="4"/>
    </row>
    <row r="1012">
      <c r="A1012" s="7"/>
      <c r="B1012" s="4"/>
      <c r="C1012" s="6"/>
      <c r="D1012" s="5" t="str">
        <f>IF(B1012="","",IFERROR(INDEX(Articles!$E:$E,MATCH(B1012,Articles!$B:$B,0)),""))</f>
        <v/>
      </c>
      <c r="E1012" s="9" t="str">
        <f>IF(OR(C1012="",D1012=""),"",C1012*D1012)</f>
        <v/>
      </c>
      <c r="F1012" s="4"/>
      <c r="G1012" s="4"/>
      <c r="H1012" s="9" t="str">
        <f>IF(OR(B1012="",C1012=""),"",C1012*IFERROR(INDEX(Articles!$D:$D,MATCH(B1012,Articles!$B:$B,0)),0))</f>
        <v/>
      </c>
      <c r="I1012" s="9" t="str">
        <f>IF(OR(E1012="",H1012=""),"",E1012-H1012)</f>
        <v/>
      </c>
      <c r="J1012" s="4"/>
    </row>
    <row r="1013">
      <c r="A1013" s="7"/>
      <c r="B1013" s="4"/>
      <c r="C1013" s="6"/>
      <c r="D1013" s="5" t="str">
        <f>IF(B1013="","",IFERROR(INDEX(Articles!$E:$E,MATCH(B1013,Articles!$B:$B,0)),""))</f>
        <v/>
      </c>
      <c r="E1013" s="9" t="str">
        <f>IF(OR(C1013="",D1013=""),"",C1013*D1013)</f>
        <v/>
      </c>
      <c r="F1013" s="4"/>
      <c r="G1013" s="4"/>
      <c r="H1013" s="9" t="str">
        <f>IF(OR(B1013="",C1013=""),"",C1013*IFERROR(INDEX(Articles!$D:$D,MATCH(B1013,Articles!$B:$B,0)),0))</f>
        <v/>
      </c>
      <c r="I1013" s="9" t="str">
        <f>IF(OR(E1013="",H1013=""),"",E1013-H1013)</f>
        <v/>
      </c>
      <c r="J1013" s="4"/>
    </row>
    <row r="1014">
      <c r="A1014" s="7"/>
      <c r="B1014" s="4"/>
      <c r="C1014" s="6"/>
      <c r="D1014" s="5" t="str">
        <f>IF(B1014="","",IFERROR(INDEX(Articles!$E:$E,MATCH(B1014,Articles!$B:$B,0)),""))</f>
        <v/>
      </c>
      <c r="E1014" s="9" t="str">
        <f>IF(OR(C1014="",D1014=""),"",C1014*D1014)</f>
        <v/>
      </c>
      <c r="F1014" s="4"/>
      <c r="G1014" s="4"/>
      <c r="H1014" s="9" t="str">
        <f>IF(OR(B1014="",C1014=""),"",C1014*IFERROR(INDEX(Articles!$D:$D,MATCH(B1014,Articles!$B:$B,0)),0))</f>
        <v/>
      </c>
      <c r="I1014" s="9" t="str">
        <f>IF(OR(E1014="",H1014=""),"",E1014-H1014)</f>
        <v/>
      </c>
      <c r="J1014" s="4"/>
    </row>
    <row r="1015">
      <c r="A1015" s="7"/>
      <c r="B1015" s="4"/>
      <c r="C1015" s="6"/>
      <c r="D1015" s="5" t="str">
        <f>IF(B1015="","",IFERROR(INDEX(Articles!$E:$E,MATCH(B1015,Articles!$B:$B,0)),""))</f>
        <v/>
      </c>
      <c r="E1015" s="9" t="str">
        <f>IF(OR(C1015="",D1015=""),"",C1015*D1015)</f>
        <v/>
      </c>
      <c r="F1015" s="4"/>
      <c r="G1015" s="4"/>
      <c r="H1015" s="9" t="str">
        <f>IF(OR(B1015="",C1015=""),"",C1015*IFERROR(INDEX(Articles!$D:$D,MATCH(B1015,Articles!$B:$B,0)),0))</f>
        <v/>
      </c>
      <c r="I1015" s="9" t="str">
        <f>IF(OR(E1015="",H1015=""),"",E1015-H1015)</f>
        <v/>
      </c>
      <c r="J1015" s="4"/>
    </row>
    <row r="1016">
      <c r="A1016" s="7"/>
      <c r="B1016" s="4"/>
      <c r="C1016" s="6"/>
      <c r="D1016" s="5" t="str">
        <f>IF(B1016="","",IFERROR(INDEX(Articles!$E:$E,MATCH(B1016,Articles!$B:$B,0)),""))</f>
        <v/>
      </c>
      <c r="E1016" s="9" t="str">
        <f>IF(OR(C1016="",D1016=""),"",C1016*D1016)</f>
        <v/>
      </c>
      <c r="F1016" s="4"/>
      <c r="G1016" s="4"/>
      <c r="H1016" s="9" t="str">
        <f>IF(OR(B1016="",C1016=""),"",C1016*IFERROR(INDEX(Articles!$D:$D,MATCH(B1016,Articles!$B:$B,0)),0))</f>
        <v/>
      </c>
      <c r="I1016" s="9" t="str">
        <f>IF(OR(E1016="",H1016=""),"",E1016-H1016)</f>
        <v/>
      </c>
      <c r="J1016" s="4"/>
    </row>
    <row r="1017">
      <c r="A1017" s="7"/>
      <c r="B1017" s="4"/>
      <c r="C1017" s="6"/>
      <c r="D1017" s="5" t="str">
        <f>IF(B1017="","",IFERROR(INDEX(Articles!$E:$E,MATCH(B1017,Articles!$B:$B,0)),""))</f>
        <v/>
      </c>
      <c r="E1017" s="9" t="str">
        <f>IF(OR(C1017="",D1017=""),"",C1017*D1017)</f>
        <v/>
      </c>
      <c r="F1017" s="4"/>
      <c r="G1017" s="4"/>
      <c r="H1017" s="9" t="str">
        <f>IF(OR(B1017="",C1017=""),"",C1017*IFERROR(INDEX(Articles!$D:$D,MATCH(B1017,Articles!$B:$B,0)),0))</f>
        <v/>
      </c>
      <c r="I1017" s="9" t="str">
        <f>IF(OR(E1017="",H1017=""),"",E1017-H1017)</f>
        <v/>
      </c>
      <c r="J1017" s="4"/>
    </row>
    <row r="1018">
      <c r="A1018" s="7"/>
      <c r="B1018" s="4"/>
      <c r="C1018" s="6"/>
      <c r="D1018" s="5" t="str">
        <f>IF(B1018="","",IFERROR(INDEX(Articles!$E:$E,MATCH(B1018,Articles!$B:$B,0)),""))</f>
        <v/>
      </c>
      <c r="E1018" s="9" t="str">
        <f>IF(OR(C1018="",D1018=""),"",C1018*D1018)</f>
        <v/>
      </c>
      <c r="F1018" s="4"/>
      <c r="G1018" s="4"/>
      <c r="H1018" s="9" t="str">
        <f>IF(OR(B1018="",C1018=""),"",C1018*IFERROR(INDEX(Articles!$D:$D,MATCH(B1018,Articles!$B:$B,0)),0))</f>
        <v/>
      </c>
      <c r="I1018" s="9" t="str">
        <f>IF(OR(E1018="",H1018=""),"",E1018-H1018)</f>
        <v/>
      </c>
      <c r="J1018" s="4"/>
    </row>
    <row r="1019">
      <c r="A1019" s="7"/>
      <c r="B1019" s="4"/>
      <c r="C1019" s="6"/>
      <c r="D1019" s="5" t="str">
        <f>IF(B1019="","",IFERROR(INDEX(Articles!$E:$E,MATCH(B1019,Articles!$B:$B,0)),""))</f>
        <v/>
      </c>
      <c r="E1019" s="9" t="str">
        <f>IF(OR(C1019="",D1019=""),"",C1019*D1019)</f>
        <v/>
      </c>
      <c r="F1019" s="4"/>
      <c r="G1019" s="4"/>
      <c r="H1019" s="9" t="str">
        <f>IF(OR(B1019="",C1019=""),"",C1019*IFERROR(INDEX(Articles!$D:$D,MATCH(B1019,Articles!$B:$B,0)),0))</f>
        <v/>
      </c>
      <c r="I1019" s="9" t="str">
        <f>IF(OR(E1019="",H1019=""),"",E1019-H1019)</f>
        <v/>
      </c>
      <c r="J1019" s="4"/>
    </row>
    <row r="1020">
      <c r="A1020" s="7"/>
      <c r="B1020" s="4"/>
      <c r="C1020" s="6"/>
      <c r="D1020" s="5" t="str">
        <f>IF(B1020="","",IFERROR(INDEX(Articles!$E:$E,MATCH(B1020,Articles!$B:$B,0)),""))</f>
        <v/>
      </c>
      <c r="E1020" s="9" t="str">
        <f>IF(OR(C1020="",D1020=""),"",C1020*D1020)</f>
        <v/>
      </c>
      <c r="F1020" s="4"/>
      <c r="G1020" s="4"/>
      <c r="H1020" s="9" t="str">
        <f>IF(OR(B1020="",C1020=""),"",C1020*IFERROR(INDEX(Articles!$D:$D,MATCH(B1020,Articles!$B:$B,0)),0))</f>
        <v/>
      </c>
      <c r="I1020" s="9" t="str">
        <f>IF(OR(E1020="",H1020=""),"",E1020-H1020)</f>
        <v/>
      </c>
      <c r="J1020" s="4"/>
    </row>
    <row r="1021">
      <c r="A1021" s="7"/>
      <c r="B1021" s="4"/>
      <c r="C1021" s="6"/>
      <c r="D1021" s="5" t="str">
        <f>IF(B1021="","",IFERROR(INDEX(Articles!$E:$E,MATCH(B1021,Articles!$B:$B,0)),""))</f>
        <v/>
      </c>
      <c r="E1021" s="9" t="str">
        <f>IF(OR(C1021="",D1021=""),"",C1021*D1021)</f>
        <v/>
      </c>
      <c r="F1021" s="4"/>
      <c r="G1021" s="4"/>
      <c r="H1021" s="9" t="str">
        <f>IF(OR(B1021="",C1021=""),"",C1021*IFERROR(INDEX(Articles!$D:$D,MATCH(B1021,Articles!$B:$B,0)),0))</f>
        <v/>
      </c>
      <c r="I1021" s="9" t="str">
        <f>IF(OR(E1021="",H1021=""),"",E1021-H1021)</f>
        <v/>
      </c>
      <c r="J1021" s="4"/>
    </row>
    <row r="1022">
      <c r="A1022" s="7"/>
      <c r="B1022" s="4"/>
      <c r="C1022" s="6"/>
      <c r="D1022" s="5" t="str">
        <f>IF(B1022="","",IFERROR(INDEX(Articles!$E:$E,MATCH(B1022,Articles!$B:$B,0)),""))</f>
        <v/>
      </c>
      <c r="E1022" s="9" t="str">
        <f>IF(OR(C1022="",D1022=""),"",C1022*D1022)</f>
        <v/>
      </c>
      <c r="F1022" s="4"/>
      <c r="G1022" s="4"/>
      <c r="H1022" s="9" t="str">
        <f>IF(OR(B1022="",C1022=""),"",C1022*IFERROR(INDEX(Articles!$D:$D,MATCH(B1022,Articles!$B:$B,0)),0))</f>
        <v/>
      </c>
      <c r="I1022" s="9" t="str">
        <f>IF(OR(E1022="",H1022=""),"",E1022-H1022)</f>
        <v/>
      </c>
      <c r="J1022" s="4"/>
    </row>
    <row r="1023">
      <c r="A1023" s="7"/>
      <c r="B1023" s="4"/>
      <c r="C1023" s="6"/>
      <c r="D1023" s="5" t="str">
        <f>IF(B1023="","",IFERROR(INDEX(Articles!$E:$E,MATCH(B1023,Articles!$B:$B,0)),""))</f>
        <v/>
      </c>
      <c r="E1023" s="9" t="str">
        <f>IF(OR(C1023="",D1023=""),"",C1023*D1023)</f>
        <v/>
      </c>
      <c r="F1023" s="4"/>
      <c r="G1023" s="4"/>
      <c r="H1023" s="9" t="str">
        <f>IF(OR(B1023="",C1023=""),"",C1023*IFERROR(INDEX(Articles!$D:$D,MATCH(B1023,Articles!$B:$B,0)),0))</f>
        <v/>
      </c>
      <c r="I1023" s="9" t="str">
        <f>IF(OR(E1023="",H1023=""),"",E1023-H1023)</f>
        <v/>
      </c>
      <c r="J1023" s="4"/>
    </row>
    <row r="1024">
      <c r="A1024" s="7"/>
      <c r="B1024" s="4"/>
      <c r="C1024" s="6"/>
      <c r="D1024" s="5" t="str">
        <f>IF(B1024="","",IFERROR(INDEX(Articles!$E:$E,MATCH(B1024,Articles!$B:$B,0)),""))</f>
        <v/>
      </c>
      <c r="E1024" s="9" t="str">
        <f>IF(OR(C1024="",D1024=""),"",C1024*D1024)</f>
        <v/>
      </c>
      <c r="F1024" s="4"/>
      <c r="G1024" s="4"/>
      <c r="H1024" s="9" t="str">
        <f>IF(OR(B1024="",C1024=""),"",C1024*IFERROR(INDEX(Articles!$D:$D,MATCH(B1024,Articles!$B:$B,0)),0))</f>
        <v/>
      </c>
      <c r="I1024" s="9" t="str">
        <f>IF(OR(E1024="",H1024=""),"",E1024-H1024)</f>
        <v/>
      </c>
      <c r="J1024" s="4"/>
    </row>
    <row r="1025">
      <c r="A1025" s="7"/>
      <c r="B1025" s="4"/>
      <c r="C1025" s="6"/>
      <c r="D1025" s="5" t="str">
        <f>IF(B1025="","",IFERROR(INDEX(Articles!$E:$E,MATCH(B1025,Articles!$B:$B,0)),""))</f>
        <v/>
      </c>
      <c r="E1025" s="9" t="str">
        <f>IF(OR(C1025="",D1025=""),"",C1025*D1025)</f>
        <v/>
      </c>
      <c r="F1025" s="4"/>
      <c r="G1025" s="4"/>
      <c r="H1025" s="9" t="str">
        <f>IF(OR(B1025="",C1025=""),"",C1025*IFERROR(INDEX(Articles!$D:$D,MATCH(B1025,Articles!$B:$B,0)),0))</f>
        <v/>
      </c>
      <c r="I1025" s="9" t="str">
        <f>IF(OR(E1025="",H1025=""),"",E1025-H1025)</f>
        <v/>
      </c>
      <c r="J1025" s="4"/>
    </row>
    <row r="1026">
      <c r="A1026" s="7"/>
      <c r="B1026" s="4"/>
      <c r="C1026" s="6"/>
      <c r="D1026" s="5" t="str">
        <f>IF(B1026="","",IFERROR(INDEX(Articles!$E:$E,MATCH(B1026,Articles!$B:$B,0)),""))</f>
        <v/>
      </c>
      <c r="E1026" s="9" t="str">
        <f>IF(OR(C1026="",D1026=""),"",C1026*D1026)</f>
        <v/>
      </c>
      <c r="F1026" s="4"/>
      <c r="G1026" s="4"/>
      <c r="H1026" s="9" t="str">
        <f>IF(OR(B1026="",C1026=""),"",C1026*IFERROR(INDEX(Articles!$D:$D,MATCH(B1026,Articles!$B:$B,0)),0))</f>
        <v/>
      </c>
      <c r="I1026" s="9" t="str">
        <f>IF(OR(E1026="",H1026=""),"",E1026-H1026)</f>
        <v/>
      </c>
      <c r="J1026" s="4"/>
    </row>
    <row r="1027">
      <c r="A1027" s="7"/>
      <c r="B1027" s="4"/>
      <c r="C1027" s="6"/>
      <c r="D1027" s="5" t="str">
        <f>IF(B1027="","",IFERROR(INDEX(Articles!$E:$E,MATCH(B1027,Articles!$B:$B,0)),""))</f>
        <v/>
      </c>
      <c r="E1027" s="9" t="str">
        <f>IF(OR(C1027="",D1027=""),"",C1027*D1027)</f>
        <v/>
      </c>
      <c r="F1027" s="4"/>
      <c r="G1027" s="4"/>
      <c r="H1027" s="9" t="str">
        <f>IF(OR(B1027="",C1027=""),"",C1027*IFERROR(INDEX(Articles!$D:$D,MATCH(B1027,Articles!$B:$B,0)),0))</f>
        <v/>
      </c>
      <c r="I1027" s="9" t="str">
        <f>IF(OR(E1027="",H1027=""),"",E1027-H1027)</f>
        <v/>
      </c>
      <c r="J1027" s="4"/>
    </row>
    <row r="1028">
      <c r="A1028" s="7"/>
      <c r="B1028" s="4"/>
      <c r="C1028" s="6"/>
      <c r="D1028" s="5" t="str">
        <f>IF(B1028="","",IFERROR(INDEX(Articles!$E:$E,MATCH(B1028,Articles!$B:$B,0)),""))</f>
        <v/>
      </c>
      <c r="E1028" s="9" t="str">
        <f>IF(OR(C1028="",D1028=""),"",C1028*D1028)</f>
        <v/>
      </c>
      <c r="F1028" s="4"/>
      <c r="G1028" s="4"/>
      <c r="H1028" s="9" t="str">
        <f>IF(OR(B1028="",C1028=""),"",C1028*IFERROR(INDEX(Articles!$D:$D,MATCH(B1028,Articles!$B:$B,0)),0))</f>
        <v/>
      </c>
      <c r="I1028" s="9" t="str">
        <f>IF(OR(E1028="",H1028=""),"",E1028-H1028)</f>
        <v/>
      </c>
      <c r="J1028" s="4"/>
    </row>
    <row r="1029">
      <c r="A1029" s="7"/>
      <c r="B1029" s="4"/>
      <c r="C1029" s="6"/>
      <c r="D1029" s="5" t="str">
        <f>IF(B1029="","",IFERROR(INDEX(Articles!$E:$E,MATCH(B1029,Articles!$B:$B,0)),""))</f>
        <v/>
      </c>
      <c r="E1029" s="9" t="str">
        <f>IF(OR(C1029="",D1029=""),"",C1029*D1029)</f>
        <v/>
      </c>
      <c r="F1029" s="4"/>
      <c r="G1029" s="4"/>
      <c r="H1029" s="9" t="str">
        <f>IF(OR(B1029="",C1029=""),"",C1029*IFERROR(INDEX(Articles!$D:$D,MATCH(B1029,Articles!$B:$B,0)),0))</f>
        <v/>
      </c>
      <c r="I1029" s="9" t="str">
        <f>IF(OR(E1029="",H1029=""),"",E1029-H1029)</f>
        <v/>
      </c>
      <c r="J1029" s="4"/>
    </row>
    <row r="1030">
      <c r="A1030" s="7"/>
      <c r="B1030" s="4"/>
      <c r="C1030" s="6"/>
      <c r="D1030" s="5" t="str">
        <f>IF(B1030="","",IFERROR(INDEX(Articles!$E:$E,MATCH(B1030,Articles!$B:$B,0)),""))</f>
        <v/>
      </c>
      <c r="E1030" s="9" t="str">
        <f>IF(OR(C1030="",D1030=""),"",C1030*D1030)</f>
        <v/>
      </c>
      <c r="F1030" s="4"/>
      <c r="G1030" s="4"/>
      <c r="H1030" s="9" t="str">
        <f>IF(OR(B1030="",C1030=""),"",C1030*IFERROR(INDEX(Articles!$D:$D,MATCH(B1030,Articles!$B:$B,0)),0))</f>
        <v/>
      </c>
      <c r="I1030" s="9" t="str">
        <f>IF(OR(E1030="",H1030=""),"",E1030-H1030)</f>
        <v/>
      </c>
      <c r="J1030" s="4"/>
    </row>
    <row r="1031">
      <c r="A1031" s="7"/>
      <c r="B1031" s="4"/>
      <c r="C1031" s="6"/>
      <c r="D1031" s="5" t="str">
        <f>IF(B1031="","",IFERROR(INDEX(Articles!$E:$E,MATCH(B1031,Articles!$B:$B,0)),""))</f>
        <v/>
      </c>
      <c r="E1031" s="9" t="str">
        <f>IF(OR(C1031="",D1031=""),"",C1031*D1031)</f>
        <v/>
      </c>
      <c r="F1031" s="4"/>
      <c r="G1031" s="4"/>
      <c r="H1031" s="9" t="str">
        <f>IF(OR(B1031="",C1031=""),"",C1031*IFERROR(INDEX(Articles!$D:$D,MATCH(B1031,Articles!$B:$B,0)),0))</f>
        <v/>
      </c>
      <c r="I1031" s="9" t="str">
        <f>IF(OR(E1031="",H1031=""),"",E1031-H1031)</f>
        <v/>
      </c>
      <c r="J1031" s="4"/>
    </row>
    <row r="1032">
      <c r="A1032" s="7"/>
      <c r="B1032" s="4"/>
      <c r="C1032" s="6"/>
      <c r="D1032" s="5" t="str">
        <f>IF(B1032="","",IFERROR(INDEX(Articles!$E:$E,MATCH(B1032,Articles!$B:$B,0)),""))</f>
        <v/>
      </c>
      <c r="E1032" s="9" t="str">
        <f>IF(OR(C1032="",D1032=""),"",C1032*D1032)</f>
        <v/>
      </c>
      <c r="F1032" s="4"/>
      <c r="G1032" s="4"/>
      <c r="H1032" s="9" t="str">
        <f>IF(OR(B1032="",C1032=""),"",C1032*IFERROR(INDEX(Articles!$D:$D,MATCH(B1032,Articles!$B:$B,0)),0))</f>
        <v/>
      </c>
      <c r="I1032" s="9" t="str">
        <f>IF(OR(E1032="",H1032=""),"",E1032-H1032)</f>
        <v/>
      </c>
      <c r="J1032" s="4"/>
    </row>
    <row r="1033">
      <c r="A1033" s="7"/>
      <c r="B1033" s="4"/>
      <c r="C1033" s="6"/>
      <c r="D1033" s="5" t="str">
        <f>IF(B1033="","",IFERROR(INDEX(Articles!$E:$E,MATCH(B1033,Articles!$B:$B,0)),""))</f>
        <v/>
      </c>
      <c r="E1033" s="9" t="str">
        <f>IF(OR(C1033="",D1033=""),"",C1033*D1033)</f>
        <v/>
      </c>
      <c r="F1033" s="4"/>
      <c r="G1033" s="4"/>
      <c r="H1033" s="9" t="str">
        <f>IF(OR(B1033="",C1033=""),"",C1033*IFERROR(INDEX(Articles!$D:$D,MATCH(B1033,Articles!$B:$B,0)),0))</f>
        <v/>
      </c>
      <c r="I1033" s="9" t="str">
        <f>IF(OR(E1033="",H1033=""),"",E1033-H1033)</f>
        <v/>
      </c>
      <c r="J1033" s="4"/>
    </row>
    <row r="1034">
      <c r="A1034" s="7"/>
      <c r="B1034" s="4"/>
      <c r="C1034" s="6"/>
      <c r="D1034" s="5" t="str">
        <f>IF(B1034="","",IFERROR(INDEX(Articles!$E:$E,MATCH(B1034,Articles!$B:$B,0)),""))</f>
        <v/>
      </c>
      <c r="E1034" s="9" t="str">
        <f>IF(OR(C1034="",D1034=""),"",C1034*D1034)</f>
        <v/>
      </c>
      <c r="F1034" s="4"/>
      <c r="G1034" s="4"/>
      <c r="H1034" s="9" t="str">
        <f>IF(OR(B1034="",C1034=""),"",C1034*IFERROR(INDEX(Articles!$D:$D,MATCH(B1034,Articles!$B:$B,0)),0))</f>
        <v/>
      </c>
      <c r="I1034" s="9" t="str">
        <f>IF(OR(E1034="",H1034=""),"",E1034-H1034)</f>
        <v/>
      </c>
      <c r="J1034" s="4"/>
    </row>
    <row r="1035">
      <c r="A1035" s="7"/>
      <c r="B1035" s="4"/>
      <c r="C1035" s="6"/>
      <c r="D1035" s="5" t="str">
        <f>IF(B1035="","",IFERROR(INDEX(Articles!$E:$E,MATCH(B1035,Articles!$B:$B,0)),""))</f>
        <v/>
      </c>
      <c r="E1035" s="9" t="str">
        <f>IF(OR(C1035="",D1035=""),"",C1035*D1035)</f>
        <v/>
      </c>
      <c r="F1035" s="4"/>
      <c r="G1035" s="4"/>
      <c r="H1035" s="9" t="str">
        <f>IF(OR(B1035="",C1035=""),"",C1035*IFERROR(INDEX(Articles!$D:$D,MATCH(B1035,Articles!$B:$B,0)),0))</f>
        <v/>
      </c>
      <c r="I1035" s="9" t="str">
        <f>IF(OR(E1035="",H1035=""),"",E1035-H1035)</f>
        <v/>
      </c>
      <c r="J1035" s="4"/>
    </row>
    <row r="1036">
      <c r="A1036" s="7"/>
      <c r="B1036" s="4"/>
      <c r="C1036" s="6"/>
      <c r="D1036" s="5" t="str">
        <f>IF(B1036="","",IFERROR(INDEX(Articles!$E:$E,MATCH(B1036,Articles!$B:$B,0)),""))</f>
        <v/>
      </c>
      <c r="E1036" s="9" t="str">
        <f>IF(OR(C1036="",D1036=""),"",C1036*D1036)</f>
        <v/>
      </c>
      <c r="F1036" s="4"/>
      <c r="G1036" s="4"/>
      <c r="H1036" s="9" t="str">
        <f>IF(OR(B1036="",C1036=""),"",C1036*IFERROR(INDEX(Articles!$D:$D,MATCH(B1036,Articles!$B:$B,0)),0))</f>
        <v/>
      </c>
      <c r="I1036" s="9" t="str">
        <f>IF(OR(E1036="",H1036=""),"",E1036-H1036)</f>
        <v/>
      </c>
      <c r="J1036" s="4"/>
    </row>
    <row r="1037">
      <c r="A1037" s="7"/>
      <c r="B1037" s="4"/>
      <c r="C1037" s="6"/>
      <c r="D1037" s="5" t="str">
        <f>IF(B1037="","",IFERROR(INDEX(Articles!$E:$E,MATCH(B1037,Articles!$B:$B,0)),""))</f>
        <v/>
      </c>
      <c r="E1037" s="9" t="str">
        <f>IF(OR(C1037="",D1037=""),"",C1037*D1037)</f>
        <v/>
      </c>
      <c r="F1037" s="4"/>
      <c r="G1037" s="4"/>
      <c r="H1037" s="9" t="str">
        <f>IF(OR(B1037="",C1037=""),"",C1037*IFERROR(INDEX(Articles!$D:$D,MATCH(B1037,Articles!$B:$B,0)),0))</f>
        <v/>
      </c>
      <c r="I1037" s="9" t="str">
        <f>IF(OR(E1037="",H1037=""),"",E1037-H1037)</f>
        <v/>
      </c>
      <c r="J1037" s="4"/>
    </row>
    <row r="1038">
      <c r="A1038" s="7"/>
      <c r="B1038" s="4"/>
      <c r="C1038" s="6"/>
      <c r="D1038" s="5" t="str">
        <f>IF(B1038="","",IFERROR(INDEX(Articles!$E:$E,MATCH(B1038,Articles!$B:$B,0)),""))</f>
        <v/>
      </c>
      <c r="E1038" s="9" t="str">
        <f>IF(OR(C1038="",D1038=""),"",C1038*D1038)</f>
        <v/>
      </c>
      <c r="F1038" s="4"/>
      <c r="G1038" s="4"/>
      <c r="H1038" s="9" t="str">
        <f>IF(OR(B1038="",C1038=""),"",C1038*IFERROR(INDEX(Articles!$D:$D,MATCH(B1038,Articles!$B:$B,0)),0))</f>
        <v/>
      </c>
      <c r="I1038" s="9" t="str">
        <f>IF(OR(E1038="",H1038=""),"",E1038-H1038)</f>
        <v/>
      </c>
      <c r="J1038" s="4"/>
    </row>
    <row r="1039">
      <c r="A1039" s="7"/>
      <c r="B1039" s="4"/>
      <c r="C1039" s="6"/>
      <c r="D1039" s="5" t="str">
        <f>IF(B1039="","",IFERROR(INDEX(Articles!$E:$E,MATCH(B1039,Articles!$B:$B,0)),""))</f>
        <v/>
      </c>
      <c r="E1039" s="9" t="str">
        <f>IF(OR(C1039="",D1039=""),"",C1039*D1039)</f>
        <v/>
      </c>
      <c r="F1039" s="4"/>
      <c r="G1039" s="4"/>
      <c r="H1039" s="9" t="str">
        <f>IF(OR(B1039="",C1039=""),"",C1039*IFERROR(INDEX(Articles!$D:$D,MATCH(B1039,Articles!$B:$B,0)),0))</f>
        <v/>
      </c>
      <c r="I1039" s="9" t="str">
        <f>IF(OR(E1039="",H1039=""),"",E1039-H1039)</f>
        <v/>
      </c>
      <c r="J1039" s="4"/>
    </row>
    <row r="1040">
      <c r="A1040" s="7"/>
      <c r="B1040" s="4"/>
      <c r="C1040" s="6"/>
      <c r="D1040" s="5" t="str">
        <f>IF(B1040="","",IFERROR(INDEX(Articles!$E:$E,MATCH(B1040,Articles!$B:$B,0)),""))</f>
        <v/>
      </c>
      <c r="E1040" s="9" t="str">
        <f>IF(OR(C1040="",D1040=""),"",C1040*D1040)</f>
        <v/>
      </c>
      <c r="F1040" s="4"/>
      <c r="G1040" s="4"/>
      <c r="H1040" s="9" t="str">
        <f>IF(OR(B1040="",C1040=""),"",C1040*IFERROR(INDEX(Articles!$D:$D,MATCH(B1040,Articles!$B:$B,0)),0))</f>
        <v/>
      </c>
      <c r="I1040" s="9" t="str">
        <f>IF(OR(E1040="",H1040=""),"",E1040-H1040)</f>
        <v/>
      </c>
      <c r="J1040" s="4"/>
    </row>
    <row r="1041">
      <c r="A1041" s="7"/>
      <c r="B1041" s="4"/>
      <c r="C1041" s="6"/>
      <c r="D1041" s="5" t="str">
        <f>IF(B1041="","",IFERROR(INDEX(Articles!$E:$E,MATCH(B1041,Articles!$B:$B,0)),""))</f>
        <v/>
      </c>
      <c r="E1041" s="9" t="str">
        <f>IF(OR(C1041="",D1041=""),"",C1041*D1041)</f>
        <v/>
      </c>
      <c r="F1041" s="4"/>
      <c r="G1041" s="4"/>
      <c r="H1041" s="9" t="str">
        <f>IF(OR(B1041="",C1041=""),"",C1041*IFERROR(INDEX(Articles!$D:$D,MATCH(B1041,Articles!$B:$B,0)),0))</f>
        <v/>
      </c>
      <c r="I1041" s="9" t="str">
        <f>IF(OR(E1041="",H1041=""),"",E1041-H1041)</f>
        <v/>
      </c>
      <c r="J1041" s="4"/>
    </row>
    <row r="1042">
      <c r="A1042" s="7"/>
      <c r="B1042" s="4"/>
      <c r="C1042" s="6"/>
      <c r="D1042" s="5" t="str">
        <f>IF(B1042="","",IFERROR(INDEX(Articles!$E:$E,MATCH(B1042,Articles!$B:$B,0)),""))</f>
        <v/>
      </c>
      <c r="E1042" s="9" t="str">
        <f>IF(OR(C1042="",D1042=""),"",C1042*D1042)</f>
        <v/>
      </c>
      <c r="F1042" s="4"/>
      <c r="G1042" s="4"/>
      <c r="H1042" s="9" t="str">
        <f>IF(OR(B1042="",C1042=""),"",C1042*IFERROR(INDEX(Articles!$D:$D,MATCH(B1042,Articles!$B:$B,0)),0))</f>
        <v/>
      </c>
      <c r="I1042" s="9" t="str">
        <f>IF(OR(E1042="",H1042=""),"",E1042-H1042)</f>
        <v/>
      </c>
      <c r="J1042" s="4"/>
    </row>
    <row r="1043">
      <c r="A1043" s="7"/>
      <c r="B1043" s="4"/>
      <c r="C1043" s="6"/>
      <c r="D1043" s="5" t="str">
        <f>IF(B1043="","",IFERROR(INDEX(Articles!$E:$E,MATCH(B1043,Articles!$B:$B,0)),""))</f>
        <v/>
      </c>
      <c r="E1043" s="9" t="str">
        <f>IF(OR(C1043="",D1043=""),"",C1043*D1043)</f>
        <v/>
      </c>
      <c r="F1043" s="4"/>
      <c r="G1043" s="4"/>
      <c r="H1043" s="9" t="str">
        <f>IF(OR(B1043="",C1043=""),"",C1043*IFERROR(INDEX(Articles!$D:$D,MATCH(B1043,Articles!$B:$B,0)),0))</f>
        <v/>
      </c>
      <c r="I1043" s="9" t="str">
        <f>IF(OR(E1043="",H1043=""),"",E1043-H1043)</f>
        <v/>
      </c>
      <c r="J1043" s="4"/>
    </row>
    <row r="1044">
      <c r="A1044" s="7"/>
      <c r="B1044" s="4"/>
      <c r="C1044" s="6"/>
      <c r="D1044" s="5" t="str">
        <f>IF(B1044="","",IFERROR(INDEX(Articles!$E:$E,MATCH(B1044,Articles!$B:$B,0)),""))</f>
        <v/>
      </c>
      <c r="E1044" s="9" t="str">
        <f>IF(OR(C1044="",D1044=""),"",C1044*D1044)</f>
        <v/>
      </c>
      <c r="F1044" s="4"/>
      <c r="G1044" s="4"/>
      <c r="H1044" s="9" t="str">
        <f>IF(OR(B1044="",C1044=""),"",C1044*IFERROR(INDEX(Articles!$D:$D,MATCH(B1044,Articles!$B:$B,0)),0))</f>
        <v/>
      </c>
      <c r="I1044" s="9" t="str">
        <f>IF(OR(E1044="",H1044=""),"",E1044-H1044)</f>
        <v/>
      </c>
      <c r="J1044" s="4"/>
    </row>
    <row r="1045">
      <c r="A1045" s="7"/>
      <c r="B1045" s="4"/>
      <c r="C1045" s="6"/>
      <c r="D1045" s="5" t="str">
        <f>IF(B1045="","",IFERROR(INDEX(Articles!$E:$E,MATCH(B1045,Articles!$B:$B,0)),""))</f>
        <v/>
      </c>
      <c r="E1045" s="9" t="str">
        <f>IF(OR(C1045="",D1045=""),"",C1045*D1045)</f>
        <v/>
      </c>
      <c r="F1045" s="4"/>
      <c r="G1045" s="4"/>
      <c r="H1045" s="9" t="str">
        <f>IF(OR(B1045="",C1045=""),"",C1045*IFERROR(INDEX(Articles!$D:$D,MATCH(B1045,Articles!$B:$B,0)),0))</f>
        <v/>
      </c>
      <c r="I1045" s="9" t="str">
        <f>IF(OR(E1045="",H1045=""),"",E1045-H1045)</f>
        <v/>
      </c>
      <c r="J1045" s="4"/>
    </row>
    <row r="1046">
      <c r="A1046" s="7"/>
      <c r="B1046" s="4"/>
      <c r="C1046" s="6"/>
      <c r="D1046" s="5" t="str">
        <f>IF(B1046="","",IFERROR(INDEX(Articles!$E:$E,MATCH(B1046,Articles!$B:$B,0)),""))</f>
        <v/>
      </c>
      <c r="E1046" s="9" t="str">
        <f>IF(OR(C1046="",D1046=""),"",C1046*D1046)</f>
        <v/>
      </c>
      <c r="F1046" s="4"/>
      <c r="G1046" s="4"/>
      <c r="H1046" s="9" t="str">
        <f>IF(OR(B1046="",C1046=""),"",C1046*IFERROR(INDEX(Articles!$D:$D,MATCH(B1046,Articles!$B:$B,0)),0))</f>
        <v/>
      </c>
      <c r="I1046" s="9" t="str">
        <f>IF(OR(E1046="",H1046=""),"",E1046-H1046)</f>
        <v/>
      </c>
      <c r="J1046" s="4"/>
    </row>
    <row r="1047">
      <c r="A1047" s="7"/>
      <c r="B1047" s="4"/>
      <c r="C1047" s="6"/>
      <c r="D1047" s="5" t="str">
        <f>IF(B1047="","",IFERROR(INDEX(Articles!$E:$E,MATCH(B1047,Articles!$B:$B,0)),""))</f>
        <v/>
      </c>
      <c r="E1047" s="9" t="str">
        <f>IF(OR(C1047="",D1047=""),"",C1047*D1047)</f>
        <v/>
      </c>
      <c r="F1047" s="4"/>
      <c r="G1047" s="4"/>
      <c r="H1047" s="9" t="str">
        <f>IF(OR(B1047="",C1047=""),"",C1047*IFERROR(INDEX(Articles!$D:$D,MATCH(B1047,Articles!$B:$B,0)),0))</f>
        <v/>
      </c>
      <c r="I1047" s="9" t="str">
        <f>IF(OR(E1047="",H1047=""),"",E1047-H1047)</f>
        <v/>
      </c>
      <c r="J1047" s="4"/>
    </row>
    <row r="1048">
      <c r="A1048" s="7"/>
      <c r="B1048" s="4"/>
      <c r="C1048" s="6"/>
      <c r="D1048" s="5" t="str">
        <f>IF(B1048="","",IFERROR(INDEX(Articles!$E:$E,MATCH(B1048,Articles!$B:$B,0)),""))</f>
        <v/>
      </c>
      <c r="E1048" s="9" t="str">
        <f>IF(OR(C1048="",D1048=""),"",C1048*D1048)</f>
        <v/>
      </c>
      <c r="F1048" s="4"/>
      <c r="G1048" s="4"/>
      <c r="H1048" s="9" t="str">
        <f>IF(OR(B1048="",C1048=""),"",C1048*IFERROR(INDEX(Articles!$D:$D,MATCH(B1048,Articles!$B:$B,0)),0))</f>
        <v/>
      </c>
      <c r="I1048" s="9" t="str">
        <f>IF(OR(E1048="",H1048=""),"",E1048-H1048)</f>
        <v/>
      </c>
      <c r="J1048" s="4"/>
    </row>
    <row r="1049">
      <c r="A1049" s="7"/>
      <c r="B1049" s="4"/>
      <c r="C1049" s="6"/>
      <c r="D1049" s="5" t="str">
        <f>IF(B1049="","",IFERROR(INDEX(Articles!$E:$E,MATCH(B1049,Articles!$B:$B,0)),""))</f>
        <v/>
      </c>
      <c r="E1049" s="9" t="str">
        <f>IF(OR(C1049="",D1049=""),"",C1049*D1049)</f>
        <v/>
      </c>
      <c r="F1049" s="4"/>
      <c r="G1049" s="4"/>
      <c r="H1049" s="9" t="str">
        <f>IF(OR(B1049="",C1049=""),"",C1049*IFERROR(INDEX(Articles!$D:$D,MATCH(B1049,Articles!$B:$B,0)),0))</f>
        <v/>
      </c>
      <c r="I1049" s="9" t="str">
        <f>IF(OR(E1049="",H1049=""),"",E1049-H1049)</f>
        <v/>
      </c>
      <c r="J1049" s="4"/>
    </row>
    <row r="1050">
      <c r="A1050" s="7"/>
      <c r="B1050" s="4"/>
      <c r="C1050" s="6"/>
      <c r="D1050" s="5" t="str">
        <f>IF(B1050="","",IFERROR(INDEX(Articles!$E:$E,MATCH(B1050,Articles!$B:$B,0)),""))</f>
        <v/>
      </c>
      <c r="E1050" s="9" t="str">
        <f>IF(OR(C1050="",D1050=""),"",C1050*D1050)</f>
        <v/>
      </c>
      <c r="F1050" s="4"/>
      <c r="G1050" s="4"/>
      <c r="H1050" s="9" t="str">
        <f>IF(OR(B1050="",C1050=""),"",C1050*IFERROR(INDEX(Articles!$D:$D,MATCH(B1050,Articles!$B:$B,0)),0))</f>
        <v/>
      </c>
      <c r="I1050" s="9" t="str">
        <f>IF(OR(E1050="",H1050=""),"",E1050-H1050)</f>
        <v/>
      </c>
      <c r="J1050" s="4"/>
    </row>
    <row r="1051">
      <c r="A1051" s="7"/>
      <c r="B1051" s="4"/>
      <c r="C1051" s="6"/>
      <c r="D1051" s="5" t="str">
        <f>IF(B1051="","",IFERROR(INDEX(Articles!$E:$E,MATCH(B1051,Articles!$B:$B,0)),""))</f>
        <v/>
      </c>
      <c r="E1051" s="9" t="str">
        <f>IF(OR(C1051="",D1051=""),"",C1051*D1051)</f>
        <v/>
      </c>
      <c r="F1051" s="4"/>
      <c r="G1051" s="4"/>
      <c r="H1051" s="9" t="str">
        <f>IF(OR(B1051="",C1051=""),"",C1051*IFERROR(INDEX(Articles!$D:$D,MATCH(B1051,Articles!$B:$B,0)),0))</f>
        <v/>
      </c>
      <c r="I1051" s="9" t="str">
        <f>IF(OR(E1051="",H1051=""),"",E1051-H1051)</f>
        <v/>
      </c>
      <c r="J1051" s="4"/>
    </row>
    <row r="1052">
      <c r="A1052" s="7"/>
      <c r="B1052" s="4"/>
      <c r="C1052" s="6"/>
      <c r="D1052" s="5" t="str">
        <f>IF(B1052="","",IFERROR(INDEX(Articles!$E:$E,MATCH(B1052,Articles!$B:$B,0)),""))</f>
        <v/>
      </c>
      <c r="E1052" s="9" t="str">
        <f>IF(OR(C1052="",D1052=""),"",C1052*D1052)</f>
        <v/>
      </c>
      <c r="F1052" s="4"/>
      <c r="G1052" s="4"/>
      <c r="H1052" s="9" t="str">
        <f>IF(OR(B1052="",C1052=""),"",C1052*IFERROR(INDEX(Articles!$D:$D,MATCH(B1052,Articles!$B:$B,0)),0))</f>
        <v/>
      </c>
      <c r="I1052" s="9" t="str">
        <f>IF(OR(E1052="",H1052=""),"",E1052-H1052)</f>
        <v/>
      </c>
      <c r="J1052" s="4"/>
    </row>
    <row r="1053">
      <c r="A1053" s="7"/>
      <c r="B1053" s="4"/>
      <c r="C1053" s="6"/>
      <c r="D1053" s="5" t="str">
        <f>IF(B1053="","",IFERROR(INDEX(Articles!$E:$E,MATCH(B1053,Articles!$B:$B,0)),""))</f>
        <v/>
      </c>
      <c r="E1053" s="9" t="str">
        <f>IF(OR(C1053="",D1053=""),"",C1053*D1053)</f>
        <v/>
      </c>
      <c r="F1053" s="4"/>
      <c r="G1053" s="4"/>
      <c r="H1053" s="9" t="str">
        <f>IF(OR(B1053="",C1053=""),"",C1053*IFERROR(INDEX(Articles!$D:$D,MATCH(B1053,Articles!$B:$B,0)),0))</f>
        <v/>
      </c>
      <c r="I1053" s="9" t="str">
        <f>IF(OR(E1053="",H1053=""),"",E1053-H1053)</f>
        <v/>
      </c>
      <c r="J1053" s="4"/>
    </row>
    <row r="1054">
      <c r="A1054" s="7"/>
      <c r="B1054" s="4"/>
      <c r="C1054" s="6"/>
      <c r="D1054" s="5" t="str">
        <f>IF(B1054="","",IFERROR(INDEX(Articles!$E:$E,MATCH(B1054,Articles!$B:$B,0)),""))</f>
        <v/>
      </c>
      <c r="E1054" s="9" t="str">
        <f>IF(OR(C1054="",D1054=""),"",C1054*D1054)</f>
        <v/>
      </c>
      <c r="F1054" s="4"/>
      <c r="G1054" s="4"/>
      <c r="H1054" s="9" t="str">
        <f>IF(OR(B1054="",C1054=""),"",C1054*IFERROR(INDEX(Articles!$D:$D,MATCH(B1054,Articles!$B:$B,0)),0))</f>
        <v/>
      </c>
      <c r="I1054" s="9" t="str">
        <f>IF(OR(E1054="",H1054=""),"",E1054-H1054)</f>
        <v/>
      </c>
      <c r="J1054" s="4"/>
    </row>
    <row r="1055">
      <c r="A1055" s="7"/>
      <c r="B1055" s="4"/>
      <c r="C1055" s="6"/>
      <c r="D1055" s="5" t="str">
        <f>IF(B1055="","",IFERROR(INDEX(Articles!$E:$E,MATCH(B1055,Articles!$B:$B,0)),""))</f>
        <v/>
      </c>
      <c r="E1055" s="9" t="str">
        <f>IF(OR(C1055="",D1055=""),"",C1055*D1055)</f>
        <v/>
      </c>
      <c r="F1055" s="4"/>
      <c r="G1055" s="4"/>
      <c r="H1055" s="9" t="str">
        <f>IF(OR(B1055="",C1055=""),"",C1055*IFERROR(INDEX(Articles!$D:$D,MATCH(B1055,Articles!$B:$B,0)),0))</f>
        <v/>
      </c>
      <c r="I1055" s="9" t="str">
        <f>IF(OR(E1055="",H1055=""),"",E1055-H1055)</f>
        <v/>
      </c>
      <c r="J1055" s="4"/>
    </row>
    <row r="1056">
      <c r="A1056" s="7"/>
      <c r="B1056" s="4"/>
      <c r="C1056" s="6"/>
      <c r="D1056" s="5" t="str">
        <f>IF(B1056="","",IFERROR(INDEX(Articles!$E:$E,MATCH(B1056,Articles!$B:$B,0)),""))</f>
        <v/>
      </c>
      <c r="E1056" s="9" t="str">
        <f>IF(OR(C1056="",D1056=""),"",C1056*D1056)</f>
        <v/>
      </c>
      <c r="F1056" s="4"/>
      <c r="G1056" s="4"/>
      <c r="H1056" s="9" t="str">
        <f>IF(OR(B1056="",C1056=""),"",C1056*IFERROR(INDEX(Articles!$D:$D,MATCH(B1056,Articles!$B:$B,0)),0))</f>
        <v/>
      </c>
      <c r="I1056" s="9" t="str">
        <f>IF(OR(E1056="",H1056=""),"",E1056-H1056)</f>
        <v/>
      </c>
      <c r="J1056" s="4"/>
    </row>
    <row r="1057">
      <c r="A1057" s="7"/>
      <c r="B1057" s="4"/>
      <c r="C1057" s="6"/>
      <c r="D1057" s="5" t="str">
        <f>IF(B1057="","",IFERROR(INDEX(Articles!$E:$E,MATCH(B1057,Articles!$B:$B,0)),""))</f>
        <v/>
      </c>
      <c r="E1057" s="9" t="str">
        <f>IF(OR(C1057="",D1057=""),"",C1057*D1057)</f>
        <v/>
      </c>
      <c r="F1057" s="4"/>
      <c r="G1057" s="4"/>
      <c r="H1057" s="9" t="str">
        <f>IF(OR(B1057="",C1057=""),"",C1057*IFERROR(INDEX(Articles!$D:$D,MATCH(B1057,Articles!$B:$B,0)),0))</f>
        <v/>
      </c>
      <c r="I1057" s="9" t="str">
        <f>IF(OR(E1057="",H1057=""),"",E1057-H1057)</f>
        <v/>
      </c>
      <c r="J1057" s="4"/>
    </row>
    <row r="1058">
      <c r="A1058" s="7"/>
      <c r="B1058" s="4"/>
      <c r="C1058" s="6"/>
      <c r="D1058" s="5" t="str">
        <f>IF(B1058="","",IFERROR(INDEX(Articles!$E:$E,MATCH(B1058,Articles!$B:$B,0)),""))</f>
        <v/>
      </c>
      <c r="E1058" s="9" t="str">
        <f>IF(OR(C1058="",D1058=""),"",C1058*D1058)</f>
        <v/>
      </c>
      <c r="F1058" s="4"/>
      <c r="G1058" s="4"/>
      <c r="H1058" s="9" t="str">
        <f>IF(OR(B1058="",C1058=""),"",C1058*IFERROR(INDEX(Articles!$D:$D,MATCH(B1058,Articles!$B:$B,0)),0))</f>
        <v/>
      </c>
      <c r="I1058" s="9" t="str">
        <f>IF(OR(E1058="",H1058=""),"",E1058-H1058)</f>
        <v/>
      </c>
      <c r="J1058" s="4"/>
    </row>
    <row r="1059">
      <c r="A1059" s="7"/>
      <c r="B1059" s="4"/>
      <c r="C1059" s="6"/>
      <c r="D1059" s="5" t="str">
        <f>IF(B1059="","",IFERROR(INDEX(Articles!$E:$E,MATCH(B1059,Articles!$B:$B,0)),""))</f>
        <v/>
      </c>
      <c r="E1059" s="9" t="str">
        <f>IF(OR(C1059="",D1059=""),"",C1059*D1059)</f>
        <v/>
      </c>
      <c r="F1059" s="4"/>
      <c r="G1059" s="4"/>
      <c r="H1059" s="9" t="str">
        <f>IF(OR(B1059="",C1059=""),"",C1059*IFERROR(INDEX(Articles!$D:$D,MATCH(B1059,Articles!$B:$B,0)),0))</f>
        <v/>
      </c>
      <c r="I1059" s="9" t="str">
        <f>IF(OR(E1059="",H1059=""),"",E1059-H1059)</f>
        <v/>
      </c>
      <c r="J1059" s="4"/>
    </row>
    <row r="1060">
      <c r="A1060" s="7"/>
      <c r="B1060" s="4"/>
      <c r="C1060" s="6"/>
      <c r="D1060" s="5" t="str">
        <f>IF(B1060="","",IFERROR(INDEX(Articles!$E:$E,MATCH(B1060,Articles!$B:$B,0)),""))</f>
        <v/>
      </c>
      <c r="E1060" s="9" t="str">
        <f>IF(OR(C1060="",D1060=""),"",C1060*D1060)</f>
        <v/>
      </c>
      <c r="F1060" s="4"/>
      <c r="G1060" s="4"/>
      <c r="H1060" s="9" t="str">
        <f>IF(OR(B1060="",C1060=""),"",C1060*IFERROR(INDEX(Articles!$D:$D,MATCH(B1060,Articles!$B:$B,0)),0))</f>
        <v/>
      </c>
      <c r="I1060" s="9" t="str">
        <f>IF(OR(E1060="",H1060=""),"",E1060-H1060)</f>
        <v/>
      </c>
      <c r="J1060" s="4"/>
    </row>
    <row r="1061">
      <c r="A1061" s="7"/>
      <c r="B1061" s="4"/>
      <c r="C1061" s="6"/>
      <c r="D1061" s="5" t="str">
        <f>IF(B1061="","",IFERROR(INDEX(Articles!$E:$E,MATCH(B1061,Articles!$B:$B,0)),""))</f>
        <v/>
      </c>
      <c r="E1061" s="9" t="str">
        <f>IF(OR(C1061="",D1061=""),"",C1061*D1061)</f>
        <v/>
      </c>
      <c r="F1061" s="4"/>
      <c r="G1061" s="4"/>
      <c r="H1061" s="9" t="str">
        <f>IF(OR(B1061="",C1061=""),"",C1061*IFERROR(INDEX(Articles!$D:$D,MATCH(B1061,Articles!$B:$B,0)),0))</f>
        <v/>
      </c>
      <c r="I1061" s="9" t="str">
        <f>IF(OR(E1061="",H1061=""),"",E1061-H1061)</f>
        <v/>
      </c>
      <c r="J1061" s="4"/>
    </row>
    <row r="1062">
      <c r="A1062" s="7"/>
      <c r="B1062" s="4"/>
      <c r="C1062" s="6"/>
      <c r="D1062" s="5" t="str">
        <f>IF(B1062="","",IFERROR(INDEX(Articles!$E:$E,MATCH(B1062,Articles!$B:$B,0)),""))</f>
        <v/>
      </c>
      <c r="E1062" s="9" t="str">
        <f>IF(OR(C1062="",D1062=""),"",C1062*D1062)</f>
        <v/>
      </c>
      <c r="F1062" s="4"/>
      <c r="G1062" s="4"/>
      <c r="H1062" s="9" t="str">
        <f>IF(OR(B1062="",C1062=""),"",C1062*IFERROR(INDEX(Articles!$D:$D,MATCH(B1062,Articles!$B:$B,0)),0))</f>
        <v/>
      </c>
      <c r="I1062" s="9" t="str">
        <f>IF(OR(E1062="",H1062=""),"",E1062-H1062)</f>
        <v/>
      </c>
      <c r="J1062" s="4"/>
    </row>
    <row r="1063">
      <c r="A1063" s="7"/>
      <c r="B1063" s="4"/>
      <c r="C1063" s="6"/>
      <c r="D1063" s="5" t="str">
        <f>IF(B1063="","",IFERROR(INDEX(Articles!$E:$E,MATCH(B1063,Articles!$B:$B,0)),""))</f>
        <v/>
      </c>
      <c r="E1063" s="9" t="str">
        <f>IF(OR(C1063="",D1063=""),"",C1063*D1063)</f>
        <v/>
      </c>
      <c r="F1063" s="4"/>
      <c r="G1063" s="4"/>
      <c r="H1063" s="9" t="str">
        <f>IF(OR(B1063="",C1063=""),"",C1063*IFERROR(INDEX(Articles!$D:$D,MATCH(B1063,Articles!$B:$B,0)),0))</f>
        <v/>
      </c>
      <c r="I1063" s="9" t="str">
        <f>IF(OR(E1063="",H1063=""),"",E1063-H1063)</f>
        <v/>
      </c>
      <c r="J1063" s="4"/>
    </row>
    <row r="1064">
      <c r="A1064" s="7"/>
      <c r="B1064" s="4"/>
      <c r="C1064" s="6"/>
      <c r="D1064" s="5" t="str">
        <f>IF(B1064="","",IFERROR(INDEX(Articles!$E:$E,MATCH(B1064,Articles!$B:$B,0)),""))</f>
        <v/>
      </c>
      <c r="E1064" s="9" t="str">
        <f>IF(OR(C1064="",D1064=""),"",C1064*D1064)</f>
        <v/>
      </c>
      <c r="F1064" s="4"/>
      <c r="G1064" s="4"/>
      <c r="H1064" s="9" t="str">
        <f>IF(OR(B1064="",C1064=""),"",C1064*IFERROR(INDEX(Articles!$D:$D,MATCH(B1064,Articles!$B:$B,0)),0))</f>
        <v/>
      </c>
      <c r="I1064" s="9" t="str">
        <f>IF(OR(E1064="",H1064=""),"",E1064-H1064)</f>
        <v/>
      </c>
      <c r="J1064" s="4"/>
    </row>
    <row r="1065">
      <c r="A1065" s="7"/>
      <c r="B1065" s="4"/>
      <c r="C1065" s="6"/>
      <c r="D1065" s="5" t="str">
        <f>IF(B1065="","",IFERROR(INDEX(Articles!$E:$E,MATCH(B1065,Articles!$B:$B,0)),""))</f>
        <v/>
      </c>
      <c r="E1065" s="9" t="str">
        <f>IF(OR(C1065="",D1065=""),"",C1065*D1065)</f>
        <v/>
      </c>
      <c r="F1065" s="4"/>
      <c r="G1065" s="4"/>
      <c r="H1065" s="9" t="str">
        <f>IF(OR(B1065="",C1065=""),"",C1065*IFERROR(INDEX(Articles!$D:$D,MATCH(B1065,Articles!$B:$B,0)),0))</f>
        <v/>
      </c>
      <c r="I1065" s="9" t="str">
        <f>IF(OR(E1065="",H1065=""),"",E1065-H1065)</f>
        <v/>
      </c>
      <c r="J1065" s="4"/>
    </row>
    <row r="1066">
      <c r="A1066" s="7"/>
      <c r="B1066" s="4"/>
      <c r="C1066" s="6"/>
      <c r="D1066" s="5" t="str">
        <f>IF(B1066="","",IFERROR(INDEX(Articles!$E:$E,MATCH(B1066,Articles!$B:$B,0)),""))</f>
        <v/>
      </c>
      <c r="E1066" s="9" t="str">
        <f>IF(OR(C1066="",D1066=""),"",C1066*D1066)</f>
        <v/>
      </c>
      <c r="F1066" s="4"/>
      <c r="G1066" s="4"/>
      <c r="H1066" s="9" t="str">
        <f>IF(OR(B1066="",C1066=""),"",C1066*IFERROR(INDEX(Articles!$D:$D,MATCH(B1066,Articles!$B:$B,0)),0))</f>
        <v/>
      </c>
      <c r="I1066" s="9" t="str">
        <f>IF(OR(E1066="",H1066=""),"",E1066-H1066)</f>
        <v/>
      </c>
      <c r="J1066" s="4"/>
    </row>
    <row r="1067">
      <c r="A1067" s="7"/>
      <c r="B1067" s="4"/>
      <c r="C1067" s="6"/>
      <c r="D1067" s="5" t="str">
        <f>IF(B1067="","",IFERROR(INDEX(Articles!$E:$E,MATCH(B1067,Articles!$B:$B,0)),""))</f>
        <v/>
      </c>
      <c r="E1067" s="9" t="str">
        <f>IF(OR(C1067="",D1067=""),"",C1067*D1067)</f>
        <v/>
      </c>
      <c r="F1067" s="4"/>
      <c r="G1067" s="4"/>
      <c r="H1067" s="9" t="str">
        <f>IF(OR(B1067="",C1067=""),"",C1067*IFERROR(INDEX(Articles!$D:$D,MATCH(B1067,Articles!$B:$B,0)),0))</f>
        <v/>
      </c>
      <c r="I1067" s="9" t="str">
        <f>IF(OR(E1067="",H1067=""),"",E1067-H1067)</f>
        <v/>
      </c>
      <c r="J1067" s="4"/>
    </row>
    <row r="1068">
      <c r="A1068" s="7"/>
      <c r="B1068" s="4"/>
      <c r="C1068" s="6"/>
      <c r="D1068" s="5" t="str">
        <f>IF(B1068="","",IFERROR(INDEX(Articles!$E:$E,MATCH(B1068,Articles!$B:$B,0)),""))</f>
        <v/>
      </c>
      <c r="E1068" s="9" t="str">
        <f>IF(OR(C1068="",D1068=""),"",C1068*D1068)</f>
        <v/>
      </c>
      <c r="F1068" s="4"/>
      <c r="G1068" s="4"/>
      <c r="H1068" s="9" t="str">
        <f>IF(OR(B1068="",C1068=""),"",C1068*IFERROR(INDEX(Articles!$D:$D,MATCH(B1068,Articles!$B:$B,0)),0))</f>
        <v/>
      </c>
      <c r="I1068" s="9" t="str">
        <f>IF(OR(E1068="",H1068=""),"",E1068-H1068)</f>
        <v/>
      </c>
      <c r="J1068" s="4"/>
    </row>
    <row r="1069">
      <c r="A1069" s="7"/>
      <c r="B1069" s="4"/>
      <c r="C1069" s="6"/>
      <c r="D1069" s="5" t="str">
        <f>IF(B1069="","",IFERROR(INDEX(Articles!$E:$E,MATCH(B1069,Articles!$B:$B,0)),""))</f>
        <v/>
      </c>
      <c r="E1069" s="9" t="str">
        <f>IF(OR(C1069="",D1069=""),"",C1069*D1069)</f>
        <v/>
      </c>
      <c r="F1069" s="4"/>
      <c r="G1069" s="4"/>
      <c r="H1069" s="9" t="str">
        <f>IF(OR(B1069="",C1069=""),"",C1069*IFERROR(INDEX(Articles!$D:$D,MATCH(B1069,Articles!$B:$B,0)),0))</f>
        <v/>
      </c>
      <c r="I1069" s="9" t="str">
        <f>IF(OR(E1069="",H1069=""),"",E1069-H1069)</f>
        <v/>
      </c>
      <c r="J1069" s="4"/>
    </row>
    <row r="1070">
      <c r="A1070" s="7"/>
      <c r="B1070" s="4"/>
      <c r="C1070" s="6"/>
      <c r="D1070" s="5" t="str">
        <f>IF(B1070="","",IFERROR(INDEX(Articles!$E:$E,MATCH(B1070,Articles!$B:$B,0)),""))</f>
        <v/>
      </c>
      <c r="E1070" s="9" t="str">
        <f>IF(OR(C1070="",D1070=""),"",C1070*D1070)</f>
        <v/>
      </c>
      <c r="F1070" s="4"/>
      <c r="G1070" s="4"/>
      <c r="H1070" s="9" t="str">
        <f>IF(OR(B1070="",C1070=""),"",C1070*IFERROR(INDEX(Articles!$D:$D,MATCH(B1070,Articles!$B:$B,0)),0))</f>
        <v/>
      </c>
      <c r="I1070" s="9" t="str">
        <f>IF(OR(E1070="",H1070=""),"",E1070-H1070)</f>
        <v/>
      </c>
      <c r="J1070" s="4"/>
    </row>
    <row r="1071">
      <c r="A1071" s="7"/>
      <c r="B1071" s="4"/>
      <c r="C1071" s="6"/>
      <c r="D1071" s="5" t="str">
        <f>IF(B1071="","",IFERROR(INDEX(Articles!$E:$E,MATCH(B1071,Articles!$B:$B,0)),""))</f>
        <v/>
      </c>
      <c r="E1071" s="9" t="str">
        <f>IF(OR(C1071="",D1071=""),"",C1071*D1071)</f>
        <v/>
      </c>
      <c r="F1071" s="4"/>
      <c r="G1071" s="4"/>
      <c r="H1071" s="9" t="str">
        <f>IF(OR(B1071="",C1071=""),"",C1071*IFERROR(INDEX(Articles!$D:$D,MATCH(B1071,Articles!$B:$B,0)),0))</f>
        <v/>
      </c>
      <c r="I1071" s="9" t="str">
        <f>IF(OR(E1071="",H1071=""),"",E1071-H1071)</f>
        <v/>
      </c>
      <c r="J1071" s="4"/>
    </row>
    <row r="1072">
      <c r="A1072" s="7"/>
      <c r="B1072" s="4"/>
      <c r="C1072" s="6"/>
      <c r="D1072" s="5" t="str">
        <f>IF(B1072="","",IFERROR(INDEX(Articles!$E:$E,MATCH(B1072,Articles!$B:$B,0)),""))</f>
        <v/>
      </c>
      <c r="E1072" s="9" t="str">
        <f>IF(OR(C1072="",D1072=""),"",C1072*D1072)</f>
        <v/>
      </c>
      <c r="F1072" s="4"/>
      <c r="G1072" s="4"/>
      <c r="H1072" s="9" t="str">
        <f>IF(OR(B1072="",C1072=""),"",C1072*IFERROR(INDEX(Articles!$D:$D,MATCH(B1072,Articles!$B:$B,0)),0))</f>
        <v/>
      </c>
      <c r="I1072" s="9" t="str">
        <f>IF(OR(E1072="",H1072=""),"",E1072-H1072)</f>
        <v/>
      </c>
      <c r="J1072" s="4"/>
    </row>
    <row r="1073">
      <c r="A1073" s="7"/>
      <c r="B1073" s="4"/>
      <c r="C1073" s="6"/>
      <c r="D1073" s="5" t="str">
        <f>IF(B1073="","",IFERROR(INDEX(Articles!$E:$E,MATCH(B1073,Articles!$B:$B,0)),""))</f>
        <v/>
      </c>
      <c r="E1073" s="9" t="str">
        <f>IF(OR(C1073="",D1073=""),"",C1073*D1073)</f>
        <v/>
      </c>
      <c r="F1073" s="4"/>
      <c r="G1073" s="4"/>
      <c r="H1073" s="9" t="str">
        <f>IF(OR(B1073="",C1073=""),"",C1073*IFERROR(INDEX(Articles!$D:$D,MATCH(B1073,Articles!$B:$B,0)),0))</f>
        <v/>
      </c>
      <c r="I1073" s="9" t="str">
        <f>IF(OR(E1073="",H1073=""),"",E1073-H1073)</f>
        <v/>
      </c>
      <c r="J1073" s="4"/>
    </row>
    <row r="1074">
      <c r="A1074" s="7"/>
      <c r="B1074" s="4"/>
      <c r="C1074" s="6"/>
      <c r="D1074" s="5" t="str">
        <f>IF(B1074="","",IFERROR(INDEX(Articles!$E:$E,MATCH(B1074,Articles!$B:$B,0)),""))</f>
        <v/>
      </c>
      <c r="E1074" s="9" t="str">
        <f>IF(OR(C1074="",D1074=""),"",C1074*D1074)</f>
        <v/>
      </c>
      <c r="F1074" s="4"/>
      <c r="G1074" s="4"/>
      <c r="H1074" s="9" t="str">
        <f>IF(OR(B1074="",C1074=""),"",C1074*IFERROR(INDEX(Articles!$D:$D,MATCH(B1074,Articles!$B:$B,0)),0))</f>
        <v/>
      </c>
      <c r="I1074" s="9" t="str">
        <f>IF(OR(E1074="",H1074=""),"",E1074-H1074)</f>
        <v/>
      </c>
      <c r="J1074" s="4"/>
    </row>
    <row r="1075">
      <c r="A1075" s="7"/>
      <c r="B1075" s="4"/>
      <c r="C1075" s="6"/>
      <c r="D1075" s="5" t="str">
        <f>IF(B1075="","",IFERROR(INDEX(Articles!$E:$E,MATCH(B1075,Articles!$B:$B,0)),""))</f>
        <v/>
      </c>
      <c r="E1075" s="9" t="str">
        <f>IF(OR(C1075="",D1075=""),"",C1075*D1075)</f>
        <v/>
      </c>
      <c r="F1075" s="4"/>
      <c r="G1075" s="4"/>
      <c r="H1075" s="9" t="str">
        <f>IF(OR(B1075="",C1075=""),"",C1075*IFERROR(INDEX(Articles!$D:$D,MATCH(B1075,Articles!$B:$B,0)),0))</f>
        <v/>
      </c>
      <c r="I1075" s="9" t="str">
        <f>IF(OR(E1075="",H1075=""),"",E1075-H1075)</f>
        <v/>
      </c>
      <c r="J1075" s="4"/>
    </row>
    <row r="1076">
      <c r="A1076" s="7"/>
      <c r="B1076" s="4"/>
      <c r="C1076" s="6"/>
      <c r="D1076" s="5" t="str">
        <f>IF(B1076="","",IFERROR(INDEX(Articles!$E:$E,MATCH(B1076,Articles!$B:$B,0)),""))</f>
        <v/>
      </c>
      <c r="E1076" s="9" t="str">
        <f>IF(OR(C1076="",D1076=""),"",C1076*D1076)</f>
        <v/>
      </c>
      <c r="F1076" s="4"/>
      <c r="G1076" s="4"/>
      <c r="H1076" s="9" t="str">
        <f>IF(OR(B1076="",C1076=""),"",C1076*IFERROR(INDEX(Articles!$D:$D,MATCH(B1076,Articles!$B:$B,0)),0))</f>
        <v/>
      </c>
      <c r="I1076" s="9" t="str">
        <f>IF(OR(E1076="",H1076=""),"",E1076-H1076)</f>
        <v/>
      </c>
      <c r="J1076" s="4"/>
    </row>
    <row r="1077">
      <c r="A1077" s="7"/>
      <c r="B1077" s="4"/>
      <c r="C1077" s="6"/>
      <c r="D1077" s="5" t="str">
        <f>IF(B1077="","",IFERROR(INDEX(Articles!$E:$E,MATCH(B1077,Articles!$B:$B,0)),""))</f>
        <v/>
      </c>
      <c r="E1077" s="9" t="str">
        <f>IF(OR(C1077="",D1077=""),"",C1077*D1077)</f>
        <v/>
      </c>
      <c r="F1077" s="4"/>
      <c r="G1077" s="4"/>
      <c r="H1077" s="9" t="str">
        <f>IF(OR(B1077="",C1077=""),"",C1077*IFERROR(INDEX(Articles!$D:$D,MATCH(B1077,Articles!$B:$B,0)),0))</f>
        <v/>
      </c>
      <c r="I1077" s="9" t="str">
        <f>IF(OR(E1077="",H1077=""),"",E1077-H1077)</f>
        <v/>
      </c>
      <c r="J1077" s="4"/>
    </row>
    <row r="1078">
      <c r="A1078" s="7"/>
      <c r="B1078" s="4"/>
      <c r="C1078" s="6"/>
      <c r="D1078" s="5" t="str">
        <f>IF(B1078="","",IFERROR(INDEX(Articles!$E:$E,MATCH(B1078,Articles!$B:$B,0)),""))</f>
        <v/>
      </c>
      <c r="E1078" s="9" t="str">
        <f>IF(OR(C1078="",D1078=""),"",C1078*D1078)</f>
        <v/>
      </c>
      <c r="F1078" s="4"/>
      <c r="G1078" s="4"/>
      <c r="H1078" s="9" t="str">
        <f>IF(OR(B1078="",C1078=""),"",C1078*IFERROR(INDEX(Articles!$D:$D,MATCH(B1078,Articles!$B:$B,0)),0))</f>
        <v/>
      </c>
      <c r="I1078" s="9" t="str">
        <f>IF(OR(E1078="",H1078=""),"",E1078-H1078)</f>
        <v/>
      </c>
      <c r="J1078" s="4"/>
    </row>
    <row r="1079">
      <c r="A1079" s="7"/>
      <c r="B1079" s="4"/>
      <c r="C1079" s="6"/>
      <c r="D1079" s="5" t="str">
        <f>IF(B1079="","",IFERROR(INDEX(Articles!$E:$E,MATCH(B1079,Articles!$B:$B,0)),""))</f>
        <v/>
      </c>
      <c r="E1079" s="9" t="str">
        <f>IF(OR(C1079="",D1079=""),"",C1079*D1079)</f>
        <v/>
      </c>
      <c r="F1079" s="4"/>
      <c r="G1079" s="4"/>
      <c r="H1079" s="9" t="str">
        <f>IF(OR(B1079="",C1079=""),"",C1079*IFERROR(INDEX(Articles!$D:$D,MATCH(B1079,Articles!$B:$B,0)),0))</f>
        <v/>
      </c>
      <c r="I1079" s="9" t="str">
        <f>IF(OR(E1079="",H1079=""),"",E1079-H1079)</f>
        <v/>
      </c>
      <c r="J1079" s="4"/>
    </row>
    <row r="1080">
      <c r="A1080" s="7"/>
      <c r="B1080" s="4"/>
      <c r="C1080" s="6"/>
      <c r="D1080" s="5" t="str">
        <f>IF(B1080="","",IFERROR(INDEX(Articles!$E:$E,MATCH(B1080,Articles!$B:$B,0)),""))</f>
        <v/>
      </c>
      <c r="E1080" s="9" t="str">
        <f>IF(OR(C1080="",D1080=""),"",C1080*D1080)</f>
        <v/>
      </c>
      <c r="F1080" s="4"/>
      <c r="G1080" s="4"/>
      <c r="H1080" s="9" t="str">
        <f>IF(OR(B1080="",C1080=""),"",C1080*IFERROR(INDEX(Articles!$D:$D,MATCH(B1080,Articles!$B:$B,0)),0))</f>
        <v/>
      </c>
      <c r="I1080" s="9" t="str">
        <f>IF(OR(E1080="",H1080=""),"",E1080-H1080)</f>
        <v/>
      </c>
      <c r="J1080" s="4"/>
    </row>
    <row r="1081">
      <c r="A1081" s="7"/>
      <c r="B1081" s="4"/>
      <c r="C1081" s="6"/>
      <c r="D1081" s="5" t="str">
        <f>IF(B1081="","",IFERROR(INDEX(Articles!$E:$E,MATCH(B1081,Articles!$B:$B,0)),""))</f>
        <v/>
      </c>
      <c r="E1081" s="9" t="str">
        <f>IF(OR(C1081="",D1081=""),"",C1081*D1081)</f>
        <v/>
      </c>
      <c r="F1081" s="4"/>
      <c r="G1081" s="4"/>
      <c r="H1081" s="9" t="str">
        <f>IF(OR(B1081="",C1081=""),"",C1081*IFERROR(INDEX(Articles!$D:$D,MATCH(B1081,Articles!$B:$B,0)),0))</f>
        <v/>
      </c>
      <c r="I1081" s="9" t="str">
        <f>IF(OR(E1081="",H1081=""),"",E1081-H1081)</f>
        <v/>
      </c>
      <c r="J1081" s="4"/>
    </row>
    <row r="1082">
      <c r="A1082" s="7"/>
      <c r="B1082" s="4"/>
      <c r="C1082" s="6"/>
      <c r="D1082" s="5" t="str">
        <f>IF(B1082="","",IFERROR(INDEX(Articles!$E:$E,MATCH(B1082,Articles!$B:$B,0)),""))</f>
        <v/>
      </c>
      <c r="E1082" s="9" t="str">
        <f>IF(OR(C1082="",D1082=""),"",C1082*D1082)</f>
        <v/>
      </c>
      <c r="F1082" s="4"/>
      <c r="G1082" s="4"/>
      <c r="H1082" s="9" t="str">
        <f>IF(OR(B1082="",C1082=""),"",C1082*IFERROR(INDEX(Articles!$D:$D,MATCH(B1082,Articles!$B:$B,0)),0))</f>
        <v/>
      </c>
      <c r="I1082" s="9" t="str">
        <f>IF(OR(E1082="",H1082=""),"",E1082-H1082)</f>
        <v/>
      </c>
      <c r="J1082" s="4"/>
    </row>
    <row r="1083">
      <c r="A1083" s="7"/>
      <c r="B1083" s="4"/>
      <c r="C1083" s="6"/>
      <c r="D1083" s="5" t="str">
        <f>IF(B1083="","",IFERROR(INDEX(Articles!$E:$E,MATCH(B1083,Articles!$B:$B,0)),""))</f>
        <v/>
      </c>
      <c r="E1083" s="9" t="str">
        <f>IF(OR(C1083="",D1083=""),"",C1083*D1083)</f>
        <v/>
      </c>
      <c r="F1083" s="4"/>
      <c r="G1083" s="4"/>
      <c r="H1083" s="9" t="str">
        <f>IF(OR(B1083="",C1083=""),"",C1083*IFERROR(INDEX(Articles!$D:$D,MATCH(B1083,Articles!$B:$B,0)),0))</f>
        <v/>
      </c>
      <c r="I1083" s="9" t="str">
        <f>IF(OR(E1083="",H1083=""),"",E1083-H1083)</f>
        <v/>
      </c>
      <c r="J1083" s="4"/>
    </row>
    <row r="1084">
      <c r="A1084" s="7"/>
      <c r="B1084" s="4"/>
      <c r="C1084" s="6"/>
      <c r="D1084" s="5" t="str">
        <f>IF(B1084="","",IFERROR(INDEX(Articles!$E:$E,MATCH(B1084,Articles!$B:$B,0)),""))</f>
        <v/>
      </c>
      <c r="E1084" s="9" t="str">
        <f>IF(OR(C1084="",D1084=""),"",C1084*D1084)</f>
        <v/>
      </c>
      <c r="F1084" s="4"/>
      <c r="G1084" s="4"/>
      <c r="H1084" s="9" t="str">
        <f>IF(OR(B1084="",C1084=""),"",C1084*IFERROR(INDEX(Articles!$D:$D,MATCH(B1084,Articles!$B:$B,0)),0))</f>
        <v/>
      </c>
      <c r="I1084" s="9" t="str">
        <f>IF(OR(E1084="",H1084=""),"",E1084-H1084)</f>
        <v/>
      </c>
      <c r="J1084" s="4"/>
    </row>
    <row r="1085">
      <c r="A1085" s="7"/>
      <c r="B1085" s="4"/>
      <c r="C1085" s="6"/>
      <c r="D1085" s="5" t="str">
        <f>IF(B1085="","",IFERROR(INDEX(Articles!$E:$E,MATCH(B1085,Articles!$B:$B,0)),""))</f>
        <v/>
      </c>
      <c r="E1085" s="9" t="str">
        <f>IF(OR(C1085="",D1085=""),"",C1085*D1085)</f>
        <v/>
      </c>
      <c r="F1085" s="4"/>
      <c r="G1085" s="4"/>
      <c r="H1085" s="9" t="str">
        <f>IF(OR(B1085="",C1085=""),"",C1085*IFERROR(INDEX(Articles!$D:$D,MATCH(B1085,Articles!$B:$B,0)),0))</f>
        <v/>
      </c>
      <c r="I1085" s="9" t="str">
        <f>IF(OR(E1085="",H1085=""),"",E1085-H1085)</f>
        <v/>
      </c>
      <c r="J1085" s="4"/>
    </row>
    <row r="1086">
      <c r="A1086" s="7"/>
      <c r="B1086" s="4"/>
      <c r="C1086" s="6"/>
      <c r="D1086" s="5" t="str">
        <f>IF(B1086="","",IFERROR(INDEX(Articles!$E:$E,MATCH(B1086,Articles!$B:$B,0)),""))</f>
        <v/>
      </c>
      <c r="E1086" s="9" t="str">
        <f>IF(OR(C1086="",D1086=""),"",C1086*D1086)</f>
        <v/>
      </c>
      <c r="F1086" s="4"/>
      <c r="G1086" s="4"/>
      <c r="H1086" s="9" t="str">
        <f>IF(OR(B1086="",C1086=""),"",C1086*IFERROR(INDEX(Articles!$D:$D,MATCH(B1086,Articles!$B:$B,0)),0))</f>
        <v/>
      </c>
      <c r="I1086" s="9" t="str">
        <f>IF(OR(E1086="",H1086=""),"",E1086-H1086)</f>
        <v/>
      </c>
      <c r="J1086" s="4"/>
    </row>
    <row r="1087">
      <c r="A1087" s="7"/>
      <c r="B1087" s="4"/>
      <c r="C1087" s="6"/>
      <c r="D1087" s="5" t="str">
        <f>IF(B1087="","",IFERROR(INDEX(Articles!$E:$E,MATCH(B1087,Articles!$B:$B,0)),""))</f>
        <v/>
      </c>
      <c r="E1087" s="9" t="str">
        <f>IF(OR(C1087="",D1087=""),"",C1087*D1087)</f>
        <v/>
      </c>
      <c r="F1087" s="4"/>
      <c r="G1087" s="4"/>
      <c r="H1087" s="9" t="str">
        <f>IF(OR(B1087="",C1087=""),"",C1087*IFERROR(INDEX(Articles!$D:$D,MATCH(B1087,Articles!$B:$B,0)),0))</f>
        <v/>
      </c>
      <c r="I1087" s="9" t="str">
        <f>IF(OR(E1087="",H1087=""),"",E1087-H1087)</f>
        <v/>
      </c>
      <c r="J1087" s="4"/>
    </row>
    <row r="1088">
      <c r="A1088" s="7"/>
      <c r="B1088" s="4"/>
      <c r="C1088" s="6"/>
      <c r="D1088" s="5" t="str">
        <f>IF(B1088="","",IFERROR(INDEX(Articles!$E:$E,MATCH(B1088,Articles!$B:$B,0)),""))</f>
        <v/>
      </c>
      <c r="E1088" s="9" t="str">
        <f>IF(OR(C1088="",D1088=""),"",C1088*D1088)</f>
        <v/>
      </c>
      <c r="F1088" s="4"/>
      <c r="G1088" s="4"/>
      <c r="H1088" s="9" t="str">
        <f>IF(OR(B1088="",C1088=""),"",C1088*IFERROR(INDEX(Articles!$D:$D,MATCH(B1088,Articles!$B:$B,0)),0))</f>
        <v/>
      </c>
      <c r="I1088" s="9" t="str">
        <f>IF(OR(E1088="",H1088=""),"",E1088-H1088)</f>
        <v/>
      </c>
      <c r="J1088" s="4"/>
    </row>
    <row r="1089">
      <c r="A1089" s="7"/>
      <c r="B1089" s="4"/>
      <c r="C1089" s="6"/>
      <c r="D1089" s="5" t="str">
        <f>IF(B1089="","",IFERROR(INDEX(Articles!$E:$E,MATCH(B1089,Articles!$B:$B,0)),""))</f>
        <v/>
      </c>
      <c r="E1089" s="9" t="str">
        <f>IF(OR(C1089="",D1089=""),"",C1089*D1089)</f>
        <v/>
      </c>
      <c r="F1089" s="4"/>
      <c r="G1089" s="4"/>
      <c r="H1089" s="9" t="str">
        <f>IF(OR(B1089="",C1089=""),"",C1089*IFERROR(INDEX(Articles!$D:$D,MATCH(B1089,Articles!$B:$B,0)),0))</f>
        <v/>
      </c>
      <c r="I1089" s="9" t="str">
        <f>IF(OR(E1089="",H1089=""),"",E1089-H1089)</f>
        <v/>
      </c>
      <c r="J1089" s="4"/>
    </row>
    <row r="1090">
      <c r="A1090" s="7"/>
      <c r="B1090" s="4"/>
      <c r="C1090" s="6"/>
      <c r="D1090" s="5" t="str">
        <f>IF(B1090="","",IFERROR(INDEX(Articles!$E:$E,MATCH(B1090,Articles!$B:$B,0)),""))</f>
        <v/>
      </c>
      <c r="E1090" s="9" t="str">
        <f>IF(OR(C1090="",D1090=""),"",C1090*D1090)</f>
        <v/>
      </c>
      <c r="F1090" s="4"/>
      <c r="G1090" s="4"/>
      <c r="H1090" s="9" t="str">
        <f>IF(OR(B1090="",C1090=""),"",C1090*IFERROR(INDEX(Articles!$D:$D,MATCH(B1090,Articles!$B:$B,0)),0))</f>
        <v/>
      </c>
      <c r="I1090" s="9" t="str">
        <f>IF(OR(E1090="",H1090=""),"",E1090-H1090)</f>
        <v/>
      </c>
      <c r="J1090" s="4"/>
    </row>
    <row r="1091">
      <c r="A1091" s="7"/>
      <c r="B1091" s="4"/>
      <c r="C1091" s="6"/>
      <c r="D1091" s="5" t="str">
        <f>IF(B1091="","",IFERROR(INDEX(Articles!$E:$E,MATCH(B1091,Articles!$B:$B,0)),""))</f>
        <v/>
      </c>
      <c r="E1091" s="9" t="str">
        <f>IF(OR(C1091="",D1091=""),"",C1091*D1091)</f>
        <v/>
      </c>
      <c r="F1091" s="4"/>
      <c r="G1091" s="4"/>
      <c r="H1091" s="9" t="str">
        <f>IF(OR(B1091="",C1091=""),"",C1091*IFERROR(INDEX(Articles!$D:$D,MATCH(B1091,Articles!$B:$B,0)),0))</f>
        <v/>
      </c>
      <c r="I1091" s="9" t="str">
        <f>IF(OR(E1091="",H1091=""),"",E1091-H1091)</f>
        <v/>
      </c>
      <c r="J1091" s="4"/>
    </row>
    <row r="1092">
      <c r="A1092" s="7"/>
      <c r="B1092" s="4"/>
      <c r="C1092" s="6"/>
      <c r="D1092" s="5" t="str">
        <f>IF(B1092="","",IFERROR(INDEX(Articles!$E:$E,MATCH(B1092,Articles!$B:$B,0)),""))</f>
        <v/>
      </c>
      <c r="E1092" s="9" t="str">
        <f>IF(OR(C1092="",D1092=""),"",C1092*D1092)</f>
        <v/>
      </c>
      <c r="F1092" s="4"/>
      <c r="G1092" s="4"/>
      <c r="H1092" s="9" t="str">
        <f>IF(OR(B1092="",C1092=""),"",C1092*IFERROR(INDEX(Articles!$D:$D,MATCH(B1092,Articles!$B:$B,0)),0))</f>
        <v/>
      </c>
      <c r="I1092" s="9" t="str">
        <f>IF(OR(E1092="",H1092=""),"",E1092-H1092)</f>
        <v/>
      </c>
      <c r="J1092" s="4"/>
    </row>
    <row r="1093">
      <c r="A1093" s="7"/>
      <c r="B1093" s="4"/>
      <c r="C1093" s="6"/>
      <c r="D1093" s="5" t="str">
        <f>IF(B1093="","",IFERROR(INDEX(Articles!$E:$E,MATCH(B1093,Articles!$B:$B,0)),""))</f>
        <v/>
      </c>
      <c r="E1093" s="9" t="str">
        <f>IF(OR(C1093="",D1093=""),"",C1093*D1093)</f>
        <v/>
      </c>
      <c r="F1093" s="4"/>
      <c r="G1093" s="4"/>
      <c r="H1093" s="9" t="str">
        <f>IF(OR(B1093="",C1093=""),"",C1093*IFERROR(INDEX(Articles!$D:$D,MATCH(B1093,Articles!$B:$B,0)),0))</f>
        <v/>
      </c>
      <c r="I1093" s="9" t="str">
        <f>IF(OR(E1093="",H1093=""),"",E1093-H1093)</f>
        <v/>
      </c>
      <c r="J1093" s="4"/>
    </row>
    <row r="1094">
      <c r="A1094" s="7"/>
      <c r="B1094" s="4"/>
      <c r="C1094" s="6"/>
      <c r="D1094" s="5" t="str">
        <f>IF(B1094="","",IFERROR(INDEX(Articles!$E:$E,MATCH(B1094,Articles!$B:$B,0)),""))</f>
        <v/>
      </c>
      <c r="E1094" s="9" t="str">
        <f>IF(OR(C1094="",D1094=""),"",C1094*D1094)</f>
        <v/>
      </c>
      <c r="F1094" s="4"/>
      <c r="G1094" s="4"/>
      <c r="H1094" s="9" t="str">
        <f>IF(OR(B1094="",C1094=""),"",C1094*IFERROR(INDEX(Articles!$D:$D,MATCH(B1094,Articles!$B:$B,0)),0))</f>
        <v/>
      </c>
      <c r="I1094" s="9" t="str">
        <f>IF(OR(E1094="",H1094=""),"",E1094-H1094)</f>
        <v/>
      </c>
      <c r="J1094" s="4"/>
    </row>
    <row r="1095">
      <c r="A1095" s="7"/>
      <c r="B1095" s="4"/>
      <c r="C1095" s="6"/>
      <c r="D1095" s="5" t="str">
        <f>IF(B1095="","",IFERROR(INDEX(Articles!$E:$E,MATCH(B1095,Articles!$B:$B,0)),""))</f>
        <v/>
      </c>
      <c r="E1095" s="9" t="str">
        <f>IF(OR(C1095="",D1095=""),"",C1095*D1095)</f>
        <v/>
      </c>
      <c r="F1095" s="4"/>
      <c r="G1095" s="4"/>
      <c r="H1095" s="9" t="str">
        <f>IF(OR(B1095="",C1095=""),"",C1095*IFERROR(INDEX(Articles!$D:$D,MATCH(B1095,Articles!$B:$B,0)),0))</f>
        <v/>
      </c>
      <c r="I1095" s="9" t="str">
        <f>IF(OR(E1095="",H1095=""),"",E1095-H1095)</f>
        <v/>
      </c>
      <c r="J1095" s="4"/>
    </row>
    <row r="1096">
      <c r="A1096" s="7"/>
      <c r="B1096" s="4"/>
      <c r="C1096" s="6"/>
      <c r="D1096" s="5" t="str">
        <f>IF(B1096="","",IFERROR(INDEX(Articles!$E:$E,MATCH(B1096,Articles!$B:$B,0)),""))</f>
        <v/>
      </c>
      <c r="E1096" s="9" t="str">
        <f>IF(OR(C1096="",D1096=""),"",C1096*D1096)</f>
        <v/>
      </c>
      <c r="F1096" s="4"/>
      <c r="G1096" s="4"/>
      <c r="H1096" s="9" t="str">
        <f>IF(OR(B1096="",C1096=""),"",C1096*IFERROR(INDEX(Articles!$D:$D,MATCH(B1096,Articles!$B:$B,0)),0))</f>
        <v/>
      </c>
      <c r="I1096" s="9" t="str">
        <f>IF(OR(E1096="",H1096=""),"",E1096-H1096)</f>
        <v/>
      </c>
      <c r="J1096" s="4"/>
    </row>
    <row r="1097">
      <c r="A1097" s="7"/>
      <c r="B1097" s="4"/>
      <c r="C1097" s="6"/>
      <c r="D1097" s="5" t="str">
        <f>IF(B1097="","",IFERROR(INDEX(Articles!$E:$E,MATCH(B1097,Articles!$B:$B,0)),""))</f>
        <v/>
      </c>
      <c r="E1097" s="9" t="str">
        <f>IF(OR(C1097="",D1097=""),"",C1097*D1097)</f>
        <v/>
      </c>
      <c r="F1097" s="4"/>
      <c r="G1097" s="4"/>
      <c r="H1097" s="9" t="str">
        <f>IF(OR(B1097="",C1097=""),"",C1097*IFERROR(INDEX(Articles!$D:$D,MATCH(B1097,Articles!$B:$B,0)),0))</f>
        <v/>
      </c>
      <c r="I1097" s="9" t="str">
        <f>IF(OR(E1097="",H1097=""),"",E1097-H1097)</f>
        <v/>
      </c>
      <c r="J1097" s="4"/>
    </row>
    <row r="1098">
      <c r="A1098" s="7"/>
      <c r="B1098" s="4"/>
      <c r="C1098" s="6"/>
      <c r="D1098" s="5" t="str">
        <f>IF(B1098="","",IFERROR(INDEX(Articles!$E:$E,MATCH(B1098,Articles!$B:$B,0)),""))</f>
        <v/>
      </c>
      <c r="E1098" s="9" t="str">
        <f>IF(OR(C1098="",D1098=""),"",C1098*D1098)</f>
        <v/>
      </c>
      <c r="F1098" s="4"/>
      <c r="G1098" s="4"/>
      <c r="H1098" s="9" t="str">
        <f>IF(OR(B1098="",C1098=""),"",C1098*IFERROR(INDEX(Articles!$D:$D,MATCH(B1098,Articles!$B:$B,0)),0))</f>
        <v/>
      </c>
      <c r="I1098" s="9" t="str">
        <f>IF(OR(E1098="",H1098=""),"",E1098-H1098)</f>
        <v/>
      </c>
      <c r="J1098" s="4"/>
    </row>
    <row r="1099">
      <c r="A1099" s="7"/>
      <c r="B1099" s="4"/>
      <c r="C1099" s="6"/>
      <c r="D1099" s="5" t="str">
        <f>IF(B1099="","",IFERROR(INDEX(Articles!$E:$E,MATCH(B1099,Articles!$B:$B,0)),""))</f>
        <v/>
      </c>
      <c r="E1099" s="9" t="str">
        <f>IF(OR(C1099="",D1099=""),"",C1099*D1099)</f>
        <v/>
      </c>
      <c r="F1099" s="4"/>
      <c r="G1099" s="4"/>
      <c r="H1099" s="9" t="str">
        <f>IF(OR(B1099="",C1099=""),"",C1099*IFERROR(INDEX(Articles!$D:$D,MATCH(B1099,Articles!$B:$B,0)),0))</f>
        <v/>
      </c>
      <c r="I1099" s="9" t="str">
        <f>IF(OR(E1099="",H1099=""),"",E1099-H1099)</f>
        <v/>
      </c>
      <c r="J1099" s="4"/>
    </row>
    <row r="1100">
      <c r="A1100" s="7"/>
      <c r="B1100" s="4"/>
      <c r="C1100" s="6"/>
      <c r="D1100" s="5" t="str">
        <f>IF(B1100="","",IFERROR(INDEX(Articles!$E:$E,MATCH(B1100,Articles!$B:$B,0)),""))</f>
        <v/>
      </c>
      <c r="E1100" s="9" t="str">
        <f>IF(OR(C1100="",D1100=""),"",C1100*D1100)</f>
        <v/>
      </c>
      <c r="F1100" s="4"/>
      <c r="G1100" s="4"/>
      <c r="H1100" s="9" t="str">
        <f>IF(OR(B1100="",C1100=""),"",C1100*IFERROR(INDEX(Articles!$D:$D,MATCH(B1100,Articles!$B:$B,0)),0))</f>
        <v/>
      </c>
      <c r="I1100" s="9" t="str">
        <f>IF(OR(E1100="",H1100=""),"",E1100-H1100)</f>
        <v/>
      </c>
      <c r="J1100" s="4"/>
    </row>
    <row r="1101">
      <c r="A1101" s="7"/>
      <c r="B1101" s="4"/>
      <c r="C1101" s="6"/>
      <c r="D1101" s="5" t="str">
        <f>IF(B1101="","",IFERROR(INDEX(Articles!$E:$E,MATCH(B1101,Articles!$B:$B,0)),""))</f>
        <v/>
      </c>
      <c r="E1101" s="9" t="str">
        <f>IF(OR(C1101="",D1101=""),"",C1101*D1101)</f>
        <v/>
      </c>
      <c r="F1101" s="4"/>
      <c r="G1101" s="4"/>
      <c r="H1101" s="9" t="str">
        <f>IF(OR(B1101="",C1101=""),"",C1101*IFERROR(INDEX(Articles!$D:$D,MATCH(B1101,Articles!$B:$B,0)),0))</f>
        <v/>
      </c>
      <c r="I1101" s="9" t="str">
        <f>IF(OR(E1101="",H1101=""),"",E1101-H1101)</f>
        <v/>
      </c>
      <c r="J1101" s="4"/>
    </row>
    <row r="1102">
      <c r="A1102" s="7"/>
      <c r="B1102" s="4"/>
      <c r="C1102" s="6"/>
      <c r="D1102" s="5" t="str">
        <f>IF(B1102="","",IFERROR(INDEX(Articles!$E:$E,MATCH(B1102,Articles!$B:$B,0)),""))</f>
        <v/>
      </c>
      <c r="E1102" s="9" t="str">
        <f>IF(OR(C1102="",D1102=""),"",C1102*D1102)</f>
        <v/>
      </c>
      <c r="F1102" s="4"/>
      <c r="G1102" s="4"/>
      <c r="H1102" s="9" t="str">
        <f>IF(OR(B1102="",C1102=""),"",C1102*IFERROR(INDEX(Articles!$D:$D,MATCH(B1102,Articles!$B:$B,0)),0))</f>
        <v/>
      </c>
      <c r="I1102" s="9" t="str">
        <f>IF(OR(E1102="",H1102=""),"",E1102-H1102)</f>
        <v/>
      </c>
      <c r="J1102" s="4"/>
    </row>
    <row r="1103">
      <c r="A1103" s="7"/>
      <c r="B1103" s="4"/>
      <c r="C1103" s="6"/>
      <c r="D1103" s="5" t="str">
        <f>IF(B1103="","",IFERROR(INDEX(Articles!$E:$E,MATCH(B1103,Articles!$B:$B,0)),""))</f>
        <v/>
      </c>
      <c r="E1103" s="9" t="str">
        <f>IF(OR(C1103="",D1103=""),"",C1103*D1103)</f>
        <v/>
      </c>
      <c r="F1103" s="4"/>
      <c r="G1103" s="4"/>
      <c r="H1103" s="9" t="str">
        <f>IF(OR(B1103="",C1103=""),"",C1103*IFERROR(INDEX(Articles!$D:$D,MATCH(B1103,Articles!$B:$B,0)),0))</f>
        <v/>
      </c>
      <c r="I1103" s="9" t="str">
        <f>IF(OR(E1103="",H1103=""),"",E1103-H1103)</f>
        <v/>
      </c>
      <c r="J1103" s="4"/>
    </row>
    <row r="1104">
      <c r="A1104" s="7"/>
      <c r="B1104" s="4"/>
      <c r="C1104" s="6"/>
      <c r="D1104" s="5" t="str">
        <f>IF(B1104="","",IFERROR(INDEX(Articles!$E:$E,MATCH(B1104,Articles!$B:$B,0)),""))</f>
        <v/>
      </c>
      <c r="E1104" s="9" t="str">
        <f>IF(OR(C1104="",D1104=""),"",C1104*D1104)</f>
        <v/>
      </c>
      <c r="F1104" s="4"/>
      <c r="G1104" s="4"/>
      <c r="H1104" s="9" t="str">
        <f>IF(OR(B1104="",C1104=""),"",C1104*IFERROR(INDEX(Articles!$D:$D,MATCH(B1104,Articles!$B:$B,0)),0))</f>
        <v/>
      </c>
      <c r="I1104" s="9" t="str">
        <f>IF(OR(E1104="",H1104=""),"",E1104-H1104)</f>
        <v/>
      </c>
      <c r="J1104" s="4"/>
    </row>
    <row r="1105">
      <c r="A1105" s="7"/>
      <c r="B1105" s="4"/>
      <c r="C1105" s="6"/>
      <c r="D1105" s="5" t="str">
        <f>IF(B1105="","",IFERROR(INDEX(Articles!$E:$E,MATCH(B1105,Articles!$B:$B,0)),""))</f>
        <v/>
      </c>
      <c r="E1105" s="9" t="str">
        <f>IF(OR(C1105="",D1105=""),"",C1105*D1105)</f>
        <v/>
      </c>
      <c r="F1105" s="4"/>
      <c r="G1105" s="4"/>
      <c r="H1105" s="9" t="str">
        <f>IF(OR(B1105="",C1105=""),"",C1105*IFERROR(INDEX(Articles!$D:$D,MATCH(B1105,Articles!$B:$B,0)),0))</f>
        <v/>
      </c>
      <c r="I1105" s="9" t="str">
        <f>IF(OR(E1105="",H1105=""),"",E1105-H1105)</f>
        <v/>
      </c>
      <c r="J1105" s="4"/>
    </row>
    <row r="1106">
      <c r="A1106" s="7"/>
      <c r="B1106" s="4"/>
      <c r="C1106" s="6"/>
      <c r="D1106" s="5" t="str">
        <f>IF(B1106="","",IFERROR(INDEX(Articles!$E:$E,MATCH(B1106,Articles!$B:$B,0)),""))</f>
        <v/>
      </c>
      <c r="E1106" s="9" t="str">
        <f>IF(OR(C1106="",D1106=""),"",C1106*D1106)</f>
        <v/>
      </c>
      <c r="F1106" s="4"/>
      <c r="G1106" s="4"/>
      <c r="H1106" s="9" t="str">
        <f>IF(OR(B1106="",C1106=""),"",C1106*IFERROR(INDEX(Articles!$D:$D,MATCH(B1106,Articles!$B:$B,0)),0))</f>
        <v/>
      </c>
      <c r="I1106" s="9" t="str">
        <f>IF(OR(E1106="",H1106=""),"",E1106-H1106)</f>
        <v/>
      </c>
      <c r="J1106" s="4"/>
    </row>
    <row r="1107">
      <c r="A1107" s="7"/>
      <c r="B1107" s="4"/>
      <c r="C1107" s="6"/>
      <c r="D1107" s="5" t="str">
        <f>IF(B1107="","",IFERROR(INDEX(Articles!$E:$E,MATCH(B1107,Articles!$B:$B,0)),""))</f>
        <v/>
      </c>
      <c r="E1107" s="9" t="str">
        <f>IF(OR(C1107="",D1107=""),"",C1107*D1107)</f>
        <v/>
      </c>
      <c r="F1107" s="4"/>
      <c r="G1107" s="4"/>
      <c r="H1107" s="9" t="str">
        <f>IF(OR(B1107="",C1107=""),"",C1107*IFERROR(INDEX(Articles!$D:$D,MATCH(B1107,Articles!$B:$B,0)),0))</f>
        <v/>
      </c>
      <c r="I1107" s="9" t="str">
        <f>IF(OR(E1107="",H1107=""),"",E1107-H1107)</f>
        <v/>
      </c>
      <c r="J1107" s="4"/>
    </row>
    <row r="1108">
      <c r="A1108" s="7"/>
      <c r="B1108" s="4"/>
      <c r="C1108" s="6"/>
      <c r="D1108" s="5" t="str">
        <f>IF(B1108="","",IFERROR(INDEX(Articles!$E:$E,MATCH(B1108,Articles!$B:$B,0)),""))</f>
        <v/>
      </c>
      <c r="E1108" s="9" t="str">
        <f>IF(OR(C1108="",D1108=""),"",C1108*D1108)</f>
        <v/>
      </c>
      <c r="F1108" s="4"/>
      <c r="G1108" s="4"/>
      <c r="H1108" s="9" t="str">
        <f>IF(OR(B1108="",C1108=""),"",C1108*IFERROR(INDEX(Articles!$D:$D,MATCH(B1108,Articles!$B:$B,0)),0))</f>
        <v/>
      </c>
      <c r="I1108" s="9" t="str">
        <f>IF(OR(E1108="",H1108=""),"",E1108-H1108)</f>
        <v/>
      </c>
      <c r="J1108" s="4"/>
    </row>
    <row r="1109">
      <c r="A1109" s="7"/>
      <c r="B1109" s="4"/>
      <c r="C1109" s="6"/>
      <c r="D1109" s="5" t="str">
        <f>IF(B1109="","",IFERROR(INDEX(Articles!$E:$E,MATCH(B1109,Articles!$B:$B,0)),""))</f>
        <v/>
      </c>
      <c r="E1109" s="9" t="str">
        <f>IF(OR(C1109="",D1109=""),"",C1109*D1109)</f>
        <v/>
      </c>
      <c r="F1109" s="4"/>
      <c r="G1109" s="4"/>
      <c r="H1109" s="9" t="str">
        <f>IF(OR(B1109="",C1109=""),"",C1109*IFERROR(INDEX(Articles!$D:$D,MATCH(B1109,Articles!$B:$B,0)),0))</f>
        <v/>
      </c>
      <c r="I1109" s="9" t="str">
        <f>IF(OR(E1109="",H1109=""),"",E1109-H1109)</f>
        <v/>
      </c>
      <c r="J1109" s="4"/>
    </row>
    <row r="1110">
      <c r="A1110" s="7"/>
      <c r="B1110" s="4"/>
      <c r="C1110" s="6"/>
      <c r="D1110" s="5" t="str">
        <f>IF(B1110="","",IFERROR(INDEX(Articles!$E:$E,MATCH(B1110,Articles!$B:$B,0)),""))</f>
        <v/>
      </c>
      <c r="E1110" s="9" t="str">
        <f>IF(OR(C1110="",D1110=""),"",C1110*D1110)</f>
        <v/>
      </c>
      <c r="F1110" s="4"/>
      <c r="G1110" s="4"/>
      <c r="H1110" s="9" t="str">
        <f>IF(OR(B1110="",C1110=""),"",C1110*IFERROR(INDEX(Articles!$D:$D,MATCH(B1110,Articles!$B:$B,0)),0))</f>
        <v/>
      </c>
      <c r="I1110" s="9" t="str">
        <f>IF(OR(E1110="",H1110=""),"",E1110-H1110)</f>
        <v/>
      </c>
      <c r="J1110" s="4"/>
    </row>
    <row r="1111">
      <c r="A1111" s="7"/>
      <c r="B1111" s="4"/>
      <c r="C1111" s="6"/>
      <c r="D1111" s="5" t="str">
        <f>IF(B1111="","",IFERROR(INDEX(Articles!$E:$E,MATCH(B1111,Articles!$B:$B,0)),""))</f>
        <v/>
      </c>
      <c r="E1111" s="9" t="str">
        <f>IF(OR(C1111="",D1111=""),"",C1111*D1111)</f>
        <v/>
      </c>
      <c r="F1111" s="4"/>
      <c r="G1111" s="4"/>
      <c r="H1111" s="9" t="str">
        <f>IF(OR(B1111="",C1111=""),"",C1111*IFERROR(INDEX(Articles!$D:$D,MATCH(B1111,Articles!$B:$B,0)),0))</f>
        <v/>
      </c>
      <c r="I1111" s="9" t="str">
        <f>IF(OR(E1111="",H1111=""),"",E1111-H1111)</f>
        <v/>
      </c>
      <c r="J1111" s="4"/>
    </row>
    <row r="1112">
      <c r="A1112" s="7"/>
      <c r="B1112" s="4"/>
      <c r="C1112" s="6"/>
      <c r="D1112" s="5" t="str">
        <f>IF(B1112="","",IFERROR(INDEX(Articles!$E:$E,MATCH(B1112,Articles!$B:$B,0)),""))</f>
        <v/>
      </c>
      <c r="E1112" s="9" t="str">
        <f>IF(OR(C1112="",D1112=""),"",C1112*D1112)</f>
        <v/>
      </c>
      <c r="F1112" s="4"/>
      <c r="G1112" s="4"/>
      <c r="H1112" s="9" t="str">
        <f>IF(OR(B1112="",C1112=""),"",C1112*IFERROR(INDEX(Articles!$D:$D,MATCH(B1112,Articles!$B:$B,0)),0))</f>
        <v/>
      </c>
      <c r="I1112" s="9" t="str">
        <f>IF(OR(E1112="",H1112=""),"",E1112-H1112)</f>
        <v/>
      </c>
      <c r="J1112" s="4"/>
    </row>
    <row r="1113">
      <c r="A1113" s="7"/>
      <c r="B1113" s="4"/>
      <c r="C1113" s="6"/>
      <c r="D1113" s="5" t="str">
        <f>IF(B1113="","",IFERROR(INDEX(Articles!$E:$E,MATCH(B1113,Articles!$B:$B,0)),""))</f>
        <v/>
      </c>
      <c r="E1113" s="9" t="str">
        <f>IF(OR(C1113="",D1113=""),"",C1113*D1113)</f>
        <v/>
      </c>
      <c r="F1113" s="4"/>
      <c r="G1113" s="4"/>
      <c r="H1113" s="9" t="str">
        <f>IF(OR(B1113="",C1113=""),"",C1113*IFERROR(INDEX(Articles!$D:$D,MATCH(B1113,Articles!$B:$B,0)),0))</f>
        <v/>
      </c>
      <c r="I1113" s="9" t="str">
        <f>IF(OR(E1113="",H1113=""),"",E1113-H1113)</f>
        <v/>
      </c>
      <c r="J1113" s="4"/>
    </row>
    <row r="1114">
      <c r="A1114" s="7"/>
      <c r="B1114" s="4"/>
      <c r="C1114" s="6"/>
      <c r="D1114" s="5" t="str">
        <f>IF(B1114="","",IFERROR(INDEX(Articles!$E:$E,MATCH(B1114,Articles!$B:$B,0)),""))</f>
        <v/>
      </c>
      <c r="E1114" s="9" t="str">
        <f>IF(OR(C1114="",D1114=""),"",C1114*D1114)</f>
        <v/>
      </c>
      <c r="F1114" s="4"/>
      <c r="G1114" s="4"/>
      <c r="H1114" s="9" t="str">
        <f>IF(OR(B1114="",C1114=""),"",C1114*IFERROR(INDEX(Articles!$D:$D,MATCH(B1114,Articles!$B:$B,0)),0))</f>
        <v/>
      </c>
      <c r="I1114" s="9" t="str">
        <f>IF(OR(E1114="",H1114=""),"",E1114-H1114)</f>
        <v/>
      </c>
      <c r="J1114" s="4"/>
    </row>
    <row r="1115">
      <c r="A1115" s="7"/>
      <c r="B1115" s="4"/>
      <c r="C1115" s="6"/>
      <c r="D1115" s="5" t="str">
        <f>IF(B1115="","",IFERROR(INDEX(Articles!$E:$E,MATCH(B1115,Articles!$B:$B,0)),""))</f>
        <v/>
      </c>
      <c r="E1115" s="9" t="str">
        <f>IF(OR(C1115="",D1115=""),"",C1115*D1115)</f>
        <v/>
      </c>
      <c r="F1115" s="4"/>
      <c r="G1115" s="4"/>
      <c r="H1115" s="9" t="str">
        <f>IF(OR(B1115="",C1115=""),"",C1115*IFERROR(INDEX(Articles!$D:$D,MATCH(B1115,Articles!$B:$B,0)),0))</f>
        <v/>
      </c>
      <c r="I1115" s="9" t="str">
        <f>IF(OR(E1115="",H1115=""),"",E1115-H1115)</f>
        <v/>
      </c>
      <c r="J1115" s="4"/>
    </row>
    <row r="1116">
      <c r="A1116" s="7"/>
      <c r="B1116" s="4"/>
      <c r="C1116" s="6"/>
      <c r="D1116" s="5" t="str">
        <f>IF(B1116="","",IFERROR(INDEX(Articles!$E:$E,MATCH(B1116,Articles!$B:$B,0)),""))</f>
        <v/>
      </c>
      <c r="E1116" s="9" t="str">
        <f>IF(OR(C1116="",D1116=""),"",C1116*D1116)</f>
        <v/>
      </c>
      <c r="F1116" s="4"/>
      <c r="G1116" s="4"/>
      <c r="H1116" s="9" t="str">
        <f>IF(OR(B1116="",C1116=""),"",C1116*IFERROR(INDEX(Articles!$D:$D,MATCH(B1116,Articles!$B:$B,0)),0))</f>
        <v/>
      </c>
      <c r="I1116" s="9" t="str">
        <f>IF(OR(E1116="",H1116=""),"",E1116-H1116)</f>
        <v/>
      </c>
      <c r="J1116" s="4"/>
    </row>
    <row r="1117">
      <c r="A1117" s="7"/>
      <c r="B1117" s="4"/>
      <c r="C1117" s="6"/>
      <c r="D1117" s="5" t="str">
        <f>IF(B1117="","",IFERROR(INDEX(Articles!$E:$E,MATCH(B1117,Articles!$B:$B,0)),""))</f>
        <v/>
      </c>
      <c r="E1117" s="9" t="str">
        <f>IF(OR(C1117="",D1117=""),"",C1117*D1117)</f>
        <v/>
      </c>
      <c r="F1117" s="4"/>
      <c r="G1117" s="4"/>
      <c r="H1117" s="9" t="str">
        <f>IF(OR(B1117="",C1117=""),"",C1117*IFERROR(INDEX(Articles!$D:$D,MATCH(B1117,Articles!$B:$B,0)),0))</f>
        <v/>
      </c>
      <c r="I1117" s="9" t="str">
        <f>IF(OR(E1117="",H1117=""),"",E1117-H1117)</f>
        <v/>
      </c>
      <c r="J1117" s="4"/>
    </row>
    <row r="1118">
      <c r="A1118" s="7"/>
      <c r="B1118" s="4"/>
      <c r="C1118" s="6"/>
      <c r="D1118" s="5" t="str">
        <f>IF(B1118="","",IFERROR(INDEX(Articles!$E:$E,MATCH(B1118,Articles!$B:$B,0)),""))</f>
        <v/>
      </c>
      <c r="E1118" s="9" t="str">
        <f>IF(OR(C1118="",D1118=""),"",C1118*D1118)</f>
        <v/>
      </c>
      <c r="F1118" s="4"/>
      <c r="G1118" s="4"/>
      <c r="H1118" s="9" t="str">
        <f>IF(OR(B1118="",C1118=""),"",C1118*IFERROR(INDEX(Articles!$D:$D,MATCH(B1118,Articles!$B:$B,0)),0))</f>
        <v/>
      </c>
      <c r="I1118" s="9" t="str">
        <f>IF(OR(E1118="",H1118=""),"",E1118-H1118)</f>
        <v/>
      </c>
      <c r="J1118" s="4"/>
    </row>
    <row r="1119">
      <c r="A1119" s="7"/>
      <c r="B1119" s="4"/>
      <c r="C1119" s="6"/>
      <c r="D1119" s="5" t="str">
        <f>IF(B1119="","",IFERROR(INDEX(Articles!$E:$E,MATCH(B1119,Articles!$B:$B,0)),""))</f>
        <v/>
      </c>
      <c r="E1119" s="9" t="str">
        <f>IF(OR(C1119="",D1119=""),"",C1119*D1119)</f>
        <v/>
      </c>
      <c r="F1119" s="4"/>
      <c r="G1119" s="4"/>
      <c r="H1119" s="9" t="str">
        <f>IF(OR(B1119="",C1119=""),"",C1119*IFERROR(INDEX(Articles!$D:$D,MATCH(B1119,Articles!$B:$B,0)),0))</f>
        <v/>
      </c>
      <c r="I1119" s="9" t="str">
        <f>IF(OR(E1119="",H1119=""),"",E1119-H1119)</f>
        <v/>
      </c>
      <c r="J1119" s="4"/>
    </row>
    <row r="1120">
      <c r="A1120" s="7"/>
      <c r="B1120" s="4"/>
      <c r="C1120" s="6"/>
      <c r="D1120" s="5" t="str">
        <f>IF(B1120="","",IFERROR(INDEX(Articles!$E:$E,MATCH(B1120,Articles!$B:$B,0)),""))</f>
        <v/>
      </c>
      <c r="E1120" s="9" t="str">
        <f>IF(OR(C1120="",D1120=""),"",C1120*D1120)</f>
        <v/>
      </c>
      <c r="F1120" s="4"/>
      <c r="G1120" s="4"/>
      <c r="H1120" s="9" t="str">
        <f>IF(OR(B1120="",C1120=""),"",C1120*IFERROR(INDEX(Articles!$D:$D,MATCH(B1120,Articles!$B:$B,0)),0))</f>
        <v/>
      </c>
      <c r="I1120" s="9" t="str">
        <f>IF(OR(E1120="",H1120=""),"",E1120-H1120)</f>
        <v/>
      </c>
      <c r="J1120" s="4"/>
    </row>
    <row r="1121">
      <c r="A1121" s="7"/>
      <c r="B1121" s="4"/>
      <c r="C1121" s="6"/>
      <c r="D1121" s="5" t="str">
        <f>IF(B1121="","",IFERROR(INDEX(Articles!$E:$E,MATCH(B1121,Articles!$B:$B,0)),""))</f>
        <v/>
      </c>
      <c r="E1121" s="9" t="str">
        <f>IF(OR(C1121="",D1121=""),"",C1121*D1121)</f>
        <v/>
      </c>
      <c r="F1121" s="4"/>
      <c r="G1121" s="4"/>
      <c r="H1121" s="9" t="str">
        <f>IF(OR(B1121="",C1121=""),"",C1121*IFERROR(INDEX(Articles!$D:$D,MATCH(B1121,Articles!$B:$B,0)),0))</f>
        <v/>
      </c>
      <c r="I1121" s="9" t="str">
        <f>IF(OR(E1121="",H1121=""),"",E1121-H1121)</f>
        <v/>
      </c>
      <c r="J1121" s="4"/>
    </row>
    <row r="1122">
      <c r="A1122" s="7"/>
      <c r="B1122" s="4"/>
      <c r="C1122" s="6"/>
      <c r="D1122" s="5" t="str">
        <f>IF(B1122="","",IFERROR(INDEX(Articles!$E:$E,MATCH(B1122,Articles!$B:$B,0)),""))</f>
        <v/>
      </c>
      <c r="E1122" s="9" t="str">
        <f>IF(OR(C1122="",D1122=""),"",C1122*D1122)</f>
        <v/>
      </c>
      <c r="F1122" s="4"/>
      <c r="G1122" s="4"/>
      <c r="H1122" s="9" t="str">
        <f>IF(OR(B1122="",C1122=""),"",C1122*IFERROR(INDEX(Articles!$D:$D,MATCH(B1122,Articles!$B:$B,0)),0))</f>
        <v/>
      </c>
      <c r="I1122" s="9" t="str">
        <f>IF(OR(E1122="",H1122=""),"",E1122-H1122)</f>
        <v/>
      </c>
      <c r="J1122" s="4"/>
    </row>
    <row r="1123">
      <c r="A1123" s="7"/>
      <c r="B1123" s="4"/>
      <c r="C1123" s="6"/>
      <c r="D1123" s="5" t="str">
        <f>IF(B1123="","",IFERROR(INDEX(Articles!$E:$E,MATCH(B1123,Articles!$B:$B,0)),""))</f>
        <v/>
      </c>
      <c r="E1123" s="9" t="str">
        <f>IF(OR(C1123="",D1123=""),"",C1123*D1123)</f>
        <v/>
      </c>
      <c r="F1123" s="4"/>
      <c r="G1123" s="4"/>
      <c r="H1123" s="9" t="str">
        <f>IF(OR(B1123="",C1123=""),"",C1123*IFERROR(INDEX(Articles!$D:$D,MATCH(B1123,Articles!$B:$B,0)),0))</f>
        <v/>
      </c>
      <c r="I1123" s="9" t="str">
        <f>IF(OR(E1123="",H1123=""),"",E1123-H1123)</f>
        <v/>
      </c>
      <c r="J1123" s="4"/>
    </row>
    <row r="1124">
      <c r="A1124" s="7"/>
      <c r="B1124" s="4"/>
      <c r="C1124" s="6"/>
      <c r="D1124" s="5" t="str">
        <f>IF(B1124="","",IFERROR(INDEX(Articles!$E:$E,MATCH(B1124,Articles!$B:$B,0)),""))</f>
        <v/>
      </c>
      <c r="E1124" s="9" t="str">
        <f>IF(OR(C1124="",D1124=""),"",C1124*D1124)</f>
        <v/>
      </c>
      <c r="F1124" s="4"/>
      <c r="G1124" s="4"/>
      <c r="H1124" s="9" t="str">
        <f>IF(OR(B1124="",C1124=""),"",C1124*IFERROR(INDEX(Articles!$D:$D,MATCH(B1124,Articles!$B:$B,0)),0))</f>
        <v/>
      </c>
      <c r="I1124" s="9" t="str">
        <f>IF(OR(E1124="",H1124=""),"",E1124-H1124)</f>
        <v/>
      </c>
      <c r="J1124" s="4"/>
    </row>
    <row r="1125">
      <c r="A1125" s="7"/>
      <c r="B1125" s="4"/>
      <c r="C1125" s="6"/>
      <c r="D1125" s="5" t="str">
        <f>IF(B1125="","",IFERROR(INDEX(Articles!$E:$E,MATCH(B1125,Articles!$B:$B,0)),""))</f>
        <v/>
      </c>
      <c r="E1125" s="9" t="str">
        <f>IF(OR(C1125="",D1125=""),"",C1125*D1125)</f>
        <v/>
      </c>
      <c r="F1125" s="4"/>
      <c r="G1125" s="4"/>
      <c r="H1125" s="9" t="str">
        <f>IF(OR(B1125="",C1125=""),"",C1125*IFERROR(INDEX(Articles!$D:$D,MATCH(B1125,Articles!$B:$B,0)),0))</f>
        <v/>
      </c>
      <c r="I1125" s="9" t="str">
        <f>IF(OR(E1125="",H1125=""),"",E1125-H1125)</f>
        <v/>
      </c>
      <c r="J1125" s="4"/>
    </row>
    <row r="1126">
      <c r="A1126" s="7"/>
      <c r="B1126" s="4"/>
      <c r="C1126" s="6"/>
      <c r="D1126" s="5" t="str">
        <f>IF(B1126="","",IFERROR(INDEX(Articles!$E:$E,MATCH(B1126,Articles!$B:$B,0)),""))</f>
        <v/>
      </c>
      <c r="E1126" s="9" t="str">
        <f>IF(OR(C1126="",D1126=""),"",C1126*D1126)</f>
        <v/>
      </c>
      <c r="F1126" s="4"/>
      <c r="G1126" s="4"/>
      <c r="H1126" s="9" t="str">
        <f>IF(OR(B1126="",C1126=""),"",C1126*IFERROR(INDEX(Articles!$D:$D,MATCH(B1126,Articles!$B:$B,0)),0))</f>
        <v/>
      </c>
      <c r="I1126" s="9" t="str">
        <f>IF(OR(E1126="",H1126=""),"",E1126-H1126)</f>
        <v/>
      </c>
      <c r="J1126" s="4"/>
    </row>
    <row r="1127">
      <c r="A1127" s="7"/>
      <c r="B1127" s="4"/>
      <c r="C1127" s="6"/>
      <c r="D1127" s="5" t="str">
        <f>IF(B1127="","",IFERROR(INDEX(Articles!$E:$E,MATCH(B1127,Articles!$B:$B,0)),""))</f>
        <v/>
      </c>
      <c r="E1127" s="9" t="str">
        <f>IF(OR(C1127="",D1127=""),"",C1127*D1127)</f>
        <v/>
      </c>
      <c r="F1127" s="4"/>
      <c r="G1127" s="4"/>
      <c r="H1127" s="9" t="str">
        <f>IF(OR(B1127="",C1127=""),"",C1127*IFERROR(INDEX(Articles!$D:$D,MATCH(B1127,Articles!$B:$B,0)),0))</f>
        <v/>
      </c>
      <c r="I1127" s="9" t="str">
        <f>IF(OR(E1127="",H1127=""),"",E1127-H1127)</f>
        <v/>
      </c>
      <c r="J1127" s="4"/>
    </row>
    <row r="1128">
      <c r="A1128" s="7"/>
      <c r="B1128" s="4"/>
      <c r="C1128" s="6"/>
      <c r="D1128" s="5" t="str">
        <f>IF(B1128="","",IFERROR(INDEX(Articles!$E:$E,MATCH(B1128,Articles!$B:$B,0)),""))</f>
        <v/>
      </c>
      <c r="E1128" s="9" t="str">
        <f>IF(OR(C1128="",D1128=""),"",C1128*D1128)</f>
        <v/>
      </c>
      <c r="F1128" s="4"/>
      <c r="G1128" s="4"/>
      <c r="H1128" s="9" t="str">
        <f>IF(OR(B1128="",C1128=""),"",C1128*IFERROR(INDEX(Articles!$D:$D,MATCH(B1128,Articles!$B:$B,0)),0))</f>
        <v/>
      </c>
      <c r="I1128" s="9" t="str">
        <f>IF(OR(E1128="",H1128=""),"",E1128-H1128)</f>
        <v/>
      </c>
      <c r="J1128" s="4"/>
    </row>
    <row r="1129">
      <c r="A1129" s="7"/>
      <c r="B1129" s="4"/>
      <c r="C1129" s="6"/>
      <c r="D1129" s="5" t="str">
        <f>IF(B1129="","",IFERROR(INDEX(Articles!$E:$E,MATCH(B1129,Articles!$B:$B,0)),""))</f>
        <v/>
      </c>
      <c r="E1129" s="9" t="str">
        <f>IF(OR(C1129="",D1129=""),"",C1129*D1129)</f>
        <v/>
      </c>
      <c r="F1129" s="4"/>
      <c r="G1129" s="4"/>
      <c r="H1129" s="9" t="str">
        <f>IF(OR(B1129="",C1129=""),"",C1129*IFERROR(INDEX(Articles!$D:$D,MATCH(B1129,Articles!$B:$B,0)),0))</f>
        <v/>
      </c>
      <c r="I1129" s="9" t="str">
        <f>IF(OR(E1129="",H1129=""),"",E1129-H1129)</f>
        <v/>
      </c>
      <c r="J1129" s="4"/>
    </row>
    <row r="1130">
      <c r="A1130" s="7"/>
      <c r="B1130" s="4"/>
      <c r="C1130" s="6"/>
      <c r="D1130" s="5" t="str">
        <f>IF(B1130="","",IFERROR(INDEX(Articles!$E:$E,MATCH(B1130,Articles!$B:$B,0)),""))</f>
        <v/>
      </c>
      <c r="E1130" s="9" t="str">
        <f>IF(OR(C1130="",D1130=""),"",C1130*D1130)</f>
        <v/>
      </c>
      <c r="F1130" s="4"/>
      <c r="G1130" s="4"/>
      <c r="H1130" s="9" t="str">
        <f>IF(OR(B1130="",C1130=""),"",C1130*IFERROR(INDEX(Articles!$D:$D,MATCH(B1130,Articles!$B:$B,0)),0))</f>
        <v/>
      </c>
      <c r="I1130" s="9" t="str">
        <f>IF(OR(E1130="",H1130=""),"",E1130-H1130)</f>
        <v/>
      </c>
      <c r="J1130" s="4"/>
    </row>
    <row r="1131">
      <c r="A1131" s="7"/>
      <c r="B1131" s="4"/>
      <c r="C1131" s="6"/>
      <c r="D1131" s="5" t="str">
        <f>IF(B1131="","",IFERROR(INDEX(Articles!$E:$E,MATCH(B1131,Articles!$B:$B,0)),""))</f>
        <v/>
      </c>
      <c r="E1131" s="9" t="str">
        <f>IF(OR(C1131="",D1131=""),"",C1131*D1131)</f>
        <v/>
      </c>
      <c r="F1131" s="4"/>
      <c r="G1131" s="4"/>
      <c r="H1131" s="9" t="str">
        <f>IF(OR(B1131="",C1131=""),"",C1131*IFERROR(INDEX(Articles!$D:$D,MATCH(B1131,Articles!$B:$B,0)),0))</f>
        <v/>
      </c>
      <c r="I1131" s="9" t="str">
        <f>IF(OR(E1131="",H1131=""),"",E1131-H1131)</f>
        <v/>
      </c>
      <c r="J1131" s="4"/>
    </row>
    <row r="1132">
      <c r="A1132" s="7"/>
      <c r="B1132" s="4"/>
      <c r="C1132" s="6"/>
      <c r="D1132" s="5" t="str">
        <f>IF(B1132="","",IFERROR(INDEX(Articles!$E:$E,MATCH(B1132,Articles!$B:$B,0)),""))</f>
        <v/>
      </c>
      <c r="E1132" s="9" t="str">
        <f>IF(OR(C1132="",D1132=""),"",C1132*D1132)</f>
        <v/>
      </c>
      <c r="F1132" s="4"/>
      <c r="G1132" s="4"/>
      <c r="H1132" s="9" t="str">
        <f>IF(OR(B1132="",C1132=""),"",C1132*IFERROR(INDEX(Articles!$D:$D,MATCH(B1132,Articles!$B:$B,0)),0))</f>
        <v/>
      </c>
      <c r="I1132" s="9" t="str">
        <f>IF(OR(E1132="",H1132=""),"",E1132-H1132)</f>
        <v/>
      </c>
      <c r="J1132" s="4"/>
    </row>
    <row r="1133">
      <c r="A1133" s="7"/>
      <c r="B1133" s="4"/>
      <c r="C1133" s="6"/>
      <c r="D1133" s="5" t="str">
        <f>IF(B1133="","",IFERROR(INDEX(Articles!$E:$E,MATCH(B1133,Articles!$B:$B,0)),""))</f>
        <v/>
      </c>
      <c r="E1133" s="9" t="str">
        <f>IF(OR(C1133="",D1133=""),"",C1133*D1133)</f>
        <v/>
      </c>
      <c r="F1133" s="4"/>
      <c r="G1133" s="4"/>
      <c r="H1133" s="9" t="str">
        <f>IF(OR(B1133="",C1133=""),"",C1133*IFERROR(INDEX(Articles!$D:$D,MATCH(B1133,Articles!$B:$B,0)),0))</f>
        <v/>
      </c>
      <c r="I1133" s="9" t="str">
        <f>IF(OR(E1133="",H1133=""),"",E1133-H1133)</f>
        <v/>
      </c>
      <c r="J1133" s="4"/>
    </row>
    <row r="1134">
      <c r="A1134" s="7"/>
      <c r="B1134" s="4"/>
      <c r="C1134" s="6"/>
      <c r="D1134" s="5" t="str">
        <f>IF(B1134="","",IFERROR(INDEX(Articles!$E:$E,MATCH(B1134,Articles!$B:$B,0)),""))</f>
        <v/>
      </c>
      <c r="E1134" s="9" t="str">
        <f>IF(OR(C1134="",D1134=""),"",C1134*D1134)</f>
        <v/>
      </c>
      <c r="F1134" s="4"/>
      <c r="G1134" s="4"/>
      <c r="H1134" s="9" t="str">
        <f>IF(OR(B1134="",C1134=""),"",C1134*IFERROR(INDEX(Articles!$D:$D,MATCH(B1134,Articles!$B:$B,0)),0))</f>
        <v/>
      </c>
      <c r="I1134" s="9" t="str">
        <f>IF(OR(E1134="",H1134=""),"",E1134-H1134)</f>
        <v/>
      </c>
      <c r="J1134" s="4"/>
    </row>
    <row r="1135">
      <c r="A1135" s="7"/>
      <c r="B1135" s="4"/>
      <c r="C1135" s="6"/>
      <c r="D1135" s="5" t="str">
        <f>IF(B1135="","",IFERROR(INDEX(Articles!$E:$E,MATCH(B1135,Articles!$B:$B,0)),""))</f>
        <v/>
      </c>
      <c r="E1135" s="9" t="str">
        <f>IF(OR(C1135="",D1135=""),"",C1135*D1135)</f>
        <v/>
      </c>
      <c r="F1135" s="4"/>
      <c r="G1135" s="4"/>
      <c r="H1135" s="9" t="str">
        <f>IF(OR(B1135="",C1135=""),"",C1135*IFERROR(INDEX(Articles!$D:$D,MATCH(B1135,Articles!$B:$B,0)),0))</f>
        <v/>
      </c>
      <c r="I1135" s="9" t="str">
        <f>IF(OR(E1135="",H1135=""),"",E1135-H1135)</f>
        <v/>
      </c>
      <c r="J1135" s="4"/>
    </row>
    <row r="1136">
      <c r="A1136" s="7"/>
      <c r="B1136" s="4"/>
      <c r="C1136" s="6"/>
      <c r="D1136" s="5" t="str">
        <f>IF(B1136="","",IFERROR(INDEX(Articles!$E:$E,MATCH(B1136,Articles!$B:$B,0)),""))</f>
        <v/>
      </c>
      <c r="E1136" s="9" t="str">
        <f>IF(OR(C1136="",D1136=""),"",C1136*D1136)</f>
        <v/>
      </c>
      <c r="F1136" s="4"/>
      <c r="G1136" s="4"/>
      <c r="H1136" s="9" t="str">
        <f>IF(OR(B1136="",C1136=""),"",C1136*IFERROR(INDEX(Articles!$D:$D,MATCH(B1136,Articles!$B:$B,0)),0))</f>
        <v/>
      </c>
      <c r="I1136" s="9" t="str">
        <f>IF(OR(E1136="",H1136=""),"",E1136-H1136)</f>
        <v/>
      </c>
      <c r="J1136" s="4"/>
    </row>
    <row r="1137">
      <c r="A1137" s="7"/>
      <c r="B1137" s="4"/>
      <c r="C1137" s="6"/>
      <c r="D1137" s="5" t="str">
        <f>IF(B1137="","",IFERROR(INDEX(Articles!$E:$E,MATCH(B1137,Articles!$B:$B,0)),""))</f>
        <v/>
      </c>
      <c r="E1137" s="9" t="str">
        <f>IF(OR(C1137="",D1137=""),"",C1137*D1137)</f>
        <v/>
      </c>
      <c r="F1137" s="4"/>
      <c r="G1137" s="4"/>
      <c r="H1137" s="9" t="str">
        <f>IF(OR(B1137="",C1137=""),"",C1137*IFERROR(INDEX(Articles!$D:$D,MATCH(B1137,Articles!$B:$B,0)),0))</f>
        <v/>
      </c>
      <c r="I1137" s="9" t="str">
        <f>IF(OR(E1137="",H1137=""),"",E1137-H1137)</f>
        <v/>
      </c>
      <c r="J1137" s="4"/>
    </row>
    <row r="1138">
      <c r="A1138" s="7"/>
      <c r="B1138" s="4"/>
      <c r="C1138" s="6"/>
      <c r="D1138" s="5" t="str">
        <f>IF(B1138="","",IFERROR(INDEX(Articles!$E:$E,MATCH(B1138,Articles!$B:$B,0)),""))</f>
        <v/>
      </c>
      <c r="E1138" s="9" t="str">
        <f>IF(OR(C1138="",D1138=""),"",C1138*D1138)</f>
        <v/>
      </c>
      <c r="F1138" s="4"/>
      <c r="G1138" s="4"/>
      <c r="H1138" s="9" t="str">
        <f>IF(OR(B1138="",C1138=""),"",C1138*IFERROR(INDEX(Articles!$D:$D,MATCH(B1138,Articles!$B:$B,0)),0))</f>
        <v/>
      </c>
      <c r="I1138" s="9" t="str">
        <f>IF(OR(E1138="",H1138=""),"",E1138-H1138)</f>
        <v/>
      </c>
      <c r="J1138" s="4"/>
    </row>
    <row r="1139">
      <c r="A1139" s="7"/>
      <c r="B1139" s="4"/>
      <c r="C1139" s="6"/>
      <c r="D1139" s="5" t="str">
        <f>IF(B1139="","",IFERROR(INDEX(Articles!$E:$E,MATCH(B1139,Articles!$B:$B,0)),""))</f>
        <v/>
      </c>
      <c r="E1139" s="9" t="str">
        <f>IF(OR(C1139="",D1139=""),"",C1139*D1139)</f>
        <v/>
      </c>
      <c r="F1139" s="4"/>
      <c r="G1139" s="4"/>
      <c r="H1139" s="9" t="str">
        <f>IF(OR(B1139="",C1139=""),"",C1139*IFERROR(INDEX(Articles!$D:$D,MATCH(B1139,Articles!$B:$B,0)),0))</f>
        <v/>
      </c>
      <c r="I1139" s="9" t="str">
        <f>IF(OR(E1139="",H1139=""),"",E1139-H1139)</f>
        <v/>
      </c>
      <c r="J1139" s="4"/>
    </row>
    <row r="1140">
      <c r="A1140" s="7"/>
      <c r="B1140" s="4"/>
      <c r="C1140" s="6"/>
      <c r="D1140" s="5" t="str">
        <f>IF(B1140="","",IFERROR(INDEX(Articles!$E:$E,MATCH(B1140,Articles!$B:$B,0)),""))</f>
        <v/>
      </c>
      <c r="E1140" s="9" t="str">
        <f>IF(OR(C1140="",D1140=""),"",C1140*D1140)</f>
        <v/>
      </c>
      <c r="F1140" s="4"/>
      <c r="G1140" s="4"/>
      <c r="H1140" s="9" t="str">
        <f>IF(OR(B1140="",C1140=""),"",C1140*IFERROR(INDEX(Articles!$D:$D,MATCH(B1140,Articles!$B:$B,0)),0))</f>
        <v/>
      </c>
      <c r="I1140" s="9" t="str">
        <f>IF(OR(E1140="",H1140=""),"",E1140-H1140)</f>
        <v/>
      </c>
      <c r="J1140" s="4"/>
    </row>
    <row r="1141">
      <c r="A1141" s="7"/>
      <c r="B1141" s="4"/>
      <c r="C1141" s="6"/>
      <c r="D1141" s="5" t="str">
        <f>IF(B1141="","",IFERROR(INDEX(Articles!$E:$E,MATCH(B1141,Articles!$B:$B,0)),""))</f>
        <v/>
      </c>
      <c r="E1141" s="9" t="str">
        <f>IF(OR(C1141="",D1141=""),"",C1141*D1141)</f>
        <v/>
      </c>
      <c r="F1141" s="4"/>
      <c r="G1141" s="4"/>
      <c r="H1141" s="9" t="str">
        <f>IF(OR(B1141="",C1141=""),"",C1141*IFERROR(INDEX(Articles!$D:$D,MATCH(B1141,Articles!$B:$B,0)),0))</f>
        <v/>
      </c>
      <c r="I1141" s="9" t="str">
        <f>IF(OR(E1141="",H1141=""),"",E1141-H1141)</f>
        <v/>
      </c>
      <c r="J1141" s="4"/>
    </row>
    <row r="1142">
      <c r="A1142" s="7"/>
      <c r="B1142" s="4"/>
      <c r="C1142" s="6"/>
      <c r="D1142" s="5" t="str">
        <f>IF(B1142="","",IFERROR(INDEX(Articles!$E:$E,MATCH(B1142,Articles!$B:$B,0)),""))</f>
        <v/>
      </c>
      <c r="E1142" s="9" t="str">
        <f>IF(OR(C1142="",D1142=""),"",C1142*D1142)</f>
        <v/>
      </c>
      <c r="F1142" s="4"/>
      <c r="G1142" s="4"/>
      <c r="H1142" s="9" t="str">
        <f>IF(OR(B1142="",C1142=""),"",C1142*IFERROR(INDEX(Articles!$D:$D,MATCH(B1142,Articles!$B:$B,0)),0))</f>
        <v/>
      </c>
      <c r="I1142" s="9" t="str">
        <f>IF(OR(E1142="",H1142=""),"",E1142-H1142)</f>
        <v/>
      </c>
      <c r="J1142" s="4"/>
    </row>
    <row r="1143">
      <c r="A1143" s="7"/>
      <c r="B1143" s="4"/>
      <c r="C1143" s="6"/>
      <c r="D1143" s="5" t="str">
        <f>IF(B1143="","",IFERROR(INDEX(Articles!$E:$E,MATCH(B1143,Articles!$B:$B,0)),""))</f>
        <v/>
      </c>
      <c r="E1143" s="9" t="str">
        <f>IF(OR(C1143="",D1143=""),"",C1143*D1143)</f>
        <v/>
      </c>
      <c r="F1143" s="4"/>
      <c r="G1143" s="4"/>
      <c r="H1143" s="9" t="str">
        <f>IF(OR(B1143="",C1143=""),"",C1143*IFERROR(INDEX(Articles!$D:$D,MATCH(B1143,Articles!$B:$B,0)),0))</f>
        <v/>
      </c>
      <c r="I1143" s="9" t="str">
        <f>IF(OR(E1143="",H1143=""),"",E1143-H1143)</f>
        <v/>
      </c>
      <c r="J1143" s="4"/>
    </row>
    <row r="1144">
      <c r="A1144" s="7"/>
      <c r="B1144" s="4"/>
      <c r="C1144" s="6"/>
      <c r="D1144" s="5" t="str">
        <f>IF(B1144="","",IFERROR(INDEX(Articles!$E:$E,MATCH(B1144,Articles!$B:$B,0)),""))</f>
        <v/>
      </c>
      <c r="E1144" s="9" t="str">
        <f>IF(OR(C1144="",D1144=""),"",C1144*D1144)</f>
        <v/>
      </c>
      <c r="F1144" s="4"/>
      <c r="G1144" s="4"/>
      <c r="H1144" s="9" t="str">
        <f>IF(OR(B1144="",C1144=""),"",C1144*IFERROR(INDEX(Articles!$D:$D,MATCH(B1144,Articles!$B:$B,0)),0))</f>
        <v/>
      </c>
      <c r="I1144" s="9" t="str">
        <f>IF(OR(E1144="",H1144=""),"",E1144-H1144)</f>
        <v/>
      </c>
      <c r="J1144" s="4"/>
    </row>
    <row r="1145">
      <c r="A1145" s="7"/>
      <c r="B1145" s="4"/>
      <c r="C1145" s="6"/>
      <c r="D1145" s="5" t="str">
        <f>IF(B1145="","",IFERROR(INDEX(Articles!$E:$E,MATCH(B1145,Articles!$B:$B,0)),""))</f>
        <v/>
      </c>
      <c r="E1145" s="9" t="str">
        <f>IF(OR(C1145="",D1145=""),"",C1145*D1145)</f>
        <v/>
      </c>
      <c r="F1145" s="4"/>
      <c r="G1145" s="4"/>
      <c r="H1145" s="9" t="str">
        <f>IF(OR(B1145="",C1145=""),"",C1145*IFERROR(INDEX(Articles!$D:$D,MATCH(B1145,Articles!$B:$B,0)),0))</f>
        <v/>
      </c>
      <c r="I1145" s="9" t="str">
        <f>IF(OR(E1145="",H1145=""),"",E1145-H1145)</f>
        <v/>
      </c>
      <c r="J1145" s="4"/>
    </row>
    <row r="1146">
      <c r="A1146" s="7"/>
      <c r="B1146" s="4"/>
      <c r="C1146" s="6"/>
      <c r="D1146" s="5" t="str">
        <f>IF(B1146="","",IFERROR(INDEX(Articles!$E:$E,MATCH(B1146,Articles!$B:$B,0)),""))</f>
        <v/>
      </c>
      <c r="E1146" s="9" t="str">
        <f>IF(OR(C1146="",D1146=""),"",C1146*D1146)</f>
        <v/>
      </c>
      <c r="F1146" s="4"/>
      <c r="G1146" s="4"/>
      <c r="H1146" s="9" t="str">
        <f>IF(OR(B1146="",C1146=""),"",C1146*IFERROR(INDEX(Articles!$D:$D,MATCH(B1146,Articles!$B:$B,0)),0))</f>
        <v/>
      </c>
      <c r="I1146" s="9" t="str">
        <f>IF(OR(E1146="",H1146=""),"",E1146-H1146)</f>
        <v/>
      </c>
      <c r="J1146" s="4"/>
    </row>
    <row r="1147">
      <c r="A1147" s="7"/>
      <c r="B1147" s="4"/>
      <c r="C1147" s="6"/>
      <c r="D1147" s="5" t="str">
        <f>IF(B1147="","",IFERROR(INDEX(Articles!$E:$E,MATCH(B1147,Articles!$B:$B,0)),""))</f>
        <v/>
      </c>
      <c r="E1147" s="9" t="str">
        <f>IF(OR(C1147="",D1147=""),"",C1147*D1147)</f>
        <v/>
      </c>
      <c r="F1147" s="4"/>
      <c r="G1147" s="4"/>
      <c r="H1147" s="9" t="str">
        <f>IF(OR(B1147="",C1147=""),"",C1147*IFERROR(INDEX(Articles!$D:$D,MATCH(B1147,Articles!$B:$B,0)),0))</f>
        <v/>
      </c>
      <c r="I1147" s="9" t="str">
        <f>IF(OR(E1147="",H1147=""),"",E1147-H1147)</f>
        <v/>
      </c>
      <c r="J1147" s="4"/>
    </row>
    <row r="1148">
      <c r="A1148" s="7"/>
      <c r="B1148" s="4"/>
      <c r="C1148" s="6"/>
      <c r="D1148" s="5" t="str">
        <f>IF(B1148="","",IFERROR(INDEX(Articles!$E:$E,MATCH(B1148,Articles!$B:$B,0)),""))</f>
        <v/>
      </c>
      <c r="E1148" s="9" t="str">
        <f>IF(OR(C1148="",D1148=""),"",C1148*D1148)</f>
        <v/>
      </c>
      <c r="F1148" s="4"/>
      <c r="G1148" s="4"/>
      <c r="H1148" s="9" t="str">
        <f>IF(OR(B1148="",C1148=""),"",C1148*IFERROR(INDEX(Articles!$D:$D,MATCH(B1148,Articles!$B:$B,0)),0))</f>
        <v/>
      </c>
      <c r="I1148" s="9" t="str">
        <f>IF(OR(E1148="",H1148=""),"",E1148-H1148)</f>
        <v/>
      </c>
      <c r="J1148" s="4"/>
    </row>
    <row r="1149">
      <c r="A1149" s="7"/>
      <c r="B1149" s="4"/>
      <c r="C1149" s="6"/>
      <c r="D1149" s="5" t="str">
        <f>IF(B1149="","",IFERROR(INDEX(Articles!$E:$E,MATCH(B1149,Articles!$B:$B,0)),""))</f>
        <v/>
      </c>
      <c r="E1149" s="9" t="str">
        <f>IF(OR(C1149="",D1149=""),"",C1149*D1149)</f>
        <v/>
      </c>
      <c r="F1149" s="4"/>
      <c r="G1149" s="4"/>
      <c r="H1149" s="9" t="str">
        <f>IF(OR(B1149="",C1149=""),"",C1149*IFERROR(INDEX(Articles!$D:$D,MATCH(B1149,Articles!$B:$B,0)),0))</f>
        <v/>
      </c>
      <c r="I1149" s="9" t="str">
        <f>IF(OR(E1149="",H1149=""),"",E1149-H1149)</f>
        <v/>
      </c>
      <c r="J1149" s="4"/>
    </row>
    <row r="1150">
      <c r="A1150" s="7"/>
      <c r="B1150" s="4"/>
      <c r="C1150" s="6"/>
      <c r="D1150" s="5" t="str">
        <f>IF(B1150="","",IFERROR(INDEX(Articles!$E:$E,MATCH(B1150,Articles!$B:$B,0)),""))</f>
        <v/>
      </c>
      <c r="E1150" s="9" t="str">
        <f>IF(OR(C1150="",D1150=""),"",C1150*D1150)</f>
        <v/>
      </c>
      <c r="F1150" s="4"/>
      <c r="G1150" s="4"/>
      <c r="H1150" s="9" t="str">
        <f>IF(OR(B1150="",C1150=""),"",C1150*IFERROR(INDEX(Articles!$D:$D,MATCH(B1150,Articles!$B:$B,0)),0))</f>
        <v/>
      </c>
      <c r="I1150" s="9" t="str">
        <f>IF(OR(E1150="",H1150=""),"",E1150-H1150)</f>
        <v/>
      </c>
      <c r="J1150" s="4"/>
    </row>
    <row r="1151">
      <c r="A1151" s="7"/>
      <c r="B1151" s="4"/>
      <c r="C1151" s="6"/>
      <c r="D1151" s="5" t="str">
        <f>IF(B1151="","",IFERROR(INDEX(Articles!$E:$E,MATCH(B1151,Articles!$B:$B,0)),""))</f>
        <v/>
      </c>
      <c r="E1151" s="9" t="str">
        <f>IF(OR(C1151="",D1151=""),"",C1151*D1151)</f>
        <v/>
      </c>
      <c r="F1151" s="4"/>
      <c r="G1151" s="4"/>
      <c r="H1151" s="9" t="str">
        <f>IF(OR(B1151="",C1151=""),"",C1151*IFERROR(INDEX(Articles!$D:$D,MATCH(B1151,Articles!$B:$B,0)),0))</f>
        <v/>
      </c>
      <c r="I1151" s="9" t="str">
        <f>IF(OR(E1151="",H1151=""),"",E1151-H1151)</f>
        <v/>
      </c>
      <c r="J1151" s="4"/>
    </row>
    <row r="1152">
      <c r="A1152" s="7"/>
      <c r="B1152" s="4"/>
      <c r="C1152" s="6"/>
      <c r="D1152" s="5" t="str">
        <f>IF(B1152="","",IFERROR(INDEX(Articles!$E:$E,MATCH(B1152,Articles!$B:$B,0)),""))</f>
        <v/>
      </c>
      <c r="E1152" s="9" t="str">
        <f>IF(OR(C1152="",D1152=""),"",C1152*D1152)</f>
        <v/>
      </c>
      <c r="F1152" s="4"/>
      <c r="G1152" s="4"/>
      <c r="H1152" s="9" t="str">
        <f>IF(OR(B1152="",C1152=""),"",C1152*IFERROR(INDEX(Articles!$D:$D,MATCH(B1152,Articles!$B:$B,0)),0))</f>
        <v/>
      </c>
      <c r="I1152" s="9" t="str">
        <f>IF(OR(E1152="",H1152=""),"",E1152-H1152)</f>
        <v/>
      </c>
      <c r="J1152" s="4"/>
    </row>
    <row r="1153">
      <c r="A1153" s="7"/>
      <c r="B1153" s="4"/>
      <c r="C1153" s="6"/>
      <c r="D1153" s="5" t="str">
        <f>IF(B1153="","",IFERROR(INDEX(Articles!$E:$E,MATCH(B1153,Articles!$B:$B,0)),""))</f>
        <v/>
      </c>
      <c r="E1153" s="9" t="str">
        <f>IF(OR(C1153="",D1153=""),"",C1153*D1153)</f>
        <v/>
      </c>
      <c r="F1153" s="4"/>
      <c r="G1153" s="4"/>
      <c r="H1153" s="9" t="str">
        <f>IF(OR(B1153="",C1153=""),"",C1153*IFERROR(INDEX(Articles!$D:$D,MATCH(B1153,Articles!$B:$B,0)),0))</f>
        <v/>
      </c>
      <c r="I1153" s="9" t="str">
        <f>IF(OR(E1153="",H1153=""),"",E1153-H1153)</f>
        <v/>
      </c>
      <c r="J1153" s="4"/>
    </row>
    <row r="1154">
      <c r="A1154" s="7"/>
      <c r="B1154" s="4"/>
      <c r="C1154" s="6"/>
      <c r="D1154" s="5" t="str">
        <f>IF(B1154="","",IFERROR(INDEX(Articles!$E:$E,MATCH(B1154,Articles!$B:$B,0)),""))</f>
        <v/>
      </c>
      <c r="E1154" s="9" t="str">
        <f>IF(OR(C1154="",D1154=""),"",C1154*D1154)</f>
        <v/>
      </c>
      <c r="F1154" s="4"/>
      <c r="G1154" s="4"/>
      <c r="H1154" s="9" t="str">
        <f>IF(OR(B1154="",C1154=""),"",C1154*IFERROR(INDEX(Articles!$D:$D,MATCH(B1154,Articles!$B:$B,0)),0))</f>
        <v/>
      </c>
      <c r="I1154" s="9" t="str">
        <f>IF(OR(E1154="",H1154=""),"",E1154-H1154)</f>
        <v/>
      </c>
      <c r="J1154" s="4"/>
    </row>
    <row r="1155">
      <c r="A1155" s="7"/>
      <c r="B1155" s="4"/>
      <c r="C1155" s="6"/>
      <c r="D1155" s="5" t="str">
        <f>IF(B1155="","",IFERROR(INDEX(Articles!$E:$E,MATCH(B1155,Articles!$B:$B,0)),""))</f>
        <v/>
      </c>
      <c r="E1155" s="9" t="str">
        <f>IF(OR(C1155="",D1155=""),"",C1155*D1155)</f>
        <v/>
      </c>
      <c r="F1155" s="4"/>
      <c r="G1155" s="4"/>
      <c r="H1155" s="9" t="str">
        <f>IF(OR(B1155="",C1155=""),"",C1155*IFERROR(INDEX(Articles!$D:$D,MATCH(B1155,Articles!$B:$B,0)),0))</f>
        <v/>
      </c>
      <c r="I1155" s="9" t="str">
        <f>IF(OR(E1155="",H1155=""),"",E1155-H1155)</f>
        <v/>
      </c>
      <c r="J1155" s="4"/>
    </row>
    <row r="1156">
      <c r="A1156" s="7"/>
      <c r="B1156" s="4"/>
      <c r="C1156" s="6"/>
      <c r="D1156" s="5" t="str">
        <f>IF(B1156="","",IFERROR(INDEX(Articles!$E:$E,MATCH(B1156,Articles!$B:$B,0)),""))</f>
        <v/>
      </c>
      <c r="E1156" s="9" t="str">
        <f>IF(OR(C1156="",D1156=""),"",C1156*D1156)</f>
        <v/>
      </c>
      <c r="F1156" s="4"/>
      <c r="G1156" s="4"/>
      <c r="H1156" s="9" t="str">
        <f>IF(OR(B1156="",C1156=""),"",C1156*IFERROR(INDEX(Articles!$D:$D,MATCH(B1156,Articles!$B:$B,0)),0))</f>
        <v/>
      </c>
      <c r="I1156" s="9" t="str">
        <f>IF(OR(E1156="",H1156=""),"",E1156-H1156)</f>
        <v/>
      </c>
      <c r="J1156" s="4"/>
    </row>
    <row r="1157">
      <c r="A1157" s="7"/>
      <c r="B1157" s="4"/>
      <c r="C1157" s="6"/>
      <c r="D1157" s="5" t="str">
        <f>IF(B1157="","",IFERROR(INDEX(Articles!$E:$E,MATCH(B1157,Articles!$B:$B,0)),""))</f>
        <v/>
      </c>
      <c r="E1157" s="9" t="str">
        <f>IF(OR(C1157="",D1157=""),"",C1157*D1157)</f>
        <v/>
      </c>
      <c r="F1157" s="4"/>
      <c r="G1157" s="4"/>
      <c r="H1157" s="9" t="str">
        <f>IF(OR(B1157="",C1157=""),"",C1157*IFERROR(INDEX(Articles!$D:$D,MATCH(B1157,Articles!$B:$B,0)),0))</f>
        <v/>
      </c>
      <c r="I1157" s="9" t="str">
        <f>IF(OR(E1157="",H1157=""),"",E1157-H1157)</f>
        <v/>
      </c>
      <c r="J1157" s="4"/>
    </row>
    <row r="1158">
      <c r="A1158" s="7"/>
      <c r="B1158" s="4"/>
      <c r="C1158" s="6"/>
      <c r="D1158" s="5" t="str">
        <f>IF(B1158="","",IFERROR(INDEX(Articles!$E:$E,MATCH(B1158,Articles!$B:$B,0)),""))</f>
        <v/>
      </c>
      <c r="E1158" s="9" t="str">
        <f>IF(OR(C1158="",D1158=""),"",C1158*D1158)</f>
        <v/>
      </c>
      <c r="F1158" s="4"/>
      <c r="G1158" s="4"/>
      <c r="H1158" s="9" t="str">
        <f>IF(OR(B1158="",C1158=""),"",C1158*IFERROR(INDEX(Articles!$D:$D,MATCH(B1158,Articles!$B:$B,0)),0))</f>
        <v/>
      </c>
      <c r="I1158" s="9" t="str">
        <f>IF(OR(E1158="",H1158=""),"",E1158-H1158)</f>
        <v/>
      </c>
      <c r="J1158" s="4"/>
    </row>
    <row r="1159">
      <c r="A1159" s="7"/>
      <c r="B1159" s="4"/>
      <c r="C1159" s="6"/>
      <c r="D1159" s="5" t="str">
        <f>IF(B1159="","",IFERROR(INDEX(Articles!$E:$E,MATCH(B1159,Articles!$B:$B,0)),""))</f>
        <v/>
      </c>
      <c r="E1159" s="9" t="str">
        <f>IF(OR(C1159="",D1159=""),"",C1159*D1159)</f>
        <v/>
      </c>
      <c r="F1159" s="4"/>
      <c r="G1159" s="4"/>
      <c r="H1159" s="9" t="str">
        <f>IF(OR(B1159="",C1159=""),"",C1159*IFERROR(INDEX(Articles!$D:$D,MATCH(B1159,Articles!$B:$B,0)),0))</f>
        <v/>
      </c>
      <c r="I1159" s="9" t="str">
        <f>IF(OR(E1159="",H1159=""),"",E1159-H1159)</f>
        <v/>
      </c>
      <c r="J1159" s="4"/>
    </row>
    <row r="1160">
      <c r="A1160" s="7"/>
      <c r="B1160" s="4"/>
      <c r="C1160" s="6"/>
      <c r="D1160" s="5" t="str">
        <f>IF(B1160="","",IFERROR(INDEX(Articles!$E:$E,MATCH(B1160,Articles!$B:$B,0)),""))</f>
        <v/>
      </c>
      <c r="E1160" s="9" t="str">
        <f>IF(OR(C1160="",D1160=""),"",C1160*D1160)</f>
        <v/>
      </c>
      <c r="F1160" s="4"/>
      <c r="G1160" s="4"/>
      <c r="H1160" s="9" t="str">
        <f>IF(OR(B1160="",C1160=""),"",C1160*IFERROR(INDEX(Articles!$D:$D,MATCH(B1160,Articles!$B:$B,0)),0))</f>
        <v/>
      </c>
      <c r="I1160" s="9" t="str">
        <f>IF(OR(E1160="",H1160=""),"",E1160-H1160)</f>
        <v/>
      </c>
      <c r="J1160" s="4"/>
    </row>
    <row r="1161">
      <c r="A1161" s="7"/>
      <c r="B1161" s="4"/>
      <c r="C1161" s="6"/>
      <c r="D1161" s="5" t="str">
        <f>IF(B1161="","",IFERROR(INDEX(Articles!$E:$E,MATCH(B1161,Articles!$B:$B,0)),""))</f>
        <v/>
      </c>
      <c r="E1161" s="9" t="str">
        <f>IF(OR(C1161="",D1161=""),"",C1161*D1161)</f>
        <v/>
      </c>
      <c r="F1161" s="4"/>
      <c r="G1161" s="4"/>
      <c r="H1161" s="9" t="str">
        <f>IF(OR(B1161="",C1161=""),"",C1161*IFERROR(INDEX(Articles!$D:$D,MATCH(B1161,Articles!$B:$B,0)),0))</f>
        <v/>
      </c>
      <c r="I1161" s="9" t="str">
        <f>IF(OR(E1161="",H1161=""),"",E1161-H1161)</f>
        <v/>
      </c>
      <c r="J1161" s="4"/>
    </row>
    <row r="1162">
      <c r="A1162" s="7"/>
      <c r="B1162" s="4"/>
      <c r="C1162" s="6"/>
      <c r="D1162" s="5" t="str">
        <f>IF(B1162="","",IFERROR(INDEX(Articles!$E:$E,MATCH(B1162,Articles!$B:$B,0)),""))</f>
        <v/>
      </c>
      <c r="E1162" s="9" t="str">
        <f>IF(OR(C1162="",D1162=""),"",C1162*D1162)</f>
        <v/>
      </c>
      <c r="F1162" s="4"/>
      <c r="G1162" s="4"/>
      <c r="H1162" s="9" t="str">
        <f>IF(OR(B1162="",C1162=""),"",C1162*IFERROR(INDEX(Articles!$D:$D,MATCH(B1162,Articles!$B:$B,0)),0))</f>
        <v/>
      </c>
      <c r="I1162" s="9" t="str">
        <f>IF(OR(E1162="",H1162=""),"",E1162-H1162)</f>
        <v/>
      </c>
      <c r="J1162" s="4"/>
    </row>
    <row r="1163">
      <c r="A1163" s="7"/>
      <c r="B1163" s="4"/>
      <c r="C1163" s="6"/>
      <c r="D1163" s="5" t="str">
        <f>IF(B1163="","",IFERROR(INDEX(Articles!$E:$E,MATCH(B1163,Articles!$B:$B,0)),""))</f>
        <v/>
      </c>
      <c r="E1163" s="9" t="str">
        <f>IF(OR(C1163="",D1163=""),"",C1163*D1163)</f>
        <v/>
      </c>
      <c r="F1163" s="4"/>
      <c r="G1163" s="4"/>
      <c r="H1163" s="9" t="str">
        <f>IF(OR(B1163="",C1163=""),"",C1163*IFERROR(INDEX(Articles!$D:$D,MATCH(B1163,Articles!$B:$B,0)),0))</f>
        <v/>
      </c>
      <c r="I1163" s="9" t="str">
        <f>IF(OR(E1163="",H1163=""),"",E1163-H1163)</f>
        <v/>
      </c>
      <c r="J1163" s="4"/>
    </row>
    <row r="1164">
      <c r="A1164" s="7"/>
      <c r="B1164" s="4"/>
      <c r="C1164" s="6"/>
      <c r="D1164" s="5" t="str">
        <f>IF(B1164="","",IFERROR(INDEX(Articles!$E:$E,MATCH(B1164,Articles!$B:$B,0)),""))</f>
        <v/>
      </c>
      <c r="E1164" s="9" t="str">
        <f>IF(OR(C1164="",D1164=""),"",C1164*D1164)</f>
        <v/>
      </c>
      <c r="F1164" s="4"/>
      <c r="G1164" s="4"/>
      <c r="H1164" s="9" t="str">
        <f>IF(OR(B1164="",C1164=""),"",C1164*IFERROR(INDEX(Articles!$D:$D,MATCH(B1164,Articles!$B:$B,0)),0))</f>
        <v/>
      </c>
      <c r="I1164" s="9" t="str">
        <f>IF(OR(E1164="",H1164=""),"",E1164-H1164)</f>
        <v/>
      </c>
      <c r="J1164" s="4"/>
    </row>
    <row r="1165">
      <c r="A1165" s="7"/>
      <c r="B1165" s="4"/>
      <c r="C1165" s="6"/>
      <c r="D1165" s="5" t="str">
        <f>IF(B1165="","",IFERROR(INDEX(Articles!$E:$E,MATCH(B1165,Articles!$B:$B,0)),""))</f>
        <v/>
      </c>
      <c r="E1165" s="9" t="str">
        <f>IF(OR(C1165="",D1165=""),"",C1165*D1165)</f>
        <v/>
      </c>
      <c r="F1165" s="4"/>
      <c r="G1165" s="4"/>
      <c r="H1165" s="9" t="str">
        <f>IF(OR(B1165="",C1165=""),"",C1165*IFERROR(INDEX(Articles!$D:$D,MATCH(B1165,Articles!$B:$B,0)),0))</f>
        <v/>
      </c>
      <c r="I1165" s="9" t="str">
        <f>IF(OR(E1165="",H1165=""),"",E1165-H1165)</f>
        <v/>
      </c>
      <c r="J1165" s="4"/>
    </row>
    <row r="1166">
      <c r="A1166" s="7"/>
      <c r="B1166" s="4"/>
      <c r="C1166" s="6"/>
      <c r="D1166" s="5" t="str">
        <f>IF(B1166="","",IFERROR(INDEX(Articles!$E:$E,MATCH(B1166,Articles!$B:$B,0)),""))</f>
        <v/>
      </c>
      <c r="E1166" s="9" t="str">
        <f>IF(OR(C1166="",D1166=""),"",C1166*D1166)</f>
        <v/>
      </c>
      <c r="F1166" s="4"/>
      <c r="G1166" s="4"/>
      <c r="H1166" s="9" t="str">
        <f>IF(OR(B1166="",C1166=""),"",C1166*IFERROR(INDEX(Articles!$D:$D,MATCH(B1166,Articles!$B:$B,0)),0))</f>
        <v/>
      </c>
      <c r="I1166" s="9" t="str">
        <f>IF(OR(E1166="",H1166=""),"",E1166-H1166)</f>
        <v/>
      </c>
      <c r="J1166" s="4"/>
    </row>
    <row r="1167">
      <c r="A1167" s="7"/>
      <c r="B1167" s="4"/>
      <c r="C1167" s="6"/>
      <c r="D1167" s="5" t="str">
        <f>IF(B1167="","",IFERROR(INDEX(Articles!$E:$E,MATCH(B1167,Articles!$B:$B,0)),""))</f>
        <v/>
      </c>
      <c r="E1167" s="9" t="str">
        <f>IF(OR(C1167="",D1167=""),"",C1167*D1167)</f>
        <v/>
      </c>
      <c r="F1167" s="4"/>
      <c r="G1167" s="4"/>
      <c r="H1167" s="9" t="str">
        <f>IF(OR(B1167="",C1167=""),"",C1167*IFERROR(INDEX(Articles!$D:$D,MATCH(B1167,Articles!$B:$B,0)),0))</f>
        <v/>
      </c>
      <c r="I1167" s="9" t="str">
        <f>IF(OR(E1167="",H1167=""),"",E1167-H1167)</f>
        <v/>
      </c>
      <c r="J1167" s="4"/>
    </row>
    <row r="1168">
      <c r="A1168" s="7"/>
      <c r="B1168" s="4"/>
      <c r="C1168" s="6"/>
      <c r="D1168" s="5" t="str">
        <f>IF(B1168="","",IFERROR(INDEX(Articles!$E:$E,MATCH(B1168,Articles!$B:$B,0)),""))</f>
        <v/>
      </c>
      <c r="E1168" s="9" t="str">
        <f>IF(OR(C1168="",D1168=""),"",C1168*D1168)</f>
        <v/>
      </c>
      <c r="F1168" s="4"/>
      <c r="G1168" s="4"/>
      <c r="H1168" s="9" t="str">
        <f>IF(OR(B1168="",C1168=""),"",C1168*IFERROR(INDEX(Articles!$D:$D,MATCH(B1168,Articles!$B:$B,0)),0))</f>
        <v/>
      </c>
      <c r="I1168" s="9" t="str">
        <f>IF(OR(E1168="",H1168=""),"",E1168-H1168)</f>
        <v/>
      </c>
      <c r="J1168" s="4"/>
    </row>
    <row r="1169">
      <c r="A1169" s="7"/>
      <c r="B1169" s="4"/>
      <c r="C1169" s="6"/>
      <c r="D1169" s="5" t="str">
        <f>IF(B1169="","",IFERROR(INDEX(Articles!$E:$E,MATCH(B1169,Articles!$B:$B,0)),""))</f>
        <v/>
      </c>
      <c r="E1169" s="9" t="str">
        <f>IF(OR(C1169="",D1169=""),"",C1169*D1169)</f>
        <v/>
      </c>
      <c r="F1169" s="4"/>
      <c r="G1169" s="4"/>
      <c r="H1169" s="9" t="str">
        <f>IF(OR(B1169="",C1169=""),"",C1169*IFERROR(INDEX(Articles!$D:$D,MATCH(B1169,Articles!$B:$B,0)),0))</f>
        <v/>
      </c>
      <c r="I1169" s="9" t="str">
        <f>IF(OR(E1169="",H1169=""),"",E1169-H1169)</f>
        <v/>
      </c>
      <c r="J1169" s="4"/>
    </row>
    <row r="1170">
      <c r="A1170" s="7"/>
      <c r="B1170" s="4"/>
      <c r="C1170" s="6"/>
      <c r="D1170" s="5" t="str">
        <f>IF(B1170="","",IFERROR(INDEX(Articles!$E:$E,MATCH(B1170,Articles!$B:$B,0)),""))</f>
        <v/>
      </c>
      <c r="E1170" s="9" t="str">
        <f>IF(OR(C1170="",D1170=""),"",C1170*D1170)</f>
        <v/>
      </c>
      <c r="F1170" s="4"/>
      <c r="G1170" s="4"/>
      <c r="H1170" s="9" t="str">
        <f>IF(OR(B1170="",C1170=""),"",C1170*IFERROR(INDEX(Articles!$D:$D,MATCH(B1170,Articles!$B:$B,0)),0))</f>
        <v/>
      </c>
      <c r="I1170" s="9" t="str">
        <f>IF(OR(E1170="",H1170=""),"",E1170-H1170)</f>
        <v/>
      </c>
      <c r="J1170" s="4"/>
    </row>
    <row r="1171">
      <c r="A1171" s="7"/>
      <c r="B1171" s="4"/>
      <c r="C1171" s="6"/>
      <c r="D1171" s="5" t="str">
        <f>IF(B1171="","",IFERROR(INDEX(Articles!$E:$E,MATCH(B1171,Articles!$B:$B,0)),""))</f>
        <v/>
      </c>
      <c r="E1171" s="9" t="str">
        <f>IF(OR(C1171="",D1171=""),"",C1171*D1171)</f>
        <v/>
      </c>
      <c r="F1171" s="4"/>
      <c r="G1171" s="4"/>
      <c r="H1171" s="9" t="str">
        <f>IF(OR(B1171="",C1171=""),"",C1171*IFERROR(INDEX(Articles!$D:$D,MATCH(B1171,Articles!$B:$B,0)),0))</f>
        <v/>
      </c>
      <c r="I1171" s="9" t="str">
        <f>IF(OR(E1171="",H1171=""),"",E1171-H1171)</f>
        <v/>
      </c>
      <c r="J1171" s="4"/>
    </row>
    <row r="1172">
      <c r="A1172" s="7"/>
      <c r="B1172" s="4"/>
      <c r="C1172" s="6"/>
      <c r="D1172" s="5" t="str">
        <f>IF(B1172="","",IFERROR(INDEX(Articles!$E:$E,MATCH(B1172,Articles!$B:$B,0)),""))</f>
        <v/>
      </c>
      <c r="E1172" s="9" t="str">
        <f>IF(OR(C1172="",D1172=""),"",C1172*D1172)</f>
        <v/>
      </c>
      <c r="F1172" s="4"/>
      <c r="G1172" s="4"/>
      <c r="H1172" s="9" t="str">
        <f>IF(OR(B1172="",C1172=""),"",C1172*IFERROR(INDEX(Articles!$D:$D,MATCH(B1172,Articles!$B:$B,0)),0))</f>
        <v/>
      </c>
      <c r="I1172" s="9" t="str">
        <f>IF(OR(E1172="",H1172=""),"",E1172-H1172)</f>
        <v/>
      </c>
      <c r="J1172" s="4"/>
    </row>
    <row r="1173">
      <c r="A1173" s="7"/>
      <c r="B1173" s="4"/>
      <c r="C1173" s="6"/>
      <c r="D1173" s="5" t="str">
        <f>IF(B1173="","",IFERROR(INDEX(Articles!$E:$E,MATCH(B1173,Articles!$B:$B,0)),""))</f>
        <v/>
      </c>
      <c r="E1173" s="9" t="str">
        <f>IF(OR(C1173="",D1173=""),"",C1173*D1173)</f>
        <v/>
      </c>
      <c r="F1173" s="4"/>
      <c r="G1173" s="4"/>
      <c r="H1173" s="9" t="str">
        <f>IF(OR(B1173="",C1173=""),"",C1173*IFERROR(INDEX(Articles!$D:$D,MATCH(B1173,Articles!$B:$B,0)),0))</f>
        <v/>
      </c>
      <c r="I1173" s="9" t="str">
        <f>IF(OR(E1173="",H1173=""),"",E1173-H1173)</f>
        <v/>
      </c>
      <c r="J1173" s="4"/>
    </row>
    <row r="1174">
      <c r="A1174" s="7"/>
      <c r="B1174" s="4"/>
      <c r="C1174" s="6"/>
      <c r="D1174" s="5" t="str">
        <f>IF(B1174="","",IFERROR(INDEX(Articles!$E:$E,MATCH(B1174,Articles!$B:$B,0)),""))</f>
        <v/>
      </c>
      <c r="E1174" s="9" t="str">
        <f>IF(OR(C1174="",D1174=""),"",C1174*D1174)</f>
        <v/>
      </c>
      <c r="F1174" s="4"/>
      <c r="G1174" s="4"/>
      <c r="H1174" s="9" t="str">
        <f>IF(OR(B1174="",C1174=""),"",C1174*IFERROR(INDEX(Articles!$D:$D,MATCH(B1174,Articles!$B:$B,0)),0))</f>
        <v/>
      </c>
      <c r="I1174" s="9" t="str">
        <f>IF(OR(E1174="",H1174=""),"",E1174-H1174)</f>
        <v/>
      </c>
      <c r="J1174" s="4"/>
    </row>
    <row r="1175">
      <c r="A1175" s="7"/>
      <c r="B1175" s="4"/>
      <c r="C1175" s="6"/>
      <c r="D1175" s="5" t="str">
        <f>IF(B1175="","",IFERROR(INDEX(Articles!$E:$E,MATCH(B1175,Articles!$B:$B,0)),""))</f>
        <v/>
      </c>
      <c r="E1175" s="9" t="str">
        <f>IF(OR(C1175="",D1175=""),"",C1175*D1175)</f>
        <v/>
      </c>
      <c r="F1175" s="4"/>
      <c r="G1175" s="4"/>
      <c r="H1175" s="9" t="str">
        <f>IF(OR(B1175="",C1175=""),"",C1175*IFERROR(INDEX(Articles!$D:$D,MATCH(B1175,Articles!$B:$B,0)),0))</f>
        <v/>
      </c>
      <c r="I1175" s="9" t="str">
        <f>IF(OR(E1175="",H1175=""),"",E1175-H1175)</f>
        <v/>
      </c>
      <c r="J1175" s="4"/>
    </row>
    <row r="1176">
      <c r="A1176" s="7"/>
      <c r="B1176" s="4"/>
      <c r="C1176" s="6"/>
      <c r="D1176" s="5" t="str">
        <f>IF(B1176="","",IFERROR(INDEX(Articles!$E:$E,MATCH(B1176,Articles!$B:$B,0)),""))</f>
        <v/>
      </c>
      <c r="E1176" s="9" t="str">
        <f>IF(OR(C1176="",D1176=""),"",C1176*D1176)</f>
        <v/>
      </c>
      <c r="F1176" s="4"/>
      <c r="G1176" s="4"/>
      <c r="H1176" s="9" t="str">
        <f>IF(OR(B1176="",C1176=""),"",C1176*IFERROR(INDEX(Articles!$D:$D,MATCH(B1176,Articles!$B:$B,0)),0))</f>
        <v/>
      </c>
      <c r="I1176" s="9" t="str">
        <f>IF(OR(E1176="",H1176=""),"",E1176-H1176)</f>
        <v/>
      </c>
      <c r="J1176" s="4"/>
    </row>
    <row r="1177">
      <c r="A1177" s="7"/>
      <c r="B1177" s="4"/>
      <c r="C1177" s="6"/>
      <c r="D1177" s="5" t="str">
        <f>IF(B1177="","",IFERROR(INDEX(Articles!$E:$E,MATCH(B1177,Articles!$B:$B,0)),""))</f>
        <v/>
      </c>
      <c r="E1177" s="9" t="str">
        <f>IF(OR(C1177="",D1177=""),"",C1177*D1177)</f>
        <v/>
      </c>
      <c r="F1177" s="4"/>
      <c r="G1177" s="4"/>
      <c r="H1177" s="9" t="str">
        <f>IF(OR(B1177="",C1177=""),"",C1177*IFERROR(INDEX(Articles!$D:$D,MATCH(B1177,Articles!$B:$B,0)),0))</f>
        <v/>
      </c>
      <c r="I1177" s="9" t="str">
        <f>IF(OR(E1177="",H1177=""),"",E1177-H1177)</f>
        <v/>
      </c>
      <c r="J1177" s="4"/>
    </row>
    <row r="1178">
      <c r="A1178" s="7"/>
      <c r="B1178" s="4"/>
      <c r="C1178" s="6"/>
      <c r="D1178" s="5" t="str">
        <f>IF(B1178="","",IFERROR(INDEX(Articles!$E:$E,MATCH(B1178,Articles!$B:$B,0)),""))</f>
        <v/>
      </c>
      <c r="E1178" s="9" t="str">
        <f>IF(OR(C1178="",D1178=""),"",C1178*D1178)</f>
        <v/>
      </c>
      <c r="F1178" s="4"/>
      <c r="G1178" s="4"/>
      <c r="H1178" s="9" t="str">
        <f>IF(OR(B1178="",C1178=""),"",C1178*IFERROR(INDEX(Articles!$D:$D,MATCH(B1178,Articles!$B:$B,0)),0))</f>
        <v/>
      </c>
      <c r="I1178" s="9" t="str">
        <f>IF(OR(E1178="",H1178=""),"",E1178-H1178)</f>
        <v/>
      </c>
      <c r="J1178" s="4"/>
    </row>
    <row r="1179">
      <c r="A1179" s="7"/>
      <c r="B1179" s="4"/>
      <c r="C1179" s="6"/>
      <c r="D1179" s="5" t="str">
        <f>IF(B1179="","",IFERROR(INDEX(Articles!$E:$E,MATCH(B1179,Articles!$B:$B,0)),""))</f>
        <v/>
      </c>
      <c r="E1179" s="9" t="str">
        <f>IF(OR(C1179="",D1179=""),"",C1179*D1179)</f>
        <v/>
      </c>
      <c r="F1179" s="4"/>
      <c r="G1179" s="4"/>
      <c r="H1179" s="9" t="str">
        <f>IF(OR(B1179="",C1179=""),"",C1179*IFERROR(INDEX(Articles!$D:$D,MATCH(B1179,Articles!$B:$B,0)),0))</f>
        <v/>
      </c>
      <c r="I1179" s="9" t="str">
        <f>IF(OR(E1179="",H1179=""),"",E1179-H1179)</f>
        <v/>
      </c>
      <c r="J1179" s="4"/>
    </row>
    <row r="1180">
      <c r="A1180" s="7"/>
      <c r="B1180" s="4"/>
      <c r="C1180" s="6"/>
      <c r="D1180" s="5" t="str">
        <f>IF(B1180="","",IFERROR(INDEX(Articles!$E:$E,MATCH(B1180,Articles!$B:$B,0)),""))</f>
        <v/>
      </c>
      <c r="E1180" s="9" t="str">
        <f>IF(OR(C1180="",D1180=""),"",C1180*D1180)</f>
        <v/>
      </c>
      <c r="F1180" s="4"/>
      <c r="G1180" s="4"/>
      <c r="H1180" s="9" t="str">
        <f>IF(OR(B1180="",C1180=""),"",C1180*IFERROR(INDEX(Articles!$D:$D,MATCH(B1180,Articles!$B:$B,0)),0))</f>
        <v/>
      </c>
      <c r="I1180" s="9" t="str">
        <f>IF(OR(E1180="",H1180=""),"",E1180-H1180)</f>
        <v/>
      </c>
      <c r="J1180" s="4"/>
    </row>
    <row r="1181">
      <c r="A1181" s="7"/>
      <c r="B1181" s="4"/>
      <c r="C1181" s="6"/>
      <c r="D1181" s="5" t="str">
        <f>IF(B1181="","",IFERROR(INDEX(Articles!$E:$E,MATCH(B1181,Articles!$B:$B,0)),""))</f>
        <v/>
      </c>
      <c r="E1181" s="9" t="str">
        <f>IF(OR(C1181="",D1181=""),"",C1181*D1181)</f>
        <v/>
      </c>
      <c r="F1181" s="4"/>
      <c r="G1181" s="4"/>
      <c r="H1181" s="9" t="str">
        <f>IF(OR(B1181="",C1181=""),"",C1181*IFERROR(INDEX(Articles!$D:$D,MATCH(B1181,Articles!$B:$B,0)),0))</f>
        <v/>
      </c>
      <c r="I1181" s="9" t="str">
        <f>IF(OR(E1181="",H1181=""),"",E1181-H1181)</f>
        <v/>
      </c>
      <c r="J1181" s="4"/>
    </row>
    <row r="1182">
      <c r="A1182" s="7"/>
      <c r="B1182" s="4"/>
      <c r="C1182" s="6"/>
      <c r="D1182" s="5" t="str">
        <f>IF(B1182="","",IFERROR(INDEX(Articles!$E:$E,MATCH(B1182,Articles!$B:$B,0)),""))</f>
        <v/>
      </c>
      <c r="E1182" s="9" t="str">
        <f>IF(OR(C1182="",D1182=""),"",C1182*D1182)</f>
        <v/>
      </c>
      <c r="F1182" s="4"/>
      <c r="G1182" s="4"/>
      <c r="H1182" s="9" t="str">
        <f>IF(OR(B1182="",C1182=""),"",C1182*IFERROR(INDEX(Articles!$D:$D,MATCH(B1182,Articles!$B:$B,0)),0))</f>
        <v/>
      </c>
      <c r="I1182" s="9" t="str">
        <f>IF(OR(E1182="",H1182=""),"",E1182-H1182)</f>
        <v/>
      </c>
      <c r="J1182" s="4"/>
    </row>
    <row r="1183">
      <c r="A1183" s="7"/>
      <c r="B1183" s="4"/>
      <c r="C1183" s="6"/>
      <c r="D1183" s="5" t="str">
        <f>IF(B1183="","",IFERROR(INDEX(Articles!$E:$E,MATCH(B1183,Articles!$B:$B,0)),""))</f>
        <v/>
      </c>
      <c r="E1183" s="9" t="str">
        <f>IF(OR(C1183="",D1183=""),"",C1183*D1183)</f>
        <v/>
      </c>
      <c r="F1183" s="4"/>
      <c r="G1183" s="4"/>
      <c r="H1183" s="9" t="str">
        <f>IF(OR(B1183="",C1183=""),"",C1183*IFERROR(INDEX(Articles!$D:$D,MATCH(B1183,Articles!$B:$B,0)),0))</f>
        <v/>
      </c>
      <c r="I1183" s="9" t="str">
        <f>IF(OR(E1183="",H1183=""),"",E1183-H1183)</f>
        <v/>
      </c>
      <c r="J1183" s="4"/>
    </row>
    <row r="1184">
      <c r="A1184" s="7"/>
      <c r="B1184" s="4"/>
      <c r="C1184" s="6"/>
      <c r="D1184" s="5" t="str">
        <f>IF(B1184="","",IFERROR(INDEX(Articles!$E:$E,MATCH(B1184,Articles!$B:$B,0)),""))</f>
        <v/>
      </c>
      <c r="E1184" s="9" t="str">
        <f>IF(OR(C1184="",D1184=""),"",C1184*D1184)</f>
        <v/>
      </c>
      <c r="F1184" s="4"/>
      <c r="G1184" s="4"/>
      <c r="H1184" s="9" t="str">
        <f>IF(OR(B1184="",C1184=""),"",C1184*IFERROR(INDEX(Articles!$D:$D,MATCH(B1184,Articles!$B:$B,0)),0))</f>
        <v/>
      </c>
      <c r="I1184" s="9" t="str">
        <f>IF(OR(E1184="",H1184=""),"",E1184-H1184)</f>
        <v/>
      </c>
      <c r="J1184" s="4"/>
    </row>
    <row r="1185">
      <c r="A1185" s="7"/>
      <c r="B1185" s="4"/>
      <c r="C1185" s="6"/>
      <c r="D1185" s="5" t="str">
        <f>IF(B1185="","",IFERROR(INDEX(Articles!$E:$E,MATCH(B1185,Articles!$B:$B,0)),""))</f>
        <v/>
      </c>
      <c r="E1185" s="9" t="str">
        <f>IF(OR(C1185="",D1185=""),"",C1185*D1185)</f>
        <v/>
      </c>
      <c r="F1185" s="4"/>
      <c r="G1185" s="4"/>
      <c r="H1185" s="9" t="str">
        <f>IF(OR(B1185="",C1185=""),"",C1185*IFERROR(INDEX(Articles!$D:$D,MATCH(B1185,Articles!$B:$B,0)),0))</f>
        <v/>
      </c>
      <c r="I1185" s="9" t="str">
        <f>IF(OR(E1185="",H1185=""),"",E1185-H1185)</f>
        <v/>
      </c>
      <c r="J1185" s="4"/>
    </row>
    <row r="1186">
      <c r="A1186" s="7"/>
      <c r="B1186" s="4"/>
      <c r="C1186" s="6"/>
      <c r="D1186" s="5" t="str">
        <f>IF(B1186="","",IFERROR(INDEX(Articles!$E:$E,MATCH(B1186,Articles!$B:$B,0)),""))</f>
        <v/>
      </c>
      <c r="E1186" s="9" t="str">
        <f>IF(OR(C1186="",D1186=""),"",C1186*D1186)</f>
        <v/>
      </c>
      <c r="F1186" s="4"/>
      <c r="G1186" s="4"/>
      <c r="H1186" s="9" t="str">
        <f>IF(OR(B1186="",C1186=""),"",C1186*IFERROR(INDEX(Articles!$D:$D,MATCH(B1186,Articles!$B:$B,0)),0))</f>
        <v/>
      </c>
      <c r="I1186" s="9" t="str">
        <f>IF(OR(E1186="",H1186=""),"",E1186-H1186)</f>
        <v/>
      </c>
      <c r="J1186" s="4"/>
    </row>
    <row r="1187">
      <c r="A1187" s="7"/>
      <c r="B1187" s="4"/>
      <c r="C1187" s="6"/>
      <c r="D1187" s="5" t="str">
        <f>IF(B1187="","",IFERROR(INDEX(Articles!$E:$E,MATCH(B1187,Articles!$B:$B,0)),""))</f>
        <v/>
      </c>
      <c r="E1187" s="9" t="str">
        <f>IF(OR(C1187="",D1187=""),"",C1187*D1187)</f>
        <v/>
      </c>
      <c r="F1187" s="4"/>
      <c r="G1187" s="4"/>
      <c r="H1187" s="9" t="str">
        <f>IF(OR(B1187="",C1187=""),"",C1187*IFERROR(INDEX(Articles!$D:$D,MATCH(B1187,Articles!$B:$B,0)),0))</f>
        <v/>
      </c>
      <c r="I1187" s="9" t="str">
        <f>IF(OR(E1187="",H1187=""),"",E1187-H1187)</f>
        <v/>
      </c>
      <c r="J1187" s="4"/>
    </row>
    <row r="1188">
      <c r="A1188" s="7"/>
      <c r="B1188" s="4"/>
      <c r="C1188" s="6"/>
      <c r="D1188" s="5" t="str">
        <f>IF(B1188="","",IFERROR(INDEX(Articles!$E:$E,MATCH(B1188,Articles!$B:$B,0)),""))</f>
        <v/>
      </c>
      <c r="E1188" s="9" t="str">
        <f>IF(OR(C1188="",D1188=""),"",C1188*D1188)</f>
        <v/>
      </c>
      <c r="F1188" s="4"/>
      <c r="G1188" s="4"/>
      <c r="H1188" s="9" t="str">
        <f>IF(OR(B1188="",C1188=""),"",C1188*IFERROR(INDEX(Articles!$D:$D,MATCH(B1188,Articles!$B:$B,0)),0))</f>
        <v/>
      </c>
      <c r="I1188" s="9" t="str">
        <f>IF(OR(E1188="",H1188=""),"",E1188-H1188)</f>
        <v/>
      </c>
      <c r="J1188" s="4"/>
    </row>
    <row r="1189">
      <c r="A1189" s="7"/>
      <c r="B1189" s="4"/>
      <c r="C1189" s="6"/>
      <c r="D1189" s="5" t="str">
        <f>IF(B1189="","",IFERROR(INDEX(Articles!$E:$E,MATCH(B1189,Articles!$B:$B,0)),""))</f>
        <v/>
      </c>
      <c r="E1189" s="9" t="str">
        <f>IF(OR(C1189="",D1189=""),"",C1189*D1189)</f>
        <v/>
      </c>
      <c r="F1189" s="4"/>
      <c r="G1189" s="4"/>
      <c r="H1189" s="9" t="str">
        <f>IF(OR(B1189="",C1189=""),"",C1189*IFERROR(INDEX(Articles!$D:$D,MATCH(B1189,Articles!$B:$B,0)),0))</f>
        <v/>
      </c>
      <c r="I1189" s="9" t="str">
        <f>IF(OR(E1189="",H1189=""),"",E1189-H1189)</f>
        <v/>
      </c>
      <c r="J1189" s="4"/>
    </row>
    <row r="1190">
      <c r="A1190" s="7"/>
      <c r="B1190" s="4"/>
      <c r="C1190" s="6"/>
      <c r="D1190" s="5" t="str">
        <f>IF(B1190="","",IFERROR(INDEX(Articles!$E:$E,MATCH(B1190,Articles!$B:$B,0)),""))</f>
        <v/>
      </c>
      <c r="E1190" s="9" t="str">
        <f>IF(OR(C1190="",D1190=""),"",C1190*D1190)</f>
        <v/>
      </c>
      <c r="F1190" s="4"/>
      <c r="G1190" s="4"/>
      <c r="H1190" s="9" t="str">
        <f>IF(OR(B1190="",C1190=""),"",C1190*IFERROR(INDEX(Articles!$D:$D,MATCH(B1190,Articles!$B:$B,0)),0))</f>
        <v/>
      </c>
      <c r="I1190" s="9" t="str">
        <f>IF(OR(E1190="",H1190=""),"",E1190-H1190)</f>
        <v/>
      </c>
      <c r="J1190" s="4"/>
    </row>
    <row r="1191">
      <c r="A1191" s="7"/>
      <c r="B1191" s="4"/>
      <c r="C1191" s="6"/>
      <c r="D1191" s="5" t="str">
        <f>IF(B1191="","",IFERROR(INDEX(Articles!$E:$E,MATCH(B1191,Articles!$B:$B,0)),""))</f>
        <v/>
      </c>
      <c r="E1191" s="9" t="str">
        <f>IF(OR(C1191="",D1191=""),"",C1191*D1191)</f>
        <v/>
      </c>
      <c r="F1191" s="4"/>
      <c r="G1191" s="4"/>
      <c r="H1191" s="9" t="str">
        <f>IF(OR(B1191="",C1191=""),"",C1191*IFERROR(INDEX(Articles!$D:$D,MATCH(B1191,Articles!$B:$B,0)),0))</f>
        <v/>
      </c>
      <c r="I1191" s="9" t="str">
        <f>IF(OR(E1191="",H1191=""),"",E1191-H1191)</f>
        <v/>
      </c>
      <c r="J1191" s="4"/>
    </row>
    <row r="1192">
      <c r="A1192" s="7"/>
      <c r="B1192" s="4"/>
      <c r="C1192" s="6"/>
      <c r="D1192" s="5" t="str">
        <f>IF(B1192="","",IFERROR(INDEX(Articles!$E:$E,MATCH(B1192,Articles!$B:$B,0)),""))</f>
        <v/>
      </c>
      <c r="E1192" s="9" t="str">
        <f>IF(OR(C1192="",D1192=""),"",C1192*D1192)</f>
        <v/>
      </c>
      <c r="F1192" s="4"/>
      <c r="G1192" s="4"/>
      <c r="H1192" s="9" t="str">
        <f>IF(OR(B1192="",C1192=""),"",C1192*IFERROR(INDEX(Articles!$D:$D,MATCH(B1192,Articles!$B:$B,0)),0))</f>
        <v/>
      </c>
      <c r="I1192" s="9" t="str">
        <f>IF(OR(E1192="",H1192=""),"",E1192-H1192)</f>
        <v/>
      </c>
      <c r="J1192" s="4"/>
    </row>
    <row r="1193">
      <c r="A1193" s="7"/>
      <c r="B1193" s="4"/>
      <c r="C1193" s="6"/>
      <c r="D1193" s="5" t="str">
        <f>IF(B1193="","",IFERROR(INDEX(Articles!$E:$E,MATCH(B1193,Articles!$B:$B,0)),""))</f>
        <v/>
      </c>
      <c r="E1193" s="9" t="str">
        <f>IF(OR(C1193="",D1193=""),"",C1193*D1193)</f>
        <v/>
      </c>
      <c r="F1193" s="4"/>
      <c r="G1193" s="4"/>
      <c r="H1193" s="9" t="str">
        <f>IF(OR(B1193="",C1193=""),"",C1193*IFERROR(INDEX(Articles!$D:$D,MATCH(B1193,Articles!$B:$B,0)),0))</f>
        <v/>
      </c>
      <c r="I1193" s="9" t="str">
        <f>IF(OR(E1193="",H1193=""),"",E1193-H1193)</f>
        <v/>
      </c>
      <c r="J1193" s="4"/>
    </row>
    <row r="1194">
      <c r="A1194" s="7"/>
      <c r="B1194" s="4"/>
      <c r="C1194" s="6"/>
      <c r="D1194" s="5" t="str">
        <f>IF(B1194="","",IFERROR(INDEX(Articles!$E:$E,MATCH(B1194,Articles!$B:$B,0)),""))</f>
        <v/>
      </c>
      <c r="E1194" s="9" t="str">
        <f>IF(OR(C1194="",D1194=""),"",C1194*D1194)</f>
        <v/>
      </c>
      <c r="F1194" s="4"/>
      <c r="G1194" s="4"/>
      <c r="H1194" s="9" t="str">
        <f>IF(OR(B1194="",C1194=""),"",C1194*IFERROR(INDEX(Articles!$D:$D,MATCH(B1194,Articles!$B:$B,0)),0))</f>
        <v/>
      </c>
      <c r="I1194" s="9" t="str">
        <f>IF(OR(E1194="",H1194=""),"",E1194-H1194)</f>
        <v/>
      </c>
      <c r="J1194" s="4"/>
    </row>
    <row r="1195">
      <c r="A1195" s="7"/>
      <c r="B1195" s="4"/>
      <c r="C1195" s="6"/>
      <c r="D1195" s="5" t="str">
        <f>IF(B1195="","",IFERROR(INDEX(Articles!$E:$E,MATCH(B1195,Articles!$B:$B,0)),""))</f>
        <v/>
      </c>
      <c r="E1195" s="9" t="str">
        <f>IF(OR(C1195="",D1195=""),"",C1195*D1195)</f>
        <v/>
      </c>
      <c r="F1195" s="4"/>
      <c r="G1195" s="4"/>
      <c r="H1195" s="9" t="str">
        <f>IF(OR(B1195="",C1195=""),"",C1195*IFERROR(INDEX(Articles!$D:$D,MATCH(B1195,Articles!$B:$B,0)),0))</f>
        <v/>
      </c>
      <c r="I1195" s="9" t="str">
        <f>IF(OR(E1195="",H1195=""),"",E1195-H1195)</f>
        <v/>
      </c>
      <c r="J1195" s="4"/>
    </row>
    <row r="1196">
      <c r="A1196" s="7"/>
      <c r="B1196" s="4"/>
      <c r="C1196" s="6"/>
      <c r="D1196" s="5" t="str">
        <f>IF(B1196="","",IFERROR(INDEX(Articles!$E:$E,MATCH(B1196,Articles!$B:$B,0)),""))</f>
        <v/>
      </c>
      <c r="E1196" s="9" t="str">
        <f>IF(OR(C1196="",D1196=""),"",C1196*D1196)</f>
        <v/>
      </c>
      <c r="F1196" s="4"/>
      <c r="G1196" s="4"/>
      <c r="H1196" s="9" t="str">
        <f>IF(OR(B1196="",C1196=""),"",C1196*IFERROR(INDEX(Articles!$D:$D,MATCH(B1196,Articles!$B:$B,0)),0))</f>
        <v/>
      </c>
      <c r="I1196" s="9" t="str">
        <f>IF(OR(E1196="",H1196=""),"",E1196-H1196)</f>
        <v/>
      </c>
      <c r="J1196" s="4"/>
    </row>
    <row r="1197">
      <c r="A1197" s="7"/>
      <c r="B1197" s="4"/>
      <c r="C1197" s="6"/>
      <c r="D1197" s="5" t="str">
        <f>IF(B1197="","",IFERROR(INDEX(Articles!$E:$E,MATCH(B1197,Articles!$B:$B,0)),""))</f>
        <v/>
      </c>
      <c r="E1197" s="9" t="str">
        <f>IF(OR(C1197="",D1197=""),"",C1197*D1197)</f>
        <v/>
      </c>
      <c r="F1197" s="4"/>
      <c r="G1197" s="4"/>
      <c r="H1197" s="9" t="str">
        <f>IF(OR(B1197="",C1197=""),"",C1197*IFERROR(INDEX(Articles!$D:$D,MATCH(B1197,Articles!$B:$B,0)),0))</f>
        <v/>
      </c>
      <c r="I1197" s="9" t="str">
        <f>IF(OR(E1197="",H1197=""),"",E1197-H1197)</f>
        <v/>
      </c>
      <c r="J1197" s="4"/>
    </row>
    <row r="1198">
      <c r="A1198" s="7"/>
      <c r="B1198" s="4"/>
      <c r="C1198" s="6"/>
      <c r="D1198" s="5" t="str">
        <f>IF(B1198="","",IFERROR(INDEX(Articles!$E:$E,MATCH(B1198,Articles!$B:$B,0)),""))</f>
        <v/>
      </c>
      <c r="E1198" s="9" t="str">
        <f>IF(OR(C1198="",D1198=""),"",C1198*D1198)</f>
        <v/>
      </c>
      <c r="F1198" s="4"/>
      <c r="G1198" s="4"/>
      <c r="H1198" s="9" t="str">
        <f>IF(OR(B1198="",C1198=""),"",C1198*IFERROR(INDEX(Articles!$D:$D,MATCH(B1198,Articles!$B:$B,0)),0))</f>
        <v/>
      </c>
      <c r="I1198" s="9" t="str">
        <f>IF(OR(E1198="",H1198=""),"",E1198-H1198)</f>
        <v/>
      </c>
      <c r="J1198" s="4"/>
    </row>
    <row r="1199">
      <c r="A1199" s="7"/>
      <c r="B1199" s="4"/>
      <c r="C1199" s="6"/>
      <c r="D1199" s="5" t="str">
        <f>IF(B1199="","",IFERROR(INDEX(Articles!$E:$E,MATCH(B1199,Articles!$B:$B,0)),""))</f>
        <v/>
      </c>
      <c r="E1199" s="9" t="str">
        <f>IF(OR(C1199="",D1199=""),"",C1199*D1199)</f>
        <v/>
      </c>
      <c r="F1199" s="4"/>
      <c r="G1199" s="4"/>
      <c r="H1199" s="9" t="str">
        <f>IF(OR(B1199="",C1199=""),"",C1199*IFERROR(INDEX(Articles!$D:$D,MATCH(B1199,Articles!$B:$B,0)),0))</f>
        <v/>
      </c>
      <c r="I1199" s="9" t="str">
        <f>IF(OR(E1199="",H1199=""),"",E1199-H1199)</f>
        <v/>
      </c>
      <c r="J1199" s="4"/>
    </row>
    <row r="1200">
      <c r="A1200" s="7"/>
      <c r="B1200" s="4"/>
      <c r="C1200" s="6"/>
      <c r="D1200" s="5" t="str">
        <f>IF(B1200="","",IFERROR(INDEX(Articles!$E:$E,MATCH(B1200,Articles!$B:$B,0)),""))</f>
        <v/>
      </c>
      <c r="E1200" s="9" t="str">
        <f>IF(OR(C1200="",D1200=""),"",C1200*D1200)</f>
        <v/>
      </c>
      <c r="F1200" s="4"/>
      <c r="G1200" s="4"/>
      <c r="H1200" s="9" t="str">
        <f>IF(OR(B1200="",C1200=""),"",C1200*IFERROR(INDEX(Articles!$D:$D,MATCH(B1200,Articles!$B:$B,0)),0))</f>
        <v/>
      </c>
      <c r="I1200" s="9" t="str">
        <f>IF(OR(E1200="",H1200=""),"",E1200-H1200)</f>
        <v/>
      </c>
      <c r="J1200" s="4"/>
    </row>
    <row r="1201">
      <c r="A1201" s="7"/>
      <c r="B1201" s="4"/>
      <c r="C1201" s="6"/>
      <c r="D1201" s="5" t="str">
        <f>IF(B1201="","",IFERROR(INDEX(Articles!$E:$E,MATCH(B1201,Articles!$B:$B,0)),""))</f>
        <v/>
      </c>
      <c r="E1201" s="9" t="str">
        <f>IF(OR(C1201="",D1201=""),"",C1201*D1201)</f>
        <v/>
      </c>
      <c r="F1201" s="4"/>
      <c r="G1201" s="4"/>
      <c r="H1201" s="9" t="str">
        <f>IF(OR(B1201="",C1201=""),"",C1201*IFERROR(INDEX(Articles!$D:$D,MATCH(B1201,Articles!$B:$B,0)),0))</f>
        <v/>
      </c>
      <c r="I1201" s="9" t="str">
        <f>IF(OR(E1201="",H1201=""),"",E1201-H1201)</f>
        <v/>
      </c>
      <c r="J1201" s="4"/>
    </row>
    <row r="1202">
      <c r="A1202" s="7"/>
      <c r="B1202" s="4"/>
      <c r="C1202" s="6"/>
      <c r="D1202" s="5" t="str">
        <f>IF(B1202="","",IFERROR(INDEX(Articles!$E:$E,MATCH(B1202,Articles!$B:$B,0)),""))</f>
        <v/>
      </c>
      <c r="E1202" s="9" t="str">
        <f>IF(OR(C1202="",D1202=""),"",C1202*D1202)</f>
        <v/>
      </c>
      <c r="F1202" s="4"/>
      <c r="G1202" s="4"/>
      <c r="H1202" s="9" t="str">
        <f>IF(OR(B1202="",C1202=""),"",C1202*IFERROR(INDEX(Articles!$D:$D,MATCH(B1202,Articles!$B:$B,0)),0))</f>
        <v/>
      </c>
      <c r="I1202" s="9" t="str">
        <f>IF(OR(E1202="",H1202=""),"",E1202-H1202)</f>
        <v/>
      </c>
      <c r="J1202" s="4"/>
    </row>
    <row r="1203">
      <c r="A1203" s="7"/>
      <c r="B1203" s="4"/>
      <c r="C1203" s="6"/>
      <c r="D1203" s="5" t="str">
        <f>IF(B1203="","",IFERROR(INDEX(Articles!$E:$E,MATCH(B1203,Articles!$B:$B,0)),""))</f>
        <v/>
      </c>
      <c r="E1203" s="9" t="str">
        <f>IF(OR(C1203="",D1203=""),"",C1203*D1203)</f>
        <v/>
      </c>
      <c r="F1203" s="4"/>
      <c r="G1203" s="4"/>
      <c r="H1203" s="9" t="str">
        <f>IF(OR(B1203="",C1203=""),"",C1203*IFERROR(INDEX(Articles!$D:$D,MATCH(B1203,Articles!$B:$B,0)),0))</f>
        <v/>
      </c>
      <c r="I1203" s="9" t="str">
        <f>IF(OR(E1203="",H1203=""),"",E1203-H1203)</f>
        <v/>
      </c>
      <c r="J1203" s="4"/>
    </row>
    <row r="1204">
      <c r="A1204" s="7"/>
      <c r="B1204" s="4"/>
      <c r="C1204" s="6"/>
      <c r="D1204" s="5" t="str">
        <f>IF(B1204="","",IFERROR(INDEX(Articles!$E:$E,MATCH(B1204,Articles!$B:$B,0)),""))</f>
        <v/>
      </c>
      <c r="E1204" s="9" t="str">
        <f>IF(OR(C1204="",D1204=""),"",C1204*D1204)</f>
        <v/>
      </c>
      <c r="F1204" s="4"/>
      <c r="G1204" s="4"/>
      <c r="H1204" s="9" t="str">
        <f>IF(OR(B1204="",C1204=""),"",C1204*IFERROR(INDEX(Articles!$D:$D,MATCH(B1204,Articles!$B:$B,0)),0))</f>
        <v/>
      </c>
      <c r="I1204" s="9" t="str">
        <f>IF(OR(E1204="",H1204=""),"",E1204-H1204)</f>
        <v/>
      </c>
      <c r="J1204" s="4"/>
    </row>
    <row r="1205">
      <c r="A1205" s="7"/>
      <c r="B1205" s="4"/>
      <c r="C1205" s="6"/>
      <c r="D1205" s="5" t="str">
        <f>IF(B1205="","",IFERROR(INDEX(Articles!$E:$E,MATCH(B1205,Articles!$B:$B,0)),""))</f>
        <v/>
      </c>
      <c r="E1205" s="9" t="str">
        <f>IF(OR(C1205="",D1205=""),"",C1205*D1205)</f>
        <v/>
      </c>
      <c r="F1205" s="4"/>
      <c r="G1205" s="4"/>
      <c r="H1205" s="9" t="str">
        <f>IF(OR(B1205="",C1205=""),"",C1205*IFERROR(INDEX(Articles!$D:$D,MATCH(B1205,Articles!$B:$B,0)),0))</f>
        <v/>
      </c>
      <c r="I1205" s="9" t="str">
        <f>IF(OR(E1205="",H1205=""),"",E1205-H1205)</f>
        <v/>
      </c>
      <c r="J1205" s="4"/>
    </row>
    <row r="1206">
      <c r="A1206" s="7"/>
      <c r="B1206" s="4"/>
      <c r="C1206" s="6"/>
      <c r="D1206" s="5" t="str">
        <f>IF(B1206="","",IFERROR(INDEX(Articles!$E:$E,MATCH(B1206,Articles!$B:$B,0)),""))</f>
        <v/>
      </c>
      <c r="E1206" s="9" t="str">
        <f>IF(OR(C1206="",D1206=""),"",C1206*D1206)</f>
        <v/>
      </c>
      <c r="F1206" s="4"/>
      <c r="G1206" s="4"/>
      <c r="H1206" s="9" t="str">
        <f>IF(OR(B1206="",C1206=""),"",C1206*IFERROR(INDEX(Articles!$D:$D,MATCH(B1206,Articles!$B:$B,0)),0))</f>
        <v/>
      </c>
      <c r="I1206" s="9" t="str">
        <f>IF(OR(E1206="",H1206=""),"",E1206-H1206)</f>
        <v/>
      </c>
      <c r="J1206" s="4"/>
    </row>
    <row r="1207">
      <c r="A1207" s="7"/>
      <c r="B1207" s="4"/>
      <c r="C1207" s="6"/>
      <c r="D1207" s="5" t="str">
        <f>IF(B1207="","",IFERROR(INDEX(Articles!$E:$E,MATCH(B1207,Articles!$B:$B,0)),""))</f>
        <v/>
      </c>
      <c r="E1207" s="9" t="str">
        <f>IF(OR(C1207="",D1207=""),"",C1207*D1207)</f>
        <v/>
      </c>
      <c r="F1207" s="4"/>
      <c r="G1207" s="4"/>
      <c r="H1207" s="9" t="str">
        <f>IF(OR(B1207="",C1207=""),"",C1207*IFERROR(INDEX(Articles!$D:$D,MATCH(B1207,Articles!$B:$B,0)),0))</f>
        <v/>
      </c>
      <c r="I1207" s="9" t="str">
        <f>IF(OR(E1207="",H1207=""),"",E1207-H1207)</f>
        <v/>
      </c>
      <c r="J1207" s="4"/>
    </row>
    <row r="1208">
      <c r="A1208" s="7"/>
      <c r="B1208" s="4"/>
      <c r="C1208" s="6"/>
      <c r="D1208" s="5" t="str">
        <f>IF(B1208="","",IFERROR(INDEX(Articles!$E:$E,MATCH(B1208,Articles!$B:$B,0)),""))</f>
        <v/>
      </c>
      <c r="E1208" s="9" t="str">
        <f>IF(OR(C1208="",D1208=""),"",C1208*D1208)</f>
        <v/>
      </c>
      <c r="F1208" s="4"/>
      <c r="G1208" s="4"/>
      <c r="H1208" s="9" t="str">
        <f>IF(OR(B1208="",C1208=""),"",C1208*IFERROR(INDEX(Articles!$D:$D,MATCH(B1208,Articles!$B:$B,0)),0))</f>
        <v/>
      </c>
      <c r="I1208" s="9" t="str">
        <f>IF(OR(E1208="",H1208=""),"",E1208-H1208)</f>
        <v/>
      </c>
      <c r="J1208" s="4"/>
    </row>
    <row r="1209">
      <c r="A1209" s="7"/>
      <c r="B1209" s="4"/>
      <c r="C1209" s="6"/>
      <c r="D1209" s="5" t="str">
        <f>IF(B1209="","",IFERROR(INDEX(Articles!$E:$E,MATCH(B1209,Articles!$B:$B,0)),""))</f>
        <v/>
      </c>
      <c r="E1209" s="9" t="str">
        <f>IF(OR(C1209="",D1209=""),"",C1209*D1209)</f>
        <v/>
      </c>
      <c r="F1209" s="4"/>
      <c r="G1209" s="4"/>
      <c r="H1209" s="9" t="str">
        <f>IF(OR(B1209="",C1209=""),"",C1209*IFERROR(INDEX(Articles!$D:$D,MATCH(B1209,Articles!$B:$B,0)),0))</f>
        <v/>
      </c>
      <c r="I1209" s="9" t="str">
        <f>IF(OR(E1209="",H1209=""),"",E1209-H1209)</f>
        <v/>
      </c>
      <c r="J1209" s="4"/>
    </row>
    <row r="1210">
      <c r="A1210" s="7"/>
      <c r="B1210" s="4"/>
      <c r="C1210" s="6"/>
      <c r="D1210" s="5" t="str">
        <f>IF(B1210="","",IFERROR(INDEX(Articles!$E:$E,MATCH(B1210,Articles!$B:$B,0)),""))</f>
        <v/>
      </c>
      <c r="E1210" s="9" t="str">
        <f>IF(OR(C1210="",D1210=""),"",C1210*D1210)</f>
        <v/>
      </c>
      <c r="F1210" s="4"/>
      <c r="G1210" s="4"/>
      <c r="H1210" s="9" t="str">
        <f>IF(OR(B1210="",C1210=""),"",C1210*IFERROR(INDEX(Articles!$D:$D,MATCH(B1210,Articles!$B:$B,0)),0))</f>
        <v/>
      </c>
      <c r="I1210" s="9" t="str">
        <f>IF(OR(E1210="",H1210=""),"",E1210-H1210)</f>
        <v/>
      </c>
      <c r="J1210" s="4"/>
    </row>
    <row r="1211">
      <c r="A1211" s="7"/>
      <c r="B1211" s="4"/>
      <c r="C1211" s="6"/>
      <c r="D1211" s="5" t="str">
        <f>IF(B1211="","",IFERROR(INDEX(Articles!$E:$E,MATCH(B1211,Articles!$B:$B,0)),""))</f>
        <v/>
      </c>
      <c r="E1211" s="9" t="str">
        <f>IF(OR(C1211="",D1211=""),"",C1211*D1211)</f>
        <v/>
      </c>
      <c r="F1211" s="4"/>
      <c r="G1211" s="4"/>
      <c r="H1211" s="9" t="str">
        <f>IF(OR(B1211="",C1211=""),"",C1211*IFERROR(INDEX(Articles!$D:$D,MATCH(B1211,Articles!$B:$B,0)),0))</f>
        <v/>
      </c>
      <c r="I1211" s="9" t="str">
        <f>IF(OR(E1211="",H1211=""),"",E1211-H1211)</f>
        <v/>
      </c>
      <c r="J1211" s="4"/>
    </row>
    <row r="1212">
      <c r="A1212" s="7"/>
      <c r="B1212" s="4"/>
      <c r="C1212" s="6"/>
      <c r="D1212" s="5" t="str">
        <f>IF(B1212="","",IFERROR(INDEX(Articles!$E:$E,MATCH(B1212,Articles!$B:$B,0)),""))</f>
        <v/>
      </c>
      <c r="E1212" s="9" t="str">
        <f>IF(OR(C1212="",D1212=""),"",C1212*D1212)</f>
        <v/>
      </c>
      <c r="F1212" s="4"/>
      <c r="G1212" s="4"/>
      <c r="H1212" s="9" t="str">
        <f>IF(OR(B1212="",C1212=""),"",C1212*IFERROR(INDEX(Articles!$D:$D,MATCH(B1212,Articles!$B:$B,0)),0))</f>
        <v/>
      </c>
      <c r="I1212" s="9" t="str">
        <f>IF(OR(E1212="",H1212=""),"",E1212-H1212)</f>
        <v/>
      </c>
      <c r="J1212" s="4"/>
    </row>
    <row r="1213">
      <c r="A1213" s="7"/>
      <c r="B1213" s="4"/>
      <c r="C1213" s="6"/>
      <c r="D1213" s="5" t="str">
        <f>IF(B1213="","",IFERROR(INDEX(Articles!$E:$E,MATCH(B1213,Articles!$B:$B,0)),""))</f>
        <v/>
      </c>
      <c r="E1213" s="9" t="str">
        <f>IF(OR(C1213="",D1213=""),"",C1213*D1213)</f>
        <v/>
      </c>
      <c r="F1213" s="4"/>
      <c r="G1213" s="4"/>
      <c r="H1213" s="9" t="str">
        <f>IF(OR(B1213="",C1213=""),"",C1213*IFERROR(INDEX(Articles!$D:$D,MATCH(B1213,Articles!$B:$B,0)),0))</f>
        <v/>
      </c>
      <c r="I1213" s="9" t="str">
        <f>IF(OR(E1213="",H1213=""),"",E1213-H1213)</f>
        <v/>
      </c>
      <c r="J1213" s="4"/>
    </row>
    <row r="1214">
      <c r="A1214" s="7"/>
      <c r="B1214" s="4"/>
      <c r="C1214" s="6"/>
      <c r="D1214" s="5" t="str">
        <f>IF(B1214="","",IFERROR(INDEX(Articles!$E:$E,MATCH(B1214,Articles!$B:$B,0)),""))</f>
        <v/>
      </c>
      <c r="E1214" s="9" t="str">
        <f>IF(OR(C1214="",D1214=""),"",C1214*D1214)</f>
        <v/>
      </c>
      <c r="F1214" s="4"/>
      <c r="G1214" s="4"/>
      <c r="H1214" s="9" t="str">
        <f>IF(OR(B1214="",C1214=""),"",C1214*IFERROR(INDEX(Articles!$D:$D,MATCH(B1214,Articles!$B:$B,0)),0))</f>
        <v/>
      </c>
      <c r="I1214" s="9" t="str">
        <f>IF(OR(E1214="",H1214=""),"",E1214-H1214)</f>
        <v/>
      </c>
      <c r="J1214" s="4"/>
    </row>
    <row r="1215">
      <c r="A1215" s="7"/>
      <c r="B1215" s="4"/>
      <c r="C1215" s="6"/>
      <c r="D1215" s="5" t="str">
        <f>IF(B1215="","",IFERROR(INDEX(Articles!$E:$E,MATCH(B1215,Articles!$B:$B,0)),""))</f>
        <v/>
      </c>
      <c r="E1215" s="9" t="str">
        <f>IF(OR(C1215="",D1215=""),"",C1215*D1215)</f>
        <v/>
      </c>
      <c r="F1215" s="4"/>
      <c r="G1215" s="4"/>
      <c r="H1215" s="9" t="str">
        <f>IF(OR(B1215="",C1215=""),"",C1215*IFERROR(INDEX(Articles!$D:$D,MATCH(B1215,Articles!$B:$B,0)),0))</f>
        <v/>
      </c>
      <c r="I1215" s="9" t="str">
        <f>IF(OR(E1215="",H1215=""),"",E1215-H1215)</f>
        <v/>
      </c>
      <c r="J1215" s="4"/>
    </row>
    <row r="1216">
      <c r="A1216" s="7"/>
      <c r="B1216" s="4"/>
      <c r="C1216" s="6"/>
      <c r="D1216" s="5" t="str">
        <f>IF(B1216="","",IFERROR(INDEX(Articles!$E:$E,MATCH(B1216,Articles!$B:$B,0)),""))</f>
        <v/>
      </c>
      <c r="E1216" s="9" t="str">
        <f>IF(OR(C1216="",D1216=""),"",C1216*D1216)</f>
        <v/>
      </c>
      <c r="F1216" s="4"/>
      <c r="G1216" s="4"/>
      <c r="H1216" s="9" t="str">
        <f>IF(OR(B1216="",C1216=""),"",C1216*IFERROR(INDEX(Articles!$D:$D,MATCH(B1216,Articles!$B:$B,0)),0))</f>
        <v/>
      </c>
      <c r="I1216" s="9" t="str">
        <f>IF(OR(E1216="",H1216=""),"",E1216-H1216)</f>
        <v/>
      </c>
      <c r="J1216" s="4"/>
    </row>
    <row r="1217">
      <c r="A1217" s="7"/>
      <c r="B1217" s="4"/>
      <c r="C1217" s="6"/>
      <c r="D1217" s="5" t="str">
        <f>IF(B1217="","",IFERROR(INDEX(Articles!$E:$E,MATCH(B1217,Articles!$B:$B,0)),""))</f>
        <v/>
      </c>
      <c r="E1217" s="9" t="str">
        <f>IF(OR(C1217="",D1217=""),"",C1217*D1217)</f>
        <v/>
      </c>
      <c r="F1217" s="4"/>
      <c r="G1217" s="4"/>
      <c r="H1217" s="9" t="str">
        <f>IF(OR(B1217="",C1217=""),"",C1217*IFERROR(INDEX(Articles!$D:$D,MATCH(B1217,Articles!$B:$B,0)),0))</f>
        <v/>
      </c>
      <c r="I1217" s="9" t="str">
        <f>IF(OR(E1217="",H1217=""),"",E1217-H1217)</f>
        <v/>
      </c>
      <c r="J1217" s="4"/>
    </row>
    <row r="1218">
      <c r="A1218" s="7"/>
      <c r="B1218" s="4"/>
      <c r="C1218" s="6"/>
      <c r="D1218" s="5" t="str">
        <f>IF(B1218="","",IFERROR(INDEX(Articles!$E:$E,MATCH(B1218,Articles!$B:$B,0)),""))</f>
        <v/>
      </c>
      <c r="E1218" s="9" t="str">
        <f>IF(OR(C1218="",D1218=""),"",C1218*D1218)</f>
        <v/>
      </c>
      <c r="F1218" s="4"/>
      <c r="G1218" s="4"/>
      <c r="H1218" s="9" t="str">
        <f>IF(OR(B1218="",C1218=""),"",C1218*IFERROR(INDEX(Articles!$D:$D,MATCH(B1218,Articles!$B:$B,0)),0))</f>
        <v/>
      </c>
      <c r="I1218" s="9" t="str">
        <f>IF(OR(E1218="",H1218=""),"",E1218-H1218)</f>
        <v/>
      </c>
      <c r="J1218" s="4"/>
    </row>
    <row r="1219">
      <c r="A1219" s="7"/>
      <c r="B1219" s="4"/>
      <c r="C1219" s="6"/>
      <c r="D1219" s="5" t="str">
        <f>IF(B1219="","",IFERROR(INDEX(Articles!$E:$E,MATCH(B1219,Articles!$B:$B,0)),""))</f>
        <v/>
      </c>
      <c r="E1219" s="9" t="str">
        <f>IF(OR(C1219="",D1219=""),"",C1219*D1219)</f>
        <v/>
      </c>
      <c r="F1219" s="4"/>
      <c r="G1219" s="4"/>
      <c r="H1219" s="9" t="str">
        <f>IF(OR(B1219="",C1219=""),"",C1219*IFERROR(INDEX(Articles!$D:$D,MATCH(B1219,Articles!$B:$B,0)),0))</f>
        <v/>
      </c>
      <c r="I1219" s="9" t="str">
        <f>IF(OR(E1219="",H1219=""),"",E1219-H1219)</f>
        <v/>
      </c>
      <c r="J1219" s="4"/>
    </row>
    <row r="1220">
      <c r="A1220" s="7"/>
      <c r="B1220" s="4"/>
      <c r="C1220" s="6"/>
      <c r="D1220" s="5" t="str">
        <f>IF(B1220="","",IFERROR(INDEX(Articles!$E:$E,MATCH(B1220,Articles!$B:$B,0)),""))</f>
        <v/>
      </c>
      <c r="E1220" s="9" t="str">
        <f>IF(OR(C1220="",D1220=""),"",C1220*D1220)</f>
        <v/>
      </c>
      <c r="F1220" s="4"/>
      <c r="G1220" s="4"/>
      <c r="H1220" s="9" t="str">
        <f>IF(OR(B1220="",C1220=""),"",C1220*IFERROR(INDEX(Articles!$D:$D,MATCH(B1220,Articles!$B:$B,0)),0))</f>
        <v/>
      </c>
      <c r="I1220" s="9" t="str">
        <f>IF(OR(E1220="",H1220=""),"",E1220-H1220)</f>
        <v/>
      </c>
      <c r="J1220" s="4"/>
    </row>
    <row r="1221">
      <c r="A1221" s="7"/>
      <c r="B1221" s="4"/>
      <c r="C1221" s="6"/>
      <c r="D1221" s="5" t="str">
        <f>IF(B1221="","",IFERROR(INDEX(Articles!$E:$E,MATCH(B1221,Articles!$B:$B,0)),""))</f>
        <v/>
      </c>
      <c r="E1221" s="9" t="str">
        <f>IF(OR(C1221="",D1221=""),"",C1221*D1221)</f>
        <v/>
      </c>
      <c r="F1221" s="4"/>
      <c r="G1221" s="4"/>
      <c r="H1221" s="9" t="str">
        <f>IF(OR(B1221="",C1221=""),"",C1221*IFERROR(INDEX(Articles!$D:$D,MATCH(B1221,Articles!$B:$B,0)),0))</f>
        <v/>
      </c>
      <c r="I1221" s="9" t="str">
        <f>IF(OR(E1221="",H1221=""),"",E1221-H1221)</f>
        <v/>
      </c>
      <c r="J1221" s="4"/>
    </row>
    <row r="1222">
      <c r="A1222" s="7"/>
      <c r="B1222" s="4"/>
      <c r="C1222" s="6"/>
      <c r="D1222" s="5" t="str">
        <f>IF(B1222="","",IFERROR(INDEX(Articles!$E:$E,MATCH(B1222,Articles!$B:$B,0)),""))</f>
        <v/>
      </c>
      <c r="E1222" s="9" t="str">
        <f>IF(OR(C1222="",D1222=""),"",C1222*D1222)</f>
        <v/>
      </c>
      <c r="F1222" s="4"/>
      <c r="G1222" s="4"/>
      <c r="H1222" s="9" t="str">
        <f>IF(OR(B1222="",C1222=""),"",C1222*IFERROR(INDEX(Articles!$D:$D,MATCH(B1222,Articles!$B:$B,0)),0))</f>
        <v/>
      </c>
      <c r="I1222" s="9" t="str">
        <f>IF(OR(E1222="",H1222=""),"",E1222-H1222)</f>
        <v/>
      </c>
      <c r="J1222" s="4"/>
    </row>
    <row r="1223">
      <c r="A1223" s="7"/>
      <c r="B1223" s="4"/>
      <c r="C1223" s="6"/>
      <c r="D1223" s="5" t="str">
        <f>IF(B1223="","",IFERROR(INDEX(Articles!$E:$E,MATCH(B1223,Articles!$B:$B,0)),""))</f>
        <v/>
      </c>
      <c r="E1223" s="9" t="str">
        <f>IF(OR(C1223="",D1223=""),"",C1223*D1223)</f>
        <v/>
      </c>
      <c r="F1223" s="4"/>
      <c r="G1223" s="4"/>
      <c r="H1223" s="9" t="str">
        <f>IF(OR(B1223="",C1223=""),"",C1223*IFERROR(INDEX(Articles!$D:$D,MATCH(B1223,Articles!$B:$B,0)),0))</f>
        <v/>
      </c>
      <c r="I1223" s="9" t="str">
        <f>IF(OR(E1223="",H1223=""),"",E1223-H1223)</f>
        <v/>
      </c>
      <c r="J1223" s="4"/>
    </row>
    <row r="1224">
      <c r="A1224" s="7"/>
      <c r="B1224" s="4"/>
      <c r="C1224" s="6"/>
      <c r="D1224" s="5" t="str">
        <f>IF(B1224="","",IFERROR(INDEX(Articles!$E:$E,MATCH(B1224,Articles!$B:$B,0)),""))</f>
        <v/>
      </c>
      <c r="E1224" s="9" t="str">
        <f>IF(OR(C1224="",D1224=""),"",C1224*D1224)</f>
        <v/>
      </c>
      <c r="F1224" s="4"/>
      <c r="G1224" s="4"/>
      <c r="H1224" s="9" t="str">
        <f>IF(OR(B1224="",C1224=""),"",C1224*IFERROR(INDEX(Articles!$D:$D,MATCH(B1224,Articles!$B:$B,0)),0))</f>
        <v/>
      </c>
      <c r="I1224" s="9" t="str">
        <f>IF(OR(E1224="",H1224=""),"",E1224-H1224)</f>
        <v/>
      </c>
      <c r="J1224" s="4"/>
    </row>
    <row r="1225">
      <c r="A1225" s="7"/>
      <c r="B1225" s="4"/>
      <c r="C1225" s="6"/>
      <c r="D1225" s="5" t="str">
        <f>IF(B1225="","",IFERROR(INDEX(Articles!$E:$E,MATCH(B1225,Articles!$B:$B,0)),""))</f>
        <v/>
      </c>
      <c r="E1225" s="9" t="str">
        <f>IF(OR(C1225="",D1225=""),"",C1225*D1225)</f>
        <v/>
      </c>
      <c r="F1225" s="4"/>
      <c r="G1225" s="4"/>
      <c r="H1225" s="9" t="str">
        <f>IF(OR(B1225="",C1225=""),"",C1225*IFERROR(INDEX(Articles!$D:$D,MATCH(B1225,Articles!$B:$B,0)),0))</f>
        <v/>
      </c>
      <c r="I1225" s="9" t="str">
        <f>IF(OR(E1225="",H1225=""),"",E1225-H1225)</f>
        <v/>
      </c>
      <c r="J1225" s="4"/>
    </row>
    <row r="1226">
      <c r="A1226" s="7"/>
      <c r="B1226" s="4"/>
      <c r="C1226" s="6"/>
      <c r="D1226" s="5" t="str">
        <f>IF(B1226="","",IFERROR(INDEX(Articles!$E:$E,MATCH(B1226,Articles!$B:$B,0)),""))</f>
        <v/>
      </c>
      <c r="E1226" s="9" t="str">
        <f>IF(OR(C1226="",D1226=""),"",C1226*D1226)</f>
        <v/>
      </c>
      <c r="F1226" s="4"/>
      <c r="G1226" s="4"/>
      <c r="H1226" s="9" t="str">
        <f>IF(OR(B1226="",C1226=""),"",C1226*IFERROR(INDEX(Articles!$D:$D,MATCH(B1226,Articles!$B:$B,0)),0))</f>
        <v/>
      </c>
      <c r="I1226" s="9" t="str">
        <f>IF(OR(E1226="",H1226=""),"",E1226-H1226)</f>
        <v/>
      </c>
      <c r="J1226" s="4"/>
    </row>
    <row r="1227">
      <c r="A1227" s="7"/>
      <c r="B1227" s="4"/>
      <c r="C1227" s="6"/>
      <c r="D1227" s="5" t="str">
        <f>IF(B1227="","",IFERROR(INDEX(Articles!$E:$E,MATCH(B1227,Articles!$B:$B,0)),""))</f>
        <v/>
      </c>
      <c r="E1227" s="9" t="str">
        <f>IF(OR(C1227="",D1227=""),"",C1227*D1227)</f>
        <v/>
      </c>
      <c r="F1227" s="4"/>
      <c r="G1227" s="4"/>
      <c r="H1227" s="9" t="str">
        <f>IF(OR(B1227="",C1227=""),"",C1227*IFERROR(INDEX(Articles!$D:$D,MATCH(B1227,Articles!$B:$B,0)),0))</f>
        <v/>
      </c>
      <c r="I1227" s="9" t="str">
        <f>IF(OR(E1227="",H1227=""),"",E1227-H1227)</f>
        <v/>
      </c>
      <c r="J1227" s="4"/>
    </row>
    <row r="1228">
      <c r="A1228" s="7"/>
      <c r="B1228" s="4"/>
      <c r="C1228" s="6"/>
      <c r="D1228" s="5" t="str">
        <f>IF(B1228="","",IFERROR(INDEX(Articles!$E:$E,MATCH(B1228,Articles!$B:$B,0)),""))</f>
        <v/>
      </c>
      <c r="E1228" s="9" t="str">
        <f>IF(OR(C1228="",D1228=""),"",C1228*D1228)</f>
        <v/>
      </c>
      <c r="F1228" s="4"/>
      <c r="G1228" s="4"/>
      <c r="H1228" s="9" t="str">
        <f>IF(OR(B1228="",C1228=""),"",C1228*IFERROR(INDEX(Articles!$D:$D,MATCH(B1228,Articles!$B:$B,0)),0))</f>
        <v/>
      </c>
      <c r="I1228" s="9" t="str">
        <f>IF(OR(E1228="",H1228=""),"",E1228-H1228)</f>
        <v/>
      </c>
      <c r="J1228" s="4"/>
    </row>
    <row r="1229">
      <c r="A1229" s="7"/>
      <c r="B1229" s="4"/>
      <c r="C1229" s="6"/>
      <c r="D1229" s="5" t="str">
        <f>IF(B1229="","",IFERROR(INDEX(Articles!$E:$E,MATCH(B1229,Articles!$B:$B,0)),""))</f>
        <v/>
      </c>
      <c r="E1229" s="9" t="str">
        <f>IF(OR(C1229="",D1229=""),"",C1229*D1229)</f>
        <v/>
      </c>
      <c r="F1229" s="4"/>
      <c r="G1229" s="4"/>
      <c r="H1229" s="9" t="str">
        <f>IF(OR(B1229="",C1229=""),"",C1229*IFERROR(INDEX(Articles!$D:$D,MATCH(B1229,Articles!$B:$B,0)),0))</f>
        <v/>
      </c>
      <c r="I1229" s="9" t="str">
        <f>IF(OR(E1229="",H1229=""),"",E1229-H1229)</f>
        <v/>
      </c>
      <c r="J1229" s="4"/>
    </row>
    <row r="1230">
      <c r="A1230" s="7"/>
      <c r="B1230" s="4"/>
      <c r="C1230" s="6"/>
      <c r="D1230" s="5" t="str">
        <f>IF(B1230="","",IFERROR(INDEX(Articles!$E:$E,MATCH(B1230,Articles!$B:$B,0)),""))</f>
        <v/>
      </c>
      <c r="E1230" s="9" t="str">
        <f>IF(OR(C1230="",D1230=""),"",C1230*D1230)</f>
        <v/>
      </c>
      <c r="F1230" s="4"/>
      <c r="G1230" s="4"/>
      <c r="H1230" s="9" t="str">
        <f>IF(OR(B1230="",C1230=""),"",C1230*IFERROR(INDEX(Articles!$D:$D,MATCH(B1230,Articles!$B:$B,0)),0))</f>
        <v/>
      </c>
      <c r="I1230" s="9" t="str">
        <f>IF(OR(E1230="",H1230=""),"",E1230-H1230)</f>
        <v/>
      </c>
      <c r="J1230" s="4"/>
    </row>
    <row r="1231">
      <c r="A1231" s="7"/>
      <c r="B1231" s="4"/>
      <c r="C1231" s="6"/>
      <c r="D1231" s="5" t="str">
        <f>IF(B1231="","",IFERROR(INDEX(Articles!$E:$E,MATCH(B1231,Articles!$B:$B,0)),""))</f>
        <v/>
      </c>
      <c r="E1231" s="9" t="str">
        <f>IF(OR(C1231="",D1231=""),"",C1231*D1231)</f>
        <v/>
      </c>
      <c r="F1231" s="4"/>
      <c r="G1231" s="4"/>
      <c r="H1231" s="9" t="str">
        <f>IF(OR(B1231="",C1231=""),"",C1231*IFERROR(INDEX(Articles!$D:$D,MATCH(B1231,Articles!$B:$B,0)),0))</f>
        <v/>
      </c>
      <c r="I1231" s="9" t="str">
        <f>IF(OR(E1231="",H1231=""),"",E1231-H1231)</f>
        <v/>
      </c>
      <c r="J1231" s="4"/>
    </row>
    <row r="1232">
      <c r="A1232" s="7"/>
      <c r="B1232" s="4"/>
      <c r="C1232" s="6"/>
      <c r="D1232" s="5" t="str">
        <f>IF(B1232="","",IFERROR(INDEX(Articles!$E:$E,MATCH(B1232,Articles!$B:$B,0)),""))</f>
        <v/>
      </c>
      <c r="E1232" s="9" t="str">
        <f>IF(OR(C1232="",D1232=""),"",C1232*D1232)</f>
        <v/>
      </c>
      <c r="F1232" s="4"/>
      <c r="G1232" s="4"/>
      <c r="H1232" s="9" t="str">
        <f>IF(OR(B1232="",C1232=""),"",C1232*IFERROR(INDEX(Articles!$D:$D,MATCH(B1232,Articles!$B:$B,0)),0))</f>
        <v/>
      </c>
      <c r="I1232" s="9" t="str">
        <f>IF(OR(E1232="",H1232=""),"",E1232-H1232)</f>
        <v/>
      </c>
      <c r="J1232" s="4"/>
    </row>
    <row r="1233">
      <c r="A1233" s="7"/>
      <c r="B1233" s="4"/>
      <c r="C1233" s="6"/>
      <c r="D1233" s="5" t="str">
        <f>IF(B1233="","",IFERROR(INDEX(Articles!$E:$E,MATCH(B1233,Articles!$B:$B,0)),""))</f>
        <v/>
      </c>
      <c r="E1233" s="9" t="str">
        <f>IF(OR(C1233="",D1233=""),"",C1233*D1233)</f>
        <v/>
      </c>
      <c r="F1233" s="4"/>
      <c r="G1233" s="4"/>
      <c r="H1233" s="9" t="str">
        <f>IF(OR(B1233="",C1233=""),"",C1233*IFERROR(INDEX(Articles!$D:$D,MATCH(B1233,Articles!$B:$B,0)),0))</f>
        <v/>
      </c>
      <c r="I1233" s="9" t="str">
        <f>IF(OR(E1233="",H1233=""),"",E1233-H1233)</f>
        <v/>
      </c>
      <c r="J1233" s="4"/>
    </row>
    <row r="1234">
      <c r="A1234" s="7"/>
      <c r="B1234" s="4"/>
      <c r="C1234" s="6"/>
      <c r="D1234" s="5" t="str">
        <f>IF(B1234="","",IFERROR(INDEX(Articles!$E:$E,MATCH(B1234,Articles!$B:$B,0)),""))</f>
        <v/>
      </c>
      <c r="E1234" s="9" t="str">
        <f>IF(OR(C1234="",D1234=""),"",C1234*D1234)</f>
        <v/>
      </c>
      <c r="F1234" s="4"/>
      <c r="G1234" s="4"/>
      <c r="H1234" s="9" t="str">
        <f>IF(OR(B1234="",C1234=""),"",C1234*IFERROR(INDEX(Articles!$D:$D,MATCH(B1234,Articles!$B:$B,0)),0))</f>
        <v/>
      </c>
      <c r="I1234" s="9" t="str">
        <f>IF(OR(E1234="",H1234=""),"",E1234-H1234)</f>
        <v/>
      </c>
      <c r="J1234" s="4"/>
    </row>
    <row r="1235">
      <c r="A1235" s="7"/>
      <c r="B1235" s="4"/>
      <c r="C1235" s="6"/>
      <c r="D1235" s="5" t="str">
        <f>IF(B1235="","",IFERROR(INDEX(Articles!$E:$E,MATCH(B1235,Articles!$B:$B,0)),""))</f>
        <v/>
      </c>
      <c r="E1235" s="9" t="str">
        <f>IF(OR(C1235="",D1235=""),"",C1235*D1235)</f>
        <v/>
      </c>
      <c r="F1235" s="4"/>
      <c r="G1235" s="4"/>
      <c r="H1235" s="9" t="str">
        <f>IF(OR(B1235="",C1235=""),"",C1235*IFERROR(INDEX(Articles!$D:$D,MATCH(B1235,Articles!$B:$B,0)),0))</f>
        <v/>
      </c>
      <c r="I1235" s="9" t="str">
        <f>IF(OR(E1235="",H1235=""),"",E1235-H1235)</f>
        <v/>
      </c>
      <c r="J1235" s="4"/>
    </row>
    <row r="1236">
      <c r="A1236" s="7"/>
      <c r="B1236" s="4"/>
      <c r="C1236" s="6"/>
      <c r="D1236" s="5" t="str">
        <f>IF(B1236="","",IFERROR(INDEX(Articles!$E:$E,MATCH(B1236,Articles!$B:$B,0)),""))</f>
        <v/>
      </c>
      <c r="E1236" s="9" t="str">
        <f>IF(OR(C1236="",D1236=""),"",C1236*D1236)</f>
        <v/>
      </c>
      <c r="F1236" s="4"/>
      <c r="G1236" s="4"/>
      <c r="H1236" s="9" t="str">
        <f>IF(OR(B1236="",C1236=""),"",C1236*IFERROR(INDEX(Articles!$D:$D,MATCH(B1236,Articles!$B:$B,0)),0))</f>
        <v/>
      </c>
      <c r="I1236" s="9" t="str">
        <f>IF(OR(E1236="",H1236=""),"",E1236-H1236)</f>
        <v/>
      </c>
      <c r="J1236" s="4"/>
    </row>
    <row r="1237">
      <c r="A1237" s="7"/>
      <c r="B1237" s="4"/>
      <c r="C1237" s="6"/>
      <c r="D1237" s="5" t="str">
        <f>IF(B1237="","",IFERROR(INDEX(Articles!$E:$E,MATCH(B1237,Articles!$B:$B,0)),""))</f>
        <v/>
      </c>
      <c r="E1237" s="9" t="str">
        <f>IF(OR(C1237="",D1237=""),"",C1237*D1237)</f>
        <v/>
      </c>
      <c r="F1237" s="4"/>
      <c r="G1237" s="4"/>
      <c r="H1237" s="9" t="str">
        <f>IF(OR(B1237="",C1237=""),"",C1237*IFERROR(INDEX(Articles!$D:$D,MATCH(B1237,Articles!$B:$B,0)),0))</f>
        <v/>
      </c>
      <c r="I1237" s="9" t="str">
        <f>IF(OR(E1237="",H1237=""),"",E1237-H1237)</f>
        <v/>
      </c>
      <c r="J1237" s="4"/>
    </row>
    <row r="1238">
      <c r="A1238" s="7"/>
      <c r="B1238" s="4"/>
      <c r="C1238" s="6"/>
      <c r="D1238" s="5" t="str">
        <f>IF(B1238="","",IFERROR(INDEX(Articles!$E:$E,MATCH(B1238,Articles!$B:$B,0)),""))</f>
        <v/>
      </c>
      <c r="E1238" s="9" t="str">
        <f>IF(OR(C1238="",D1238=""),"",C1238*D1238)</f>
        <v/>
      </c>
      <c r="F1238" s="4"/>
      <c r="G1238" s="4"/>
      <c r="H1238" s="9" t="str">
        <f>IF(OR(B1238="",C1238=""),"",C1238*IFERROR(INDEX(Articles!$D:$D,MATCH(B1238,Articles!$B:$B,0)),0))</f>
        <v/>
      </c>
      <c r="I1238" s="9" t="str">
        <f>IF(OR(E1238="",H1238=""),"",E1238-H1238)</f>
        <v/>
      </c>
      <c r="J1238" s="4"/>
    </row>
    <row r="1239">
      <c r="A1239" s="7"/>
      <c r="B1239" s="4"/>
      <c r="C1239" s="6"/>
      <c r="D1239" s="5" t="str">
        <f>IF(B1239="","",IFERROR(INDEX(Articles!$E:$E,MATCH(B1239,Articles!$B:$B,0)),""))</f>
        <v/>
      </c>
      <c r="E1239" s="9" t="str">
        <f>IF(OR(C1239="",D1239=""),"",C1239*D1239)</f>
        <v/>
      </c>
      <c r="F1239" s="4"/>
      <c r="G1239" s="4"/>
      <c r="H1239" s="9" t="str">
        <f>IF(OR(B1239="",C1239=""),"",C1239*IFERROR(INDEX(Articles!$D:$D,MATCH(B1239,Articles!$B:$B,0)),0))</f>
        <v/>
      </c>
      <c r="I1239" s="9" t="str">
        <f>IF(OR(E1239="",H1239=""),"",E1239-H1239)</f>
        <v/>
      </c>
      <c r="J1239" s="4"/>
    </row>
    <row r="1240">
      <c r="A1240" s="7"/>
      <c r="B1240" s="4"/>
      <c r="C1240" s="6"/>
      <c r="D1240" s="5" t="str">
        <f>IF(B1240="","",IFERROR(INDEX(Articles!$E:$E,MATCH(B1240,Articles!$B:$B,0)),""))</f>
        <v/>
      </c>
      <c r="E1240" s="9" t="str">
        <f>IF(OR(C1240="",D1240=""),"",C1240*D1240)</f>
        <v/>
      </c>
      <c r="F1240" s="4"/>
      <c r="G1240" s="4"/>
      <c r="H1240" s="9" t="str">
        <f>IF(OR(B1240="",C1240=""),"",C1240*IFERROR(INDEX(Articles!$D:$D,MATCH(B1240,Articles!$B:$B,0)),0))</f>
        <v/>
      </c>
      <c r="I1240" s="9" t="str">
        <f>IF(OR(E1240="",H1240=""),"",E1240-H1240)</f>
        <v/>
      </c>
      <c r="J1240" s="4"/>
    </row>
    <row r="1241">
      <c r="A1241" s="7"/>
      <c r="B1241" s="4"/>
      <c r="C1241" s="6"/>
      <c r="D1241" s="5" t="str">
        <f>IF(B1241="","",IFERROR(INDEX(Articles!$E:$E,MATCH(B1241,Articles!$B:$B,0)),""))</f>
        <v/>
      </c>
      <c r="E1241" s="9" t="str">
        <f>IF(OR(C1241="",D1241=""),"",C1241*D1241)</f>
        <v/>
      </c>
      <c r="F1241" s="4"/>
      <c r="G1241" s="4"/>
      <c r="H1241" s="9" t="str">
        <f>IF(OR(B1241="",C1241=""),"",C1241*IFERROR(INDEX(Articles!$D:$D,MATCH(B1241,Articles!$B:$B,0)),0))</f>
        <v/>
      </c>
      <c r="I1241" s="9" t="str">
        <f>IF(OR(E1241="",H1241=""),"",E1241-H1241)</f>
        <v/>
      </c>
      <c r="J1241" s="4"/>
    </row>
    <row r="1242">
      <c r="A1242" s="7"/>
      <c r="B1242" s="4"/>
      <c r="C1242" s="6"/>
      <c r="D1242" s="5" t="str">
        <f>IF(B1242="","",IFERROR(INDEX(Articles!$E:$E,MATCH(B1242,Articles!$B:$B,0)),""))</f>
        <v/>
      </c>
      <c r="E1242" s="9" t="str">
        <f>IF(OR(C1242="",D1242=""),"",C1242*D1242)</f>
        <v/>
      </c>
      <c r="F1242" s="4"/>
      <c r="G1242" s="4"/>
      <c r="H1242" s="9" t="str">
        <f>IF(OR(B1242="",C1242=""),"",C1242*IFERROR(INDEX(Articles!$D:$D,MATCH(B1242,Articles!$B:$B,0)),0))</f>
        <v/>
      </c>
      <c r="I1242" s="9" t="str">
        <f>IF(OR(E1242="",H1242=""),"",E1242-H1242)</f>
        <v/>
      </c>
      <c r="J1242" s="4"/>
    </row>
    <row r="1243">
      <c r="A1243" s="7"/>
      <c r="B1243" s="4"/>
      <c r="C1243" s="6"/>
      <c r="D1243" s="5" t="str">
        <f>IF(B1243="","",IFERROR(INDEX(Articles!$E:$E,MATCH(B1243,Articles!$B:$B,0)),""))</f>
        <v/>
      </c>
      <c r="E1243" s="9" t="str">
        <f>IF(OR(C1243="",D1243=""),"",C1243*D1243)</f>
        <v/>
      </c>
      <c r="F1243" s="4"/>
      <c r="G1243" s="4"/>
      <c r="H1243" s="9" t="str">
        <f>IF(OR(B1243="",C1243=""),"",C1243*IFERROR(INDEX(Articles!$D:$D,MATCH(B1243,Articles!$B:$B,0)),0))</f>
        <v/>
      </c>
      <c r="I1243" s="9" t="str">
        <f>IF(OR(E1243="",H1243=""),"",E1243-H1243)</f>
        <v/>
      </c>
      <c r="J1243" s="4"/>
    </row>
    <row r="1244">
      <c r="A1244" s="7"/>
      <c r="B1244" s="4"/>
      <c r="C1244" s="6"/>
      <c r="D1244" s="5" t="str">
        <f>IF(B1244="","",IFERROR(INDEX(Articles!$E:$E,MATCH(B1244,Articles!$B:$B,0)),""))</f>
        <v/>
      </c>
      <c r="E1244" s="9" t="str">
        <f>IF(OR(C1244="",D1244=""),"",C1244*D1244)</f>
        <v/>
      </c>
      <c r="F1244" s="4"/>
      <c r="G1244" s="4"/>
      <c r="H1244" s="9" t="str">
        <f>IF(OR(B1244="",C1244=""),"",C1244*IFERROR(INDEX(Articles!$D:$D,MATCH(B1244,Articles!$B:$B,0)),0))</f>
        <v/>
      </c>
      <c r="I1244" s="9" t="str">
        <f>IF(OR(E1244="",H1244=""),"",E1244-H1244)</f>
        <v/>
      </c>
      <c r="J1244" s="4"/>
    </row>
    <row r="1245">
      <c r="A1245" s="7"/>
      <c r="B1245" s="4"/>
      <c r="C1245" s="6"/>
      <c r="D1245" s="5" t="str">
        <f>IF(B1245="","",IFERROR(INDEX(Articles!$E:$E,MATCH(B1245,Articles!$B:$B,0)),""))</f>
        <v/>
      </c>
      <c r="E1245" s="9" t="str">
        <f>IF(OR(C1245="",D1245=""),"",C1245*D1245)</f>
        <v/>
      </c>
      <c r="F1245" s="4"/>
      <c r="G1245" s="4"/>
      <c r="H1245" s="9" t="str">
        <f>IF(OR(B1245="",C1245=""),"",C1245*IFERROR(INDEX(Articles!$D:$D,MATCH(B1245,Articles!$B:$B,0)),0))</f>
        <v/>
      </c>
      <c r="I1245" s="9" t="str">
        <f>IF(OR(E1245="",H1245=""),"",E1245-H1245)</f>
        <v/>
      </c>
      <c r="J1245" s="4"/>
    </row>
    <row r="1246">
      <c r="A1246" s="7"/>
      <c r="B1246" s="4"/>
      <c r="C1246" s="6"/>
      <c r="D1246" s="5" t="str">
        <f>IF(B1246="","",IFERROR(INDEX(Articles!$E:$E,MATCH(B1246,Articles!$B:$B,0)),""))</f>
        <v/>
      </c>
      <c r="E1246" s="9" t="str">
        <f>IF(OR(C1246="",D1246=""),"",C1246*D1246)</f>
        <v/>
      </c>
      <c r="F1246" s="4"/>
      <c r="G1246" s="4"/>
      <c r="H1246" s="9" t="str">
        <f>IF(OR(B1246="",C1246=""),"",C1246*IFERROR(INDEX(Articles!$D:$D,MATCH(B1246,Articles!$B:$B,0)),0))</f>
        <v/>
      </c>
      <c r="I1246" s="9" t="str">
        <f>IF(OR(E1246="",H1246=""),"",E1246-H1246)</f>
        <v/>
      </c>
      <c r="J1246" s="4"/>
    </row>
    <row r="1247">
      <c r="A1247" s="7"/>
      <c r="B1247" s="4"/>
      <c r="C1247" s="6"/>
      <c r="D1247" s="5" t="str">
        <f>IF(B1247="","",IFERROR(INDEX(Articles!$E:$E,MATCH(B1247,Articles!$B:$B,0)),""))</f>
        <v/>
      </c>
      <c r="E1247" s="9" t="str">
        <f>IF(OR(C1247="",D1247=""),"",C1247*D1247)</f>
        <v/>
      </c>
      <c r="F1247" s="4"/>
      <c r="G1247" s="4"/>
      <c r="H1247" s="9" t="str">
        <f>IF(OR(B1247="",C1247=""),"",C1247*IFERROR(INDEX(Articles!$D:$D,MATCH(B1247,Articles!$B:$B,0)),0))</f>
        <v/>
      </c>
      <c r="I1247" s="9" t="str">
        <f>IF(OR(E1247="",H1247=""),"",E1247-H1247)</f>
        <v/>
      </c>
      <c r="J1247" s="4"/>
    </row>
    <row r="1248">
      <c r="A1248" s="7"/>
      <c r="B1248" s="4"/>
      <c r="C1248" s="6"/>
      <c r="D1248" s="5" t="str">
        <f>IF(B1248="","",IFERROR(INDEX(Articles!$E:$E,MATCH(B1248,Articles!$B:$B,0)),""))</f>
        <v/>
      </c>
      <c r="E1248" s="9" t="str">
        <f>IF(OR(C1248="",D1248=""),"",C1248*D1248)</f>
        <v/>
      </c>
      <c r="F1248" s="4"/>
      <c r="G1248" s="4"/>
      <c r="H1248" s="9" t="str">
        <f>IF(OR(B1248="",C1248=""),"",C1248*IFERROR(INDEX(Articles!$D:$D,MATCH(B1248,Articles!$B:$B,0)),0))</f>
        <v/>
      </c>
      <c r="I1248" s="9" t="str">
        <f>IF(OR(E1248="",H1248=""),"",E1248-H1248)</f>
        <v/>
      </c>
      <c r="J1248" s="4"/>
    </row>
    <row r="1249">
      <c r="A1249" s="7"/>
      <c r="B1249" s="4"/>
      <c r="C1249" s="6"/>
      <c r="D1249" s="5" t="str">
        <f>IF(B1249="","",IFERROR(INDEX(Articles!$E:$E,MATCH(B1249,Articles!$B:$B,0)),""))</f>
        <v/>
      </c>
      <c r="E1249" s="9" t="str">
        <f>IF(OR(C1249="",D1249=""),"",C1249*D1249)</f>
        <v/>
      </c>
      <c r="F1249" s="4"/>
      <c r="G1249" s="4"/>
      <c r="H1249" s="9" t="str">
        <f>IF(OR(B1249="",C1249=""),"",C1249*IFERROR(INDEX(Articles!$D:$D,MATCH(B1249,Articles!$B:$B,0)),0))</f>
        <v/>
      </c>
      <c r="I1249" s="9" t="str">
        <f>IF(OR(E1249="",H1249=""),"",E1249-H1249)</f>
        <v/>
      </c>
      <c r="J1249" s="4"/>
    </row>
    <row r="1250">
      <c r="A1250" s="7"/>
      <c r="B1250" s="4"/>
      <c r="C1250" s="6"/>
      <c r="D1250" s="5" t="str">
        <f>IF(B1250="","",IFERROR(INDEX(Articles!$E:$E,MATCH(B1250,Articles!$B:$B,0)),""))</f>
        <v/>
      </c>
      <c r="E1250" s="9" t="str">
        <f>IF(OR(C1250="",D1250=""),"",C1250*D1250)</f>
        <v/>
      </c>
      <c r="F1250" s="4"/>
      <c r="G1250" s="4"/>
      <c r="H1250" s="9" t="str">
        <f>IF(OR(B1250="",C1250=""),"",C1250*IFERROR(INDEX(Articles!$D:$D,MATCH(B1250,Articles!$B:$B,0)),0))</f>
        <v/>
      </c>
      <c r="I1250" s="9" t="str">
        <f>IF(OR(E1250="",H1250=""),"",E1250-H1250)</f>
        <v/>
      </c>
      <c r="J1250" s="4"/>
    </row>
    <row r="1251">
      <c r="A1251" s="7"/>
      <c r="B1251" s="4"/>
      <c r="C1251" s="6"/>
      <c r="D1251" s="5" t="str">
        <f>IF(B1251="","",IFERROR(INDEX(Articles!$E:$E,MATCH(B1251,Articles!$B:$B,0)),""))</f>
        <v/>
      </c>
      <c r="E1251" s="9" t="str">
        <f>IF(OR(C1251="",D1251=""),"",C1251*D1251)</f>
        <v/>
      </c>
      <c r="F1251" s="4"/>
      <c r="G1251" s="4"/>
      <c r="H1251" s="9" t="str">
        <f>IF(OR(B1251="",C1251=""),"",C1251*IFERROR(INDEX(Articles!$D:$D,MATCH(B1251,Articles!$B:$B,0)),0))</f>
        <v/>
      </c>
      <c r="I1251" s="9" t="str">
        <f>IF(OR(E1251="",H1251=""),"",E1251-H1251)</f>
        <v/>
      </c>
      <c r="J1251" s="4"/>
    </row>
    <row r="1252">
      <c r="A1252" s="7"/>
      <c r="B1252" s="4"/>
      <c r="C1252" s="6"/>
      <c r="D1252" s="5" t="str">
        <f>IF(B1252="","",IFERROR(INDEX(Articles!$E:$E,MATCH(B1252,Articles!$B:$B,0)),""))</f>
        <v/>
      </c>
      <c r="E1252" s="9" t="str">
        <f>IF(OR(C1252="",D1252=""),"",C1252*D1252)</f>
        <v/>
      </c>
      <c r="F1252" s="4"/>
      <c r="G1252" s="4"/>
      <c r="H1252" s="9" t="str">
        <f>IF(OR(B1252="",C1252=""),"",C1252*IFERROR(INDEX(Articles!$D:$D,MATCH(B1252,Articles!$B:$B,0)),0))</f>
        <v/>
      </c>
      <c r="I1252" s="9" t="str">
        <f>IF(OR(E1252="",H1252=""),"",E1252-H1252)</f>
        <v/>
      </c>
      <c r="J1252" s="4"/>
    </row>
    <row r="1253">
      <c r="A1253" s="7"/>
      <c r="B1253" s="4"/>
      <c r="C1253" s="6"/>
      <c r="D1253" s="5" t="str">
        <f>IF(B1253="","",IFERROR(INDEX(Articles!$E:$E,MATCH(B1253,Articles!$B:$B,0)),""))</f>
        <v/>
      </c>
      <c r="E1253" s="9" t="str">
        <f>IF(OR(C1253="",D1253=""),"",C1253*D1253)</f>
        <v/>
      </c>
      <c r="F1253" s="4"/>
      <c r="G1253" s="4"/>
      <c r="H1253" s="9" t="str">
        <f>IF(OR(B1253="",C1253=""),"",C1253*IFERROR(INDEX(Articles!$D:$D,MATCH(B1253,Articles!$B:$B,0)),0))</f>
        <v/>
      </c>
      <c r="I1253" s="9" t="str">
        <f>IF(OR(E1253="",H1253=""),"",E1253-H1253)</f>
        <v/>
      </c>
      <c r="J1253" s="4"/>
    </row>
    <row r="1254">
      <c r="A1254" s="7"/>
      <c r="B1254" s="4"/>
      <c r="C1254" s="6"/>
      <c r="D1254" s="5" t="str">
        <f>IF(B1254="","",IFERROR(INDEX(Articles!$E:$E,MATCH(B1254,Articles!$B:$B,0)),""))</f>
        <v/>
      </c>
      <c r="E1254" s="9" t="str">
        <f>IF(OR(C1254="",D1254=""),"",C1254*D1254)</f>
        <v/>
      </c>
      <c r="F1254" s="4"/>
      <c r="G1254" s="4"/>
      <c r="H1254" s="9" t="str">
        <f>IF(OR(B1254="",C1254=""),"",C1254*IFERROR(INDEX(Articles!$D:$D,MATCH(B1254,Articles!$B:$B,0)),0))</f>
        <v/>
      </c>
      <c r="I1254" s="9" t="str">
        <f>IF(OR(E1254="",H1254=""),"",E1254-H1254)</f>
        <v/>
      </c>
      <c r="J1254" s="4"/>
    </row>
    <row r="1255">
      <c r="A1255" s="7"/>
      <c r="B1255" s="4"/>
      <c r="C1255" s="6"/>
      <c r="D1255" s="5" t="str">
        <f>IF(B1255="","",IFERROR(INDEX(Articles!$E:$E,MATCH(B1255,Articles!$B:$B,0)),""))</f>
        <v/>
      </c>
      <c r="E1255" s="9" t="str">
        <f>IF(OR(C1255="",D1255=""),"",C1255*D1255)</f>
        <v/>
      </c>
      <c r="F1255" s="4"/>
      <c r="G1255" s="4"/>
      <c r="H1255" s="9" t="str">
        <f>IF(OR(B1255="",C1255=""),"",C1255*IFERROR(INDEX(Articles!$D:$D,MATCH(B1255,Articles!$B:$B,0)),0))</f>
        <v/>
      </c>
      <c r="I1255" s="9" t="str">
        <f>IF(OR(E1255="",H1255=""),"",E1255-H1255)</f>
        <v/>
      </c>
      <c r="J1255" s="4"/>
    </row>
    <row r="1256">
      <c r="A1256" s="7"/>
      <c r="B1256" s="4"/>
      <c r="C1256" s="6"/>
      <c r="D1256" s="5" t="str">
        <f>IF(B1256="","",IFERROR(INDEX(Articles!$E:$E,MATCH(B1256,Articles!$B:$B,0)),""))</f>
        <v/>
      </c>
      <c r="E1256" s="9" t="str">
        <f>IF(OR(C1256="",D1256=""),"",C1256*D1256)</f>
        <v/>
      </c>
      <c r="F1256" s="4"/>
      <c r="G1256" s="4"/>
      <c r="H1256" s="9" t="str">
        <f>IF(OR(B1256="",C1256=""),"",C1256*IFERROR(INDEX(Articles!$D:$D,MATCH(B1256,Articles!$B:$B,0)),0))</f>
        <v/>
      </c>
      <c r="I1256" s="9" t="str">
        <f>IF(OR(E1256="",H1256=""),"",E1256-H1256)</f>
        <v/>
      </c>
      <c r="J1256" s="4"/>
    </row>
    <row r="1257">
      <c r="A1257" s="7"/>
      <c r="B1257" s="4"/>
      <c r="C1257" s="6"/>
      <c r="D1257" s="5" t="str">
        <f>IF(B1257="","",IFERROR(INDEX(Articles!$E:$E,MATCH(B1257,Articles!$B:$B,0)),""))</f>
        <v/>
      </c>
      <c r="E1257" s="9" t="str">
        <f>IF(OR(C1257="",D1257=""),"",C1257*D1257)</f>
        <v/>
      </c>
      <c r="F1257" s="4"/>
      <c r="G1257" s="4"/>
      <c r="H1257" s="9" t="str">
        <f>IF(OR(B1257="",C1257=""),"",C1257*IFERROR(INDEX(Articles!$D:$D,MATCH(B1257,Articles!$B:$B,0)),0))</f>
        <v/>
      </c>
      <c r="I1257" s="9" t="str">
        <f>IF(OR(E1257="",H1257=""),"",E1257-H1257)</f>
        <v/>
      </c>
      <c r="J1257" s="4"/>
    </row>
    <row r="1258">
      <c r="A1258" s="7"/>
      <c r="B1258" s="4"/>
      <c r="C1258" s="6"/>
      <c r="D1258" s="5" t="str">
        <f>IF(B1258="","",IFERROR(INDEX(Articles!$E:$E,MATCH(B1258,Articles!$B:$B,0)),""))</f>
        <v/>
      </c>
      <c r="E1258" s="9" t="str">
        <f>IF(OR(C1258="",D1258=""),"",C1258*D1258)</f>
        <v/>
      </c>
      <c r="F1258" s="4"/>
      <c r="G1258" s="4"/>
      <c r="H1258" s="9" t="str">
        <f>IF(OR(B1258="",C1258=""),"",C1258*IFERROR(INDEX(Articles!$D:$D,MATCH(B1258,Articles!$B:$B,0)),0))</f>
        <v/>
      </c>
      <c r="I1258" s="9" t="str">
        <f>IF(OR(E1258="",H1258=""),"",E1258-H1258)</f>
        <v/>
      </c>
      <c r="J1258" s="4"/>
    </row>
    <row r="1259">
      <c r="A1259" s="7"/>
      <c r="B1259" s="4"/>
      <c r="C1259" s="6"/>
      <c r="D1259" s="5" t="str">
        <f>IF(B1259="","",IFERROR(INDEX(Articles!$E:$E,MATCH(B1259,Articles!$B:$B,0)),""))</f>
        <v/>
      </c>
      <c r="E1259" s="9" t="str">
        <f>IF(OR(C1259="",D1259=""),"",C1259*D1259)</f>
        <v/>
      </c>
      <c r="F1259" s="4"/>
      <c r="G1259" s="4"/>
      <c r="H1259" s="9" t="str">
        <f>IF(OR(B1259="",C1259=""),"",C1259*IFERROR(INDEX(Articles!$D:$D,MATCH(B1259,Articles!$B:$B,0)),0))</f>
        <v/>
      </c>
      <c r="I1259" s="9" t="str">
        <f>IF(OR(E1259="",H1259=""),"",E1259-H1259)</f>
        <v/>
      </c>
      <c r="J1259" s="4"/>
    </row>
    <row r="1260">
      <c r="A1260" s="7"/>
      <c r="B1260" s="4"/>
      <c r="C1260" s="6"/>
      <c r="D1260" s="5" t="str">
        <f>IF(B1260="","",IFERROR(INDEX(Articles!$E:$E,MATCH(B1260,Articles!$B:$B,0)),""))</f>
        <v/>
      </c>
      <c r="E1260" s="9" t="str">
        <f>IF(OR(C1260="",D1260=""),"",C1260*D1260)</f>
        <v/>
      </c>
      <c r="F1260" s="4"/>
      <c r="G1260" s="4"/>
      <c r="H1260" s="9" t="str">
        <f>IF(OR(B1260="",C1260=""),"",C1260*IFERROR(INDEX(Articles!$D:$D,MATCH(B1260,Articles!$B:$B,0)),0))</f>
        <v/>
      </c>
      <c r="I1260" s="9" t="str">
        <f>IF(OR(E1260="",H1260=""),"",E1260-H1260)</f>
        <v/>
      </c>
      <c r="J1260" s="4"/>
    </row>
    <row r="1261">
      <c r="A1261" s="7"/>
      <c r="B1261" s="4"/>
      <c r="C1261" s="6"/>
      <c r="D1261" s="5" t="str">
        <f>IF(B1261="","",IFERROR(INDEX(Articles!$E:$E,MATCH(B1261,Articles!$B:$B,0)),""))</f>
        <v/>
      </c>
      <c r="E1261" s="9" t="str">
        <f>IF(OR(C1261="",D1261=""),"",C1261*D1261)</f>
        <v/>
      </c>
      <c r="F1261" s="4"/>
      <c r="G1261" s="4"/>
      <c r="H1261" s="9" t="str">
        <f>IF(OR(B1261="",C1261=""),"",C1261*IFERROR(INDEX(Articles!$D:$D,MATCH(B1261,Articles!$B:$B,0)),0))</f>
        <v/>
      </c>
      <c r="I1261" s="9" t="str">
        <f>IF(OR(E1261="",H1261=""),"",E1261-H1261)</f>
        <v/>
      </c>
      <c r="J1261" s="4"/>
    </row>
    <row r="1262">
      <c r="A1262" s="7"/>
      <c r="B1262" s="4"/>
      <c r="C1262" s="6"/>
      <c r="D1262" s="5" t="str">
        <f>IF(B1262="","",IFERROR(INDEX(Articles!$E:$E,MATCH(B1262,Articles!$B:$B,0)),""))</f>
        <v/>
      </c>
      <c r="E1262" s="9" t="str">
        <f>IF(OR(C1262="",D1262=""),"",C1262*D1262)</f>
        <v/>
      </c>
      <c r="F1262" s="4"/>
      <c r="G1262" s="4"/>
      <c r="H1262" s="9" t="str">
        <f>IF(OR(B1262="",C1262=""),"",C1262*IFERROR(INDEX(Articles!$D:$D,MATCH(B1262,Articles!$B:$B,0)),0))</f>
        <v/>
      </c>
      <c r="I1262" s="9" t="str">
        <f>IF(OR(E1262="",H1262=""),"",E1262-H1262)</f>
        <v/>
      </c>
      <c r="J1262" s="4"/>
    </row>
    <row r="1263">
      <c r="A1263" s="7"/>
      <c r="B1263" s="4"/>
      <c r="C1263" s="6"/>
      <c r="D1263" s="5" t="str">
        <f>IF(B1263="","",IFERROR(INDEX(Articles!$E:$E,MATCH(B1263,Articles!$B:$B,0)),""))</f>
        <v/>
      </c>
      <c r="E1263" s="9" t="str">
        <f>IF(OR(C1263="",D1263=""),"",C1263*D1263)</f>
        <v/>
      </c>
      <c r="F1263" s="4"/>
      <c r="G1263" s="4"/>
      <c r="H1263" s="9" t="str">
        <f>IF(OR(B1263="",C1263=""),"",C1263*IFERROR(INDEX(Articles!$D:$D,MATCH(B1263,Articles!$B:$B,0)),0))</f>
        <v/>
      </c>
      <c r="I1263" s="9" t="str">
        <f>IF(OR(E1263="",H1263=""),"",E1263-H1263)</f>
        <v/>
      </c>
      <c r="J1263" s="4"/>
    </row>
    <row r="1264">
      <c r="A1264" s="7"/>
      <c r="B1264" s="4"/>
      <c r="C1264" s="6"/>
      <c r="D1264" s="5" t="str">
        <f>IF(B1264="","",IFERROR(INDEX(Articles!$E:$E,MATCH(B1264,Articles!$B:$B,0)),""))</f>
        <v/>
      </c>
      <c r="E1264" s="9" t="str">
        <f>IF(OR(C1264="",D1264=""),"",C1264*D1264)</f>
        <v/>
      </c>
      <c r="F1264" s="4"/>
      <c r="G1264" s="4"/>
      <c r="H1264" s="9" t="str">
        <f>IF(OR(B1264="",C1264=""),"",C1264*IFERROR(INDEX(Articles!$D:$D,MATCH(B1264,Articles!$B:$B,0)),0))</f>
        <v/>
      </c>
      <c r="I1264" s="9" t="str">
        <f>IF(OR(E1264="",H1264=""),"",E1264-H1264)</f>
        <v/>
      </c>
      <c r="J1264" s="4"/>
    </row>
    <row r="1265">
      <c r="A1265" s="7"/>
      <c r="B1265" s="4"/>
      <c r="C1265" s="6"/>
      <c r="D1265" s="5" t="str">
        <f>IF(B1265="","",IFERROR(INDEX(Articles!$E:$E,MATCH(B1265,Articles!$B:$B,0)),""))</f>
        <v/>
      </c>
      <c r="E1265" s="9" t="str">
        <f>IF(OR(C1265="",D1265=""),"",C1265*D1265)</f>
        <v/>
      </c>
      <c r="F1265" s="4"/>
      <c r="G1265" s="4"/>
      <c r="H1265" s="9" t="str">
        <f>IF(OR(B1265="",C1265=""),"",C1265*IFERROR(INDEX(Articles!$D:$D,MATCH(B1265,Articles!$B:$B,0)),0))</f>
        <v/>
      </c>
      <c r="I1265" s="9" t="str">
        <f>IF(OR(E1265="",H1265=""),"",E1265-H1265)</f>
        <v/>
      </c>
      <c r="J1265" s="4"/>
    </row>
    <row r="1266">
      <c r="A1266" s="7"/>
      <c r="B1266" s="4"/>
      <c r="C1266" s="6"/>
      <c r="D1266" s="5" t="str">
        <f>IF(B1266="","",IFERROR(INDEX(Articles!$E:$E,MATCH(B1266,Articles!$B:$B,0)),""))</f>
        <v/>
      </c>
      <c r="E1266" s="9" t="str">
        <f>IF(OR(C1266="",D1266=""),"",C1266*D1266)</f>
        <v/>
      </c>
      <c r="F1266" s="4"/>
      <c r="G1266" s="4"/>
      <c r="H1266" s="9" t="str">
        <f>IF(OR(B1266="",C1266=""),"",C1266*IFERROR(INDEX(Articles!$D:$D,MATCH(B1266,Articles!$B:$B,0)),0))</f>
        <v/>
      </c>
      <c r="I1266" s="9" t="str">
        <f>IF(OR(E1266="",H1266=""),"",E1266-H1266)</f>
        <v/>
      </c>
      <c r="J1266" s="4"/>
    </row>
    <row r="1267">
      <c r="A1267" s="7"/>
      <c r="B1267" s="4"/>
      <c r="C1267" s="6"/>
      <c r="D1267" s="5" t="str">
        <f>IF(B1267="","",IFERROR(INDEX(Articles!$E:$E,MATCH(B1267,Articles!$B:$B,0)),""))</f>
        <v/>
      </c>
      <c r="E1267" s="9" t="str">
        <f>IF(OR(C1267="",D1267=""),"",C1267*D1267)</f>
        <v/>
      </c>
      <c r="F1267" s="4"/>
      <c r="G1267" s="4"/>
      <c r="H1267" s="9" t="str">
        <f>IF(OR(B1267="",C1267=""),"",C1267*IFERROR(INDEX(Articles!$D:$D,MATCH(B1267,Articles!$B:$B,0)),0))</f>
        <v/>
      </c>
      <c r="I1267" s="9" t="str">
        <f>IF(OR(E1267="",H1267=""),"",E1267-H1267)</f>
        <v/>
      </c>
      <c r="J1267" s="4"/>
    </row>
    <row r="1268">
      <c r="A1268" s="7"/>
      <c r="B1268" s="4"/>
      <c r="C1268" s="6"/>
      <c r="D1268" s="5" t="str">
        <f>IF(B1268="","",IFERROR(INDEX(Articles!$E:$E,MATCH(B1268,Articles!$B:$B,0)),""))</f>
        <v/>
      </c>
      <c r="E1268" s="9" t="str">
        <f>IF(OR(C1268="",D1268=""),"",C1268*D1268)</f>
        <v/>
      </c>
      <c r="F1268" s="4"/>
      <c r="G1268" s="4"/>
      <c r="H1268" s="9" t="str">
        <f>IF(OR(B1268="",C1268=""),"",C1268*IFERROR(INDEX(Articles!$D:$D,MATCH(B1268,Articles!$B:$B,0)),0))</f>
        <v/>
      </c>
      <c r="I1268" s="9" t="str">
        <f>IF(OR(E1268="",H1268=""),"",E1268-H1268)</f>
        <v/>
      </c>
      <c r="J1268" s="4"/>
    </row>
    <row r="1269">
      <c r="A1269" s="7"/>
      <c r="B1269" s="4"/>
      <c r="C1269" s="6"/>
      <c r="D1269" s="5" t="str">
        <f>IF(B1269="","",IFERROR(INDEX(Articles!$E:$E,MATCH(B1269,Articles!$B:$B,0)),""))</f>
        <v/>
      </c>
      <c r="E1269" s="9" t="str">
        <f>IF(OR(C1269="",D1269=""),"",C1269*D1269)</f>
        <v/>
      </c>
      <c r="F1269" s="4"/>
      <c r="G1269" s="4"/>
      <c r="H1269" s="9" t="str">
        <f>IF(OR(B1269="",C1269=""),"",C1269*IFERROR(INDEX(Articles!$D:$D,MATCH(B1269,Articles!$B:$B,0)),0))</f>
        <v/>
      </c>
      <c r="I1269" s="9" t="str">
        <f>IF(OR(E1269="",H1269=""),"",E1269-H1269)</f>
        <v/>
      </c>
      <c r="J1269" s="4"/>
    </row>
    <row r="1270">
      <c r="A1270" s="7"/>
      <c r="B1270" s="4"/>
      <c r="C1270" s="6"/>
      <c r="D1270" s="5" t="str">
        <f>IF(B1270="","",IFERROR(INDEX(Articles!$E:$E,MATCH(B1270,Articles!$B:$B,0)),""))</f>
        <v/>
      </c>
      <c r="E1270" s="9" t="str">
        <f>IF(OR(C1270="",D1270=""),"",C1270*D1270)</f>
        <v/>
      </c>
      <c r="F1270" s="4"/>
      <c r="G1270" s="4"/>
      <c r="H1270" s="9" t="str">
        <f>IF(OR(B1270="",C1270=""),"",C1270*IFERROR(INDEX(Articles!$D:$D,MATCH(B1270,Articles!$B:$B,0)),0))</f>
        <v/>
      </c>
      <c r="I1270" s="9" t="str">
        <f>IF(OR(E1270="",H1270=""),"",E1270-H1270)</f>
        <v/>
      </c>
      <c r="J1270" s="4"/>
    </row>
    <row r="1271">
      <c r="A1271" s="7"/>
      <c r="B1271" s="4"/>
      <c r="C1271" s="6"/>
      <c r="D1271" s="5" t="str">
        <f>IF(B1271="","",IFERROR(INDEX(Articles!$E:$E,MATCH(B1271,Articles!$B:$B,0)),""))</f>
        <v/>
      </c>
      <c r="E1271" s="9" t="str">
        <f>IF(OR(C1271="",D1271=""),"",C1271*D1271)</f>
        <v/>
      </c>
      <c r="F1271" s="4"/>
      <c r="G1271" s="4"/>
      <c r="H1271" s="9" t="str">
        <f>IF(OR(B1271="",C1271=""),"",C1271*IFERROR(INDEX(Articles!$D:$D,MATCH(B1271,Articles!$B:$B,0)),0))</f>
        <v/>
      </c>
      <c r="I1271" s="9" t="str">
        <f>IF(OR(E1271="",H1271=""),"",E1271-H1271)</f>
        <v/>
      </c>
      <c r="J1271" s="4"/>
    </row>
    <row r="1272">
      <c r="A1272" s="7"/>
      <c r="B1272" s="4"/>
      <c r="C1272" s="6"/>
      <c r="D1272" s="5" t="str">
        <f>IF(B1272="","",IFERROR(INDEX(Articles!$E:$E,MATCH(B1272,Articles!$B:$B,0)),""))</f>
        <v/>
      </c>
      <c r="E1272" s="9" t="str">
        <f>IF(OR(C1272="",D1272=""),"",C1272*D1272)</f>
        <v/>
      </c>
      <c r="F1272" s="4"/>
      <c r="G1272" s="4"/>
      <c r="H1272" s="9" t="str">
        <f>IF(OR(B1272="",C1272=""),"",C1272*IFERROR(INDEX(Articles!$D:$D,MATCH(B1272,Articles!$B:$B,0)),0))</f>
        <v/>
      </c>
      <c r="I1272" s="9" t="str">
        <f>IF(OR(E1272="",H1272=""),"",E1272-H1272)</f>
        <v/>
      </c>
      <c r="J1272" s="4"/>
    </row>
    <row r="1273">
      <c r="A1273" s="7"/>
      <c r="B1273" s="4"/>
      <c r="C1273" s="6"/>
      <c r="D1273" s="5" t="str">
        <f>IF(B1273="","",IFERROR(INDEX(Articles!$E:$E,MATCH(B1273,Articles!$B:$B,0)),""))</f>
        <v/>
      </c>
      <c r="E1273" s="9" t="str">
        <f>IF(OR(C1273="",D1273=""),"",C1273*D1273)</f>
        <v/>
      </c>
      <c r="F1273" s="4"/>
      <c r="G1273" s="4"/>
      <c r="H1273" s="9" t="str">
        <f>IF(OR(B1273="",C1273=""),"",C1273*IFERROR(INDEX(Articles!$D:$D,MATCH(B1273,Articles!$B:$B,0)),0))</f>
        <v/>
      </c>
      <c r="I1273" s="9" t="str">
        <f>IF(OR(E1273="",H1273=""),"",E1273-H1273)</f>
        <v/>
      </c>
      <c r="J1273" s="4"/>
    </row>
    <row r="1274">
      <c r="A1274" s="7"/>
      <c r="B1274" s="4"/>
      <c r="C1274" s="6"/>
      <c r="D1274" s="5" t="str">
        <f>IF(B1274="","",IFERROR(INDEX(Articles!$E:$E,MATCH(B1274,Articles!$B:$B,0)),""))</f>
        <v/>
      </c>
      <c r="E1274" s="9" t="str">
        <f>IF(OR(C1274="",D1274=""),"",C1274*D1274)</f>
        <v/>
      </c>
      <c r="F1274" s="4"/>
      <c r="G1274" s="4"/>
      <c r="H1274" s="9" t="str">
        <f>IF(OR(B1274="",C1274=""),"",C1274*IFERROR(INDEX(Articles!$D:$D,MATCH(B1274,Articles!$B:$B,0)),0))</f>
        <v/>
      </c>
      <c r="I1274" s="9" t="str">
        <f>IF(OR(E1274="",H1274=""),"",E1274-H1274)</f>
        <v/>
      </c>
      <c r="J1274" s="4"/>
    </row>
    <row r="1275">
      <c r="A1275" s="7"/>
      <c r="B1275" s="4"/>
      <c r="C1275" s="6"/>
      <c r="D1275" s="5" t="str">
        <f>IF(B1275="","",IFERROR(INDEX(Articles!$E:$E,MATCH(B1275,Articles!$B:$B,0)),""))</f>
        <v/>
      </c>
      <c r="E1275" s="9" t="str">
        <f>IF(OR(C1275="",D1275=""),"",C1275*D1275)</f>
        <v/>
      </c>
      <c r="F1275" s="4"/>
      <c r="G1275" s="4"/>
      <c r="H1275" s="9" t="str">
        <f>IF(OR(B1275="",C1275=""),"",C1275*IFERROR(INDEX(Articles!$D:$D,MATCH(B1275,Articles!$B:$B,0)),0))</f>
        <v/>
      </c>
      <c r="I1275" s="9" t="str">
        <f>IF(OR(E1275="",H1275=""),"",E1275-H1275)</f>
        <v/>
      </c>
      <c r="J1275" s="4"/>
    </row>
    <row r="1276">
      <c r="A1276" s="7"/>
      <c r="B1276" s="4"/>
      <c r="C1276" s="6"/>
      <c r="D1276" s="5" t="str">
        <f>IF(B1276="","",IFERROR(INDEX(Articles!$E:$E,MATCH(B1276,Articles!$B:$B,0)),""))</f>
        <v/>
      </c>
      <c r="E1276" s="9" t="str">
        <f>IF(OR(C1276="",D1276=""),"",C1276*D1276)</f>
        <v/>
      </c>
      <c r="F1276" s="4"/>
      <c r="G1276" s="4"/>
      <c r="H1276" s="9" t="str">
        <f>IF(OR(B1276="",C1276=""),"",C1276*IFERROR(INDEX(Articles!$D:$D,MATCH(B1276,Articles!$B:$B,0)),0))</f>
        <v/>
      </c>
      <c r="I1276" s="9" t="str">
        <f>IF(OR(E1276="",H1276=""),"",E1276-H1276)</f>
        <v/>
      </c>
      <c r="J1276" s="4"/>
    </row>
    <row r="1277">
      <c r="A1277" s="7"/>
      <c r="B1277" s="4"/>
      <c r="C1277" s="6"/>
      <c r="D1277" s="5" t="str">
        <f>IF(B1277="","",IFERROR(INDEX(Articles!$E:$E,MATCH(B1277,Articles!$B:$B,0)),""))</f>
        <v/>
      </c>
      <c r="E1277" s="9" t="str">
        <f>IF(OR(C1277="",D1277=""),"",C1277*D1277)</f>
        <v/>
      </c>
      <c r="F1277" s="4"/>
      <c r="G1277" s="4"/>
      <c r="H1277" s="9" t="str">
        <f>IF(OR(B1277="",C1277=""),"",C1277*IFERROR(INDEX(Articles!$D:$D,MATCH(B1277,Articles!$B:$B,0)),0))</f>
        <v/>
      </c>
      <c r="I1277" s="9" t="str">
        <f>IF(OR(E1277="",H1277=""),"",E1277-H1277)</f>
        <v/>
      </c>
      <c r="J1277" s="4"/>
    </row>
    <row r="1278">
      <c r="A1278" s="7"/>
      <c r="B1278" s="4"/>
      <c r="C1278" s="6"/>
      <c r="D1278" s="5" t="str">
        <f>IF(B1278="","",IFERROR(INDEX(Articles!$E:$E,MATCH(B1278,Articles!$B:$B,0)),""))</f>
        <v/>
      </c>
      <c r="E1278" s="9" t="str">
        <f>IF(OR(C1278="",D1278=""),"",C1278*D1278)</f>
        <v/>
      </c>
      <c r="F1278" s="4"/>
      <c r="G1278" s="4"/>
      <c r="H1278" s="9" t="str">
        <f>IF(OR(B1278="",C1278=""),"",C1278*IFERROR(INDEX(Articles!$D:$D,MATCH(B1278,Articles!$B:$B,0)),0))</f>
        <v/>
      </c>
      <c r="I1278" s="9" t="str">
        <f>IF(OR(E1278="",H1278=""),"",E1278-H1278)</f>
        <v/>
      </c>
      <c r="J1278" s="4"/>
    </row>
    <row r="1279">
      <c r="A1279" s="7"/>
      <c r="B1279" s="4"/>
      <c r="C1279" s="6"/>
      <c r="D1279" s="5" t="str">
        <f>IF(B1279="","",IFERROR(INDEX(Articles!$E:$E,MATCH(B1279,Articles!$B:$B,0)),""))</f>
        <v/>
      </c>
      <c r="E1279" s="9" t="str">
        <f>IF(OR(C1279="",D1279=""),"",C1279*D1279)</f>
        <v/>
      </c>
      <c r="F1279" s="4"/>
      <c r="G1279" s="4"/>
      <c r="H1279" s="9" t="str">
        <f>IF(OR(B1279="",C1279=""),"",C1279*IFERROR(INDEX(Articles!$D:$D,MATCH(B1279,Articles!$B:$B,0)),0))</f>
        <v/>
      </c>
      <c r="I1279" s="9" t="str">
        <f>IF(OR(E1279="",H1279=""),"",E1279-H1279)</f>
        <v/>
      </c>
      <c r="J1279" s="4"/>
    </row>
    <row r="1280">
      <c r="A1280" s="7"/>
      <c r="B1280" s="4"/>
      <c r="C1280" s="6"/>
      <c r="D1280" s="5" t="str">
        <f>IF(B1280="","",IFERROR(INDEX(Articles!$E:$E,MATCH(B1280,Articles!$B:$B,0)),""))</f>
        <v/>
      </c>
      <c r="E1280" s="9" t="str">
        <f>IF(OR(C1280="",D1280=""),"",C1280*D1280)</f>
        <v/>
      </c>
      <c r="F1280" s="4"/>
      <c r="G1280" s="4"/>
      <c r="H1280" s="9" t="str">
        <f>IF(OR(B1280="",C1280=""),"",C1280*IFERROR(INDEX(Articles!$D:$D,MATCH(B1280,Articles!$B:$B,0)),0))</f>
        <v/>
      </c>
      <c r="I1280" s="9" t="str">
        <f>IF(OR(E1280="",H1280=""),"",E1280-H1280)</f>
        <v/>
      </c>
      <c r="J1280" s="4"/>
    </row>
    <row r="1281">
      <c r="A1281" s="7"/>
      <c r="B1281" s="4"/>
      <c r="C1281" s="6"/>
      <c r="D1281" s="5" t="str">
        <f>IF(B1281="","",IFERROR(INDEX(Articles!$E:$E,MATCH(B1281,Articles!$B:$B,0)),""))</f>
        <v/>
      </c>
      <c r="E1281" s="9" t="str">
        <f>IF(OR(C1281="",D1281=""),"",C1281*D1281)</f>
        <v/>
      </c>
      <c r="F1281" s="4"/>
      <c r="G1281" s="4"/>
      <c r="H1281" s="9" t="str">
        <f>IF(OR(B1281="",C1281=""),"",C1281*IFERROR(INDEX(Articles!$D:$D,MATCH(B1281,Articles!$B:$B,0)),0))</f>
        <v/>
      </c>
      <c r="I1281" s="9" t="str">
        <f>IF(OR(E1281="",H1281=""),"",E1281-H1281)</f>
        <v/>
      </c>
      <c r="J1281" s="4"/>
    </row>
    <row r="1282">
      <c r="A1282" s="7"/>
      <c r="B1282" s="4"/>
      <c r="C1282" s="6"/>
      <c r="D1282" s="5" t="str">
        <f>IF(B1282="","",IFERROR(INDEX(Articles!$E:$E,MATCH(B1282,Articles!$B:$B,0)),""))</f>
        <v/>
      </c>
      <c r="E1282" s="9" t="str">
        <f>IF(OR(C1282="",D1282=""),"",C1282*D1282)</f>
        <v/>
      </c>
      <c r="F1282" s="4"/>
      <c r="G1282" s="4"/>
      <c r="H1282" s="9" t="str">
        <f>IF(OR(B1282="",C1282=""),"",C1282*IFERROR(INDEX(Articles!$D:$D,MATCH(B1282,Articles!$B:$B,0)),0))</f>
        <v/>
      </c>
      <c r="I1282" s="9" t="str">
        <f>IF(OR(E1282="",H1282=""),"",E1282-H1282)</f>
        <v/>
      </c>
      <c r="J1282" s="4"/>
    </row>
    <row r="1283">
      <c r="A1283" s="7"/>
      <c r="B1283" s="4"/>
      <c r="C1283" s="6"/>
      <c r="D1283" s="5" t="str">
        <f>IF(B1283="","",IFERROR(INDEX(Articles!$E:$E,MATCH(B1283,Articles!$B:$B,0)),""))</f>
        <v/>
      </c>
      <c r="E1283" s="9" t="str">
        <f>IF(OR(C1283="",D1283=""),"",C1283*D1283)</f>
        <v/>
      </c>
      <c r="F1283" s="4"/>
      <c r="G1283" s="4"/>
      <c r="H1283" s="9" t="str">
        <f>IF(OR(B1283="",C1283=""),"",C1283*IFERROR(INDEX(Articles!$D:$D,MATCH(B1283,Articles!$B:$B,0)),0))</f>
        <v/>
      </c>
      <c r="I1283" s="9" t="str">
        <f>IF(OR(E1283="",H1283=""),"",E1283-H1283)</f>
        <v/>
      </c>
      <c r="J1283" s="4"/>
    </row>
    <row r="1284">
      <c r="A1284" s="7"/>
      <c r="B1284" s="4"/>
      <c r="C1284" s="6"/>
      <c r="D1284" s="5" t="str">
        <f>IF(B1284="","",IFERROR(INDEX(Articles!$E:$E,MATCH(B1284,Articles!$B:$B,0)),""))</f>
        <v/>
      </c>
      <c r="E1284" s="9" t="str">
        <f>IF(OR(C1284="",D1284=""),"",C1284*D1284)</f>
        <v/>
      </c>
      <c r="F1284" s="4"/>
      <c r="G1284" s="4"/>
      <c r="H1284" s="9" t="str">
        <f>IF(OR(B1284="",C1284=""),"",C1284*IFERROR(INDEX(Articles!$D:$D,MATCH(B1284,Articles!$B:$B,0)),0))</f>
        <v/>
      </c>
      <c r="I1284" s="9" t="str">
        <f>IF(OR(E1284="",H1284=""),"",E1284-H1284)</f>
        <v/>
      </c>
      <c r="J1284" s="4"/>
    </row>
    <row r="1285">
      <c r="A1285" s="7"/>
      <c r="B1285" s="4"/>
      <c r="C1285" s="6"/>
      <c r="D1285" s="5" t="str">
        <f>IF(B1285="","",IFERROR(INDEX(Articles!$E:$E,MATCH(B1285,Articles!$B:$B,0)),""))</f>
        <v/>
      </c>
      <c r="E1285" s="9" t="str">
        <f>IF(OR(C1285="",D1285=""),"",C1285*D1285)</f>
        <v/>
      </c>
      <c r="F1285" s="4"/>
      <c r="G1285" s="4"/>
      <c r="H1285" s="9" t="str">
        <f>IF(OR(B1285="",C1285=""),"",C1285*IFERROR(INDEX(Articles!$D:$D,MATCH(B1285,Articles!$B:$B,0)),0))</f>
        <v/>
      </c>
      <c r="I1285" s="9" t="str">
        <f>IF(OR(E1285="",H1285=""),"",E1285-H1285)</f>
        <v/>
      </c>
      <c r="J1285" s="4"/>
    </row>
    <row r="1286">
      <c r="A1286" s="7"/>
      <c r="B1286" s="4"/>
      <c r="C1286" s="6"/>
      <c r="D1286" s="5" t="str">
        <f>IF(B1286="","",IFERROR(INDEX(Articles!$E:$E,MATCH(B1286,Articles!$B:$B,0)),""))</f>
        <v/>
      </c>
      <c r="E1286" s="9" t="str">
        <f>IF(OR(C1286="",D1286=""),"",C1286*D1286)</f>
        <v/>
      </c>
      <c r="F1286" s="4"/>
      <c r="G1286" s="4"/>
      <c r="H1286" s="9" t="str">
        <f>IF(OR(B1286="",C1286=""),"",C1286*IFERROR(INDEX(Articles!$D:$D,MATCH(B1286,Articles!$B:$B,0)),0))</f>
        <v/>
      </c>
      <c r="I1286" s="9" t="str">
        <f>IF(OR(E1286="",H1286=""),"",E1286-H1286)</f>
        <v/>
      </c>
      <c r="J1286" s="4"/>
    </row>
    <row r="1287">
      <c r="A1287" s="7"/>
      <c r="B1287" s="4"/>
      <c r="C1287" s="6"/>
      <c r="D1287" s="5" t="str">
        <f>IF(B1287="","",IFERROR(INDEX(Articles!$E:$E,MATCH(B1287,Articles!$B:$B,0)),""))</f>
        <v/>
      </c>
      <c r="E1287" s="9" t="str">
        <f>IF(OR(C1287="",D1287=""),"",C1287*D1287)</f>
        <v/>
      </c>
      <c r="F1287" s="4"/>
      <c r="G1287" s="4"/>
      <c r="H1287" s="9" t="str">
        <f>IF(OR(B1287="",C1287=""),"",C1287*IFERROR(INDEX(Articles!$D:$D,MATCH(B1287,Articles!$B:$B,0)),0))</f>
        <v/>
      </c>
      <c r="I1287" s="9" t="str">
        <f>IF(OR(E1287="",H1287=""),"",E1287-H1287)</f>
        <v/>
      </c>
      <c r="J1287" s="4"/>
    </row>
    <row r="1288">
      <c r="A1288" s="7"/>
      <c r="B1288" s="4"/>
      <c r="C1288" s="6"/>
      <c r="D1288" s="5" t="str">
        <f>IF(B1288="","",IFERROR(INDEX(Articles!$E:$E,MATCH(B1288,Articles!$B:$B,0)),""))</f>
        <v/>
      </c>
      <c r="E1288" s="9" t="str">
        <f>IF(OR(C1288="",D1288=""),"",C1288*D1288)</f>
        <v/>
      </c>
      <c r="F1288" s="4"/>
      <c r="G1288" s="4"/>
      <c r="H1288" s="9" t="str">
        <f>IF(OR(B1288="",C1288=""),"",C1288*IFERROR(INDEX(Articles!$D:$D,MATCH(B1288,Articles!$B:$B,0)),0))</f>
        <v/>
      </c>
      <c r="I1288" s="9" t="str">
        <f>IF(OR(E1288="",H1288=""),"",E1288-H1288)</f>
        <v/>
      </c>
      <c r="J1288" s="4"/>
    </row>
    <row r="1289">
      <c r="A1289" s="7"/>
      <c r="B1289" s="4"/>
      <c r="C1289" s="6"/>
      <c r="D1289" s="5" t="str">
        <f>IF(B1289="","",IFERROR(INDEX(Articles!$E:$E,MATCH(B1289,Articles!$B:$B,0)),""))</f>
        <v/>
      </c>
      <c r="E1289" s="9" t="str">
        <f>IF(OR(C1289="",D1289=""),"",C1289*D1289)</f>
        <v/>
      </c>
      <c r="F1289" s="4"/>
      <c r="G1289" s="4"/>
      <c r="H1289" s="9" t="str">
        <f>IF(OR(B1289="",C1289=""),"",C1289*IFERROR(INDEX(Articles!$D:$D,MATCH(B1289,Articles!$B:$B,0)),0))</f>
        <v/>
      </c>
      <c r="I1289" s="9" t="str">
        <f>IF(OR(E1289="",H1289=""),"",E1289-H1289)</f>
        <v/>
      </c>
      <c r="J1289" s="4"/>
    </row>
    <row r="1290">
      <c r="A1290" s="7"/>
      <c r="B1290" s="4"/>
      <c r="C1290" s="6"/>
      <c r="D1290" s="5" t="str">
        <f>IF(B1290="","",IFERROR(INDEX(Articles!$E:$E,MATCH(B1290,Articles!$B:$B,0)),""))</f>
        <v/>
      </c>
      <c r="E1290" s="9" t="str">
        <f>IF(OR(C1290="",D1290=""),"",C1290*D1290)</f>
        <v/>
      </c>
      <c r="F1290" s="4"/>
      <c r="G1290" s="4"/>
      <c r="H1290" s="9" t="str">
        <f>IF(OR(B1290="",C1290=""),"",C1290*IFERROR(INDEX(Articles!$D:$D,MATCH(B1290,Articles!$B:$B,0)),0))</f>
        <v/>
      </c>
      <c r="I1290" s="9" t="str">
        <f>IF(OR(E1290="",H1290=""),"",E1290-H1290)</f>
        <v/>
      </c>
      <c r="J1290" s="4"/>
    </row>
    <row r="1291">
      <c r="A1291" s="7"/>
      <c r="B1291" s="4"/>
      <c r="C1291" s="6"/>
      <c r="D1291" s="5" t="str">
        <f>IF(B1291="","",IFERROR(INDEX(Articles!$E:$E,MATCH(B1291,Articles!$B:$B,0)),""))</f>
        <v/>
      </c>
      <c r="E1291" s="9" t="str">
        <f>IF(OR(C1291="",D1291=""),"",C1291*D1291)</f>
        <v/>
      </c>
      <c r="F1291" s="4"/>
      <c r="G1291" s="4"/>
      <c r="H1291" s="9" t="str">
        <f>IF(OR(B1291="",C1291=""),"",C1291*IFERROR(INDEX(Articles!$D:$D,MATCH(B1291,Articles!$B:$B,0)),0))</f>
        <v/>
      </c>
      <c r="I1291" s="9" t="str">
        <f>IF(OR(E1291="",H1291=""),"",E1291-H1291)</f>
        <v/>
      </c>
      <c r="J1291" s="4"/>
    </row>
    <row r="1292">
      <c r="A1292" s="7"/>
      <c r="B1292" s="4"/>
      <c r="C1292" s="6"/>
      <c r="D1292" s="5" t="str">
        <f>IF(B1292="","",IFERROR(INDEX(Articles!$E:$E,MATCH(B1292,Articles!$B:$B,0)),""))</f>
        <v/>
      </c>
      <c r="E1292" s="9" t="str">
        <f>IF(OR(C1292="",D1292=""),"",C1292*D1292)</f>
        <v/>
      </c>
      <c r="F1292" s="4"/>
      <c r="G1292" s="4"/>
      <c r="H1292" s="9" t="str">
        <f>IF(OR(B1292="",C1292=""),"",C1292*IFERROR(INDEX(Articles!$D:$D,MATCH(B1292,Articles!$B:$B,0)),0))</f>
        <v/>
      </c>
      <c r="I1292" s="9" t="str">
        <f>IF(OR(E1292="",H1292=""),"",E1292-H1292)</f>
        <v/>
      </c>
      <c r="J1292" s="4"/>
    </row>
    <row r="1293">
      <c r="A1293" s="7"/>
      <c r="B1293" s="4"/>
      <c r="C1293" s="6"/>
      <c r="D1293" s="5" t="str">
        <f>IF(B1293="","",IFERROR(INDEX(Articles!$E:$E,MATCH(B1293,Articles!$B:$B,0)),""))</f>
        <v/>
      </c>
      <c r="E1293" s="9" t="str">
        <f>IF(OR(C1293="",D1293=""),"",C1293*D1293)</f>
        <v/>
      </c>
      <c r="F1293" s="4"/>
      <c r="G1293" s="4"/>
      <c r="H1293" s="9" t="str">
        <f>IF(OR(B1293="",C1293=""),"",C1293*IFERROR(INDEX(Articles!$D:$D,MATCH(B1293,Articles!$B:$B,0)),0))</f>
        <v/>
      </c>
      <c r="I1293" s="9" t="str">
        <f>IF(OR(E1293="",H1293=""),"",E1293-H1293)</f>
        <v/>
      </c>
      <c r="J1293" s="4"/>
    </row>
    <row r="1294">
      <c r="A1294" s="7"/>
      <c r="B1294" s="4"/>
      <c r="C1294" s="6"/>
      <c r="D1294" s="5" t="str">
        <f>IF(B1294="","",IFERROR(INDEX(Articles!$E:$E,MATCH(B1294,Articles!$B:$B,0)),""))</f>
        <v/>
      </c>
      <c r="E1294" s="9" t="str">
        <f>IF(OR(C1294="",D1294=""),"",C1294*D1294)</f>
        <v/>
      </c>
      <c r="F1294" s="4"/>
      <c r="G1294" s="4"/>
      <c r="H1294" s="9" t="str">
        <f>IF(OR(B1294="",C1294=""),"",C1294*IFERROR(INDEX(Articles!$D:$D,MATCH(B1294,Articles!$B:$B,0)),0))</f>
        <v/>
      </c>
      <c r="I1294" s="9" t="str">
        <f>IF(OR(E1294="",H1294=""),"",E1294-H1294)</f>
        <v/>
      </c>
      <c r="J1294" s="4"/>
    </row>
    <row r="1295">
      <c r="A1295" s="7"/>
      <c r="B1295" s="4"/>
      <c r="C1295" s="6"/>
      <c r="D1295" s="5" t="str">
        <f>IF(B1295="","",IFERROR(INDEX(Articles!$E:$E,MATCH(B1295,Articles!$B:$B,0)),""))</f>
        <v/>
      </c>
      <c r="E1295" s="9" t="str">
        <f>IF(OR(C1295="",D1295=""),"",C1295*D1295)</f>
        <v/>
      </c>
      <c r="F1295" s="4"/>
      <c r="G1295" s="4"/>
      <c r="H1295" s="9" t="str">
        <f>IF(OR(B1295="",C1295=""),"",C1295*IFERROR(INDEX(Articles!$D:$D,MATCH(B1295,Articles!$B:$B,0)),0))</f>
        <v/>
      </c>
      <c r="I1295" s="9" t="str">
        <f>IF(OR(E1295="",H1295=""),"",E1295-H1295)</f>
        <v/>
      </c>
      <c r="J1295" s="4"/>
    </row>
    <row r="1296">
      <c r="A1296" s="7"/>
      <c r="B1296" s="4"/>
      <c r="C1296" s="6"/>
      <c r="D1296" s="5" t="str">
        <f>IF(B1296="","",IFERROR(INDEX(Articles!$E:$E,MATCH(B1296,Articles!$B:$B,0)),""))</f>
        <v/>
      </c>
      <c r="E1296" s="9" t="str">
        <f>IF(OR(C1296="",D1296=""),"",C1296*D1296)</f>
        <v/>
      </c>
      <c r="F1296" s="4"/>
      <c r="G1296" s="4"/>
      <c r="H1296" s="9" t="str">
        <f>IF(OR(B1296="",C1296=""),"",C1296*IFERROR(INDEX(Articles!$D:$D,MATCH(B1296,Articles!$B:$B,0)),0))</f>
        <v/>
      </c>
      <c r="I1296" s="9" t="str">
        <f>IF(OR(E1296="",H1296=""),"",E1296-H1296)</f>
        <v/>
      </c>
      <c r="J1296" s="4"/>
    </row>
    <row r="1297">
      <c r="A1297" s="7"/>
      <c r="B1297" s="4"/>
      <c r="C1297" s="6"/>
      <c r="D1297" s="5" t="str">
        <f>IF(B1297="","",IFERROR(INDEX(Articles!$E:$E,MATCH(B1297,Articles!$B:$B,0)),""))</f>
        <v/>
      </c>
      <c r="E1297" s="9" t="str">
        <f>IF(OR(C1297="",D1297=""),"",C1297*D1297)</f>
        <v/>
      </c>
      <c r="F1297" s="4"/>
      <c r="G1297" s="4"/>
      <c r="H1297" s="9" t="str">
        <f>IF(OR(B1297="",C1297=""),"",C1297*IFERROR(INDEX(Articles!$D:$D,MATCH(B1297,Articles!$B:$B,0)),0))</f>
        <v/>
      </c>
      <c r="I1297" s="9" t="str">
        <f>IF(OR(E1297="",H1297=""),"",E1297-H1297)</f>
        <v/>
      </c>
      <c r="J1297" s="4"/>
    </row>
    <row r="1298">
      <c r="A1298" s="7"/>
      <c r="B1298" s="4"/>
      <c r="C1298" s="6"/>
      <c r="D1298" s="5" t="str">
        <f>IF(B1298="","",IFERROR(INDEX(Articles!$E:$E,MATCH(B1298,Articles!$B:$B,0)),""))</f>
        <v/>
      </c>
      <c r="E1298" s="9" t="str">
        <f>IF(OR(C1298="",D1298=""),"",C1298*D1298)</f>
        <v/>
      </c>
      <c r="F1298" s="4"/>
      <c r="G1298" s="4"/>
      <c r="H1298" s="9" t="str">
        <f>IF(OR(B1298="",C1298=""),"",C1298*IFERROR(INDEX(Articles!$D:$D,MATCH(B1298,Articles!$B:$B,0)),0))</f>
        <v/>
      </c>
      <c r="I1298" s="9" t="str">
        <f>IF(OR(E1298="",H1298=""),"",E1298-H1298)</f>
        <v/>
      </c>
      <c r="J1298" s="4"/>
    </row>
    <row r="1299">
      <c r="A1299" s="7"/>
      <c r="B1299" s="4"/>
      <c r="C1299" s="6"/>
      <c r="D1299" s="5" t="str">
        <f>IF(B1299="","",IFERROR(INDEX(Articles!$E:$E,MATCH(B1299,Articles!$B:$B,0)),""))</f>
        <v/>
      </c>
      <c r="E1299" s="9" t="str">
        <f>IF(OR(C1299="",D1299=""),"",C1299*D1299)</f>
        <v/>
      </c>
      <c r="F1299" s="4"/>
      <c r="G1299" s="4"/>
      <c r="H1299" s="9" t="str">
        <f>IF(OR(B1299="",C1299=""),"",C1299*IFERROR(INDEX(Articles!$D:$D,MATCH(B1299,Articles!$B:$B,0)),0))</f>
        <v/>
      </c>
      <c r="I1299" s="9" t="str">
        <f>IF(OR(E1299="",H1299=""),"",E1299-H1299)</f>
        <v/>
      </c>
      <c r="J1299" s="4"/>
    </row>
    <row r="1300">
      <c r="A1300" s="7"/>
      <c r="B1300" s="4"/>
      <c r="C1300" s="6"/>
      <c r="D1300" s="5" t="str">
        <f>IF(B1300="","",IFERROR(INDEX(Articles!$E:$E,MATCH(B1300,Articles!$B:$B,0)),""))</f>
        <v/>
      </c>
      <c r="E1300" s="9" t="str">
        <f>IF(OR(C1300="",D1300=""),"",C1300*D1300)</f>
        <v/>
      </c>
      <c r="F1300" s="4"/>
      <c r="G1300" s="4"/>
      <c r="H1300" s="9" t="str">
        <f>IF(OR(B1300="",C1300=""),"",C1300*IFERROR(INDEX(Articles!$D:$D,MATCH(B1300,Articles!$B:$B,0)),0))</f>
        <v/>
      </c>
      <c r="I1300" s="9" t="str">
        <f>IF(OR(E1300="",H1300=""),"",E1300-H1300)</f>
        <v/>
      </c>
      <c r="J1300" s="4"/>
    </row>
    <row r="1301">
      <c r="A1301" s="7"/>
      <c r="B1301" s="4"/>
      <c r="C1301" s="6"/>
      <c r="D1301" s="5" t="str">
        <f>IF(B1301="","",IFERROR(INDEX(Articles!$E:$E,MATCH(B1301,Articles!$B:$B,0)),""))</f>
        <v/>
      </c>
      <c r="E1301" s="9" t="str">
        <f>IF(OR(C1301="",D1301=""),"",C1301*D1301)</f>
        <v/>
      </c>
      <c r="F1301" s="4"/>
      <c r="G1301" s="4"/>
      <c r="H1301" s="9" t="str">
        <f>IF(OR(B1301="",C1301=""),"",C1301*IFERROR(INDEX(Articles!$D:$D,MATCH(B1301,Articles!$B:$B,0)),0))</f>
        <v/>
      </c>
      <c r="I1301" s="9" t="str">
        <f>IF(OR(E1301="",H1301=""),"",E1301-H1301)</f>
        <v/>
      </c>
      <c r="J1301" s="4"/>
    </row>
    <row r="1302">
      <c r="A1302" s="7"/>
      <c r="B1302" s="4"/>
      <c r="C1302" s="6"/>
      <c r="D1302" s="5" t="str">
        <f>IF(B1302="","",IFERROR(INDEX(Articles!$E:$E,MATCH(B1302,Articles!$B:$B,0)),""))</f>
        <v/>
      </c>
      <c r="E1302" s="9" t="str">
        <f>IF(OR(C1302="",D1302=""),"",C1302*D1302)</f>
        <v/>
      </c>
      <c r="F1302" s="4"/>
      <c r="G1302" s="4"/>
      <c r="H1302" s="9" t="str">
        <f>IF(OR(B1302="",C1302=""),"",C1302*IFERROR(INDEX(Articles!$D:$D,MATCH(B1302,Articles!$B:$B,0)),0))</f>
        <v/>
      </c>
      <c r="I1302" s="9" t="str">
        <f>IF(OR(E1302="",H1302=""),"",E1302-H1302)</f>
        <v/>
      </c>
      <c r="J1302" s="4"/>
    </row>
    <row r="1303">
      <c r="A1303" s="7"/>
      <c r="B1303" s="4"/>
      <c r="C1303" s="6"/>
      <c r="D1303" s="5" t="str">
        <f>IF(B1303="","",IFERROR(INDEX(Articles!$E:$E,MATCH(B1303,Articles!$B:$B,0)),""))</f>
        <v/>
      </c>
      <c r="E1303" s="9" t="str">
        <f>IF(OR(C1303="",D1303=""),"",C1303*D1303)</f>
        <v/>
      </c>
      <c r="F1303" s="4"/>
      <c r="G1303" s="4"/>
      <c r="H1303" s="9" t="str">
        <f>IF(OR(B1303="",C1303=""),"",C1303*IFERROR(INDEX(Articles!$D:$D,MATCH(B1303,Articles!$B:$B,0)),0))</f>
        <v/>
      </c>
      <c r="I1303" s="9" t="str">
        <f>IF(OR(E1303="",H1303=""),"",E1303-H1303)</f>
        <v/>
      </c>
      <c r="J1303" s="4"/>
    </row>
    <row r="1304">
      <c r="A1304" s="7"/>
      <c r="B1304" s="4"/>
      <c r="C1304" s="6"/>
      <c r="D1304" s="5" t="str">
        <f>IF(B1304="","",IFERROR(INDEX(Articles!$E:$E,MATCH(B1304,Articles!$B:$B,0)),""))</f>
        <v/>
      </c>
      <c r="E1304" s="9" t="str">
        <f>IF(OR(C1304="",D1304=""),"",C1304*D1304)</f>
        <v/>
      </c>
      <c r="F1304" s="4"/>
      <c r="G1304" s="4"/>
      <c r="H1304" s="9" t="str">
        <f>IF(OR(B1304="",C1304=""),"",C1304*IFERROR(INDEX(Articles!$D:$D,MATCH(B1304,Articles!$B:$B,0)),0))</f>
        <v/>
      </c>
      <c r="I1304" s="9" t="str">
        <f>IF(OR(E1304="",H1304=""),"",E1304-H1304)</f>
        <v/>
      </c>
      <c r="J1304" s="4"/>
    </row>
    <row r="1305">
      <c r="A1305" s="7"/>
      <c r="B1305" s="4"/>
      <c r="C1305" s="6"/>
      <c r="D1305" s="5" t="str">
        <f>IF(B1305="","",IFERROR(INDEX(Articles!$E:$E,MATCH(B1305,Articles!$B:$B,0)),""))</f>
        <v/>
      </c>
      <c r="E1305" s="9" t="str">
        <f>IF(OR(C1305="",D1305=""),"",C1305*D1305)</f>
        <v/>
      </c>
      <c r="F1305" s="4"/>
      <c r="G1305" s="4"/>
      <c r="H1305" s="9" t="str">
        <f>IF(OR(B1305="",C1305=""),"",C1305*IFERROR(INDEX(Articles!$D:$D,MATCH(B1305,Articles!$B:$B,0)),0))</f>
        <v/>
      </c>
      <c r="I1305" s="9" t="str">
        <f>IF(OR(E1305="",H1305=""),"",E1305-H1305)</f>
        <v/>
      </c>
      <c r="J1305" s="4"/>
    </row>
    <row r="1306">
      <c r="A1306" s="7"/>
      <c r="B1306" s="4"/>
      <c r="C1306" s="6"/>
      <c r="D1306" s="5" t="str">
        <f>IF(B1306="","",IFERROR(INDEX(Articles!$E:$E,MATCH(B1306,Articles!$B:$B,0)),""))</f>
        <v/>
      </c>
      <c r="E1306" s="9" t="str">
        <f>IF(OR(C1306="",D1306=""),"",C1306*D1306)</f>
        <v/>
      </c>
      <c r="F1306" s="4"/>
      <c r="G1306" s="4"/>
      <c r="H1306" s="9" t="str">
        <f>IF(OR(B1306="",C1306=""),"",C1306*IFERROR(INDEX(Articles!$D:$D,MATCH(B1306,Articles!$B:$B,0)),0))</f>
        <v/>
      </c>
      <c r="I1306" s="9" t="str">
        <f>IF(OR(E1306="",H1306=""),"",E1306-H1306)</f>
        <v/>
      </c>
      <c r="J1306" s="4"/>
    </row>
    <row r="1307">
      <c r="A1307" s="7"/>
      <c r="B1307" s="4"/>
      <c r="C1307" s="6"/>
      <c r="D1307" s="5" t="str">
        <f>IF(B1307="","",IFERROR(INDEX(Articles!$E:$E,MATCH(B1307,Articles!$B:$B,0)),""))</f>
        <v/>
      </c>
      <c r="E1307" s="9" t="str">
        <f>IF(OR(C1307="",D1307=""),"",C1307*D1307)</f>
        <v/>
      </c>
      <c r="F1307" s="4"/>
      <c r="G1307" s="4"/>
      <c r="H1307" s="9" t="str">
        <f>IF(OR(B1307="",C1307=""),"",C1307*IFERROR(INDEX(Articles!$D:$D,MATCH(B1307,Articles!$B:$B,0)),0))</f>
        <v/>
      </c>
      <c r="I1307" s="9" t="str">
        <f>IF(OR(E1307="",H1307=""),"",E1307-H1307)</f>
        <v/>
      </c>
      <c r="J1307" s="4"/>
    </row>
    <row r="1308">
      <c r="A1308" s="7"/>
      <c r="B1308" s="4"/>
      <c r="C1308" s="6"/>
      <c r="D1308" s="5" t="str">
        <f>IF(B1308="","",IFERROR(INDEX(Articles!$E:$E,MATCH(B1308,Articles!$B:$B,0)),""))</f>
        <v/>
      </c>
      <c r="E1308" s="9" t="str">
        <f>IF(OR(C1308="",D1308=""),"",C1308*D1308)</f>
        <v/>
      </c>
      <c r="F1308" s="4"/>
      <c r="G1308" s="4"/>
      <c r="H1308" s="9" t="str">
        <f>IF(OR(B1308="",C1308=""),"",C1308*IFERROR(INDEX(Articles!$D:$D,MATCH(B1308,Articles!$B:$B,0)),0))</f>
        <v/>
      </c>
      <c r="I1308" s="9" t="str">
        <f>IF(OR(E1308="",H1308=""),"",E1308-H1308)</f>
        <v/>
      </c>
      <c r="J1308" s="4"/>
    </row>
    <row r="1309">
      <c r="A1309" s="7"/>
      <c r="B1309" s="4"/>
      <c r="C1309" s="6"/>
      <c r="D1309" s="5" t="str">
        <f>IF(B1309="","",IFERROR(INDEX(Articles!$E:$E,MATCH(B1309,Articles!$B:$B,0)),""))</f>
        <v/>
      </c>
      <c r="E1309" s="9" t="str">
        <f>IF(OR(C1309="",D1309=""),"",C1309*D1309)</f>
        <v/>
      </c>
      <c r="F1309" s="4"/>
      <c r="G1309" s="4"/>
      <c r="H1309" s="9" t="str">
        <f>IF(OR(B1309="",C1309=""),"",C1309*IFERROR(INDEX(Articles!$D:$D,MATCH(B1309,Articles!$B:$B,0)),0))</f>
        <v/>
      </c>
      <c r="I1309" s="9" t="str">
        <f>IF(OR(E1309="",H1309=""),"",E1309-H1309)</f>
        <v/>
      </c>
      <c r="J1309" s="4"/>
    </row>
    <row r="1310">
      <c r="A1310" s="7"/>
      <c r="B1310" s="4"/>
      <c r="C1310" s="6"/>
      <c r="D1310" s="5" t="str">
        <f>IF(B1310="","",IFERROR(INDEX(Articles!$E:$E,MATCH(B1310,Articles!$B:$B,0)),""))</f>
        <v/>
      </c>
      <c r="E1310" s="9" t="str">
        <f>IF(OR(C1310="",D1310=""),"",C1310*D1310)</f>
        <v/>
      </c>
      <c r="F1310" s="4"/>
      <c r="G1310" s="4"/>
      <c r="H1310" s="9" t="str">
        <f>IF(OR(B1310="",C1310=""),"",C1310*IFERROR(INDEX(Articles!$D:$D,MATCH(B1310,Articles!$B:$B,0)),0))</f>
        <v/>
      </c>
      <c r="I1310" s="9" t="str">
        <f>IF(OR(E1310="",H1310=""),"",E1310-H1310)</f>
        <v/>
      </c>
      <c r="J1310" s="4"/>
    </row>
    <row r="1311">
      <c r="A1311" s="7"/>
      <c r="B1311" s="4"/>
      <c r="C1311" s="6"/>
      <c r="D1311" s="5" t="str">
        <f>IF(B1311="","",IFERROR(INDEX(Articles!$E:$E,MATCH(B1311,Articles!$B:$B,0)),""))</f>
        <v/>
      </c>
      <c r="E1311" s="9" t="str">
        <f>IF(OR(C1311="",D1311=""),"",C1311*D1311)</f>
        <v/>
      </c>
      <c r="F1311" s="4"/>
      <c r="G1311" s="4"/>
      <c r="H1311" s="9" t="str">
        <f>IF(OR(B1311="",C1311=""),"",C1311*IFERROR(INDEX(Articles!$D:$D,MATCH(B1311,Articles!$B:$B,0)),0))</f>
        <v/>
      </c>
      <c r="I1311" s="9" t="str">
        <f>IF(OR(E1311="",H1311=""),"",E1311-H1311)</f>
        <v/>
      </c>
      <c r="J1311" s="4"/>
    </row>
    <row r="1312">
      <c r="A1312" s="7"/>
      <c r="B1312" s="4"/>
      <c r="C1312" s="6"/>
      <c r="D1312" s="5" t="str">
        <f>IF(B1312="","",IFERROR(INDEX(Articles!$E:$E,MATCH(B1312,Articles!$B:$B,0)),""))</f>
        <v/>
      </c>
      <c r="E1312" s="9" t="str">
        <f>IF(OR(C1312="",D1312=""),"",C1312*D1312)</f>
        <v/>
      </c>
      <c r="F1312" s="4"/>
      <c r="G1312" s="4"/>
      <c r="H1312" s="9" t="str">
        <f>IF(OR(B1312="",C1312=""),"",C1312*IFERROR(INDEX(Articles!$D:$D,MATCH(B1312,Articles!$B:$B,0)),0))</f>
        <v/>
      </c>
      <c r="I1312" s="9" t="str">
        <f>IF(OR(E1312="",H1312=""),"",E1312-H1312)</f>
        <v/>
      </c>
      <c r="J1312" s="4"/>
    </row>
    <row r="1313">
      <c r="A1313" s="7"/>
      <c r="B1313" s="4"/>
      <c r="C1313" s="6"/>
      <c r="D1313" s="5" t="str">
        <f>IF(B1313="","",IFERROR(INDEX(Articles!$E:$E,MATCH(B1313,Articles!$B:$B,0)),""))</f>
        <v/>
      </c>
      <c r="E1313" s="9" t="str">
        <f>IF(OR(C1313="",D1313=""),"",C1313*D1313)</f>
        <v/>
      </c>
      <c r="F1313" s="4"/>
      <c r="G1313" s="4"/>
      <c r="H1313" s="9" t="str">
        <f>IF(OR(B1313="",C1313=""),"",C1313*IFERROR(INDEX(Articles!$D:$D,MATCH(B1313,Articles!$B:$B,0)),0))</f>
        <v/>
      </c>
      <c r="I1313" s="9" t="str">
        <f>IF(OR(E1313="",H1313=""),"",E1313-H1313)</f>
        <v/>
      </c>
      <c r="J1313" s="4"/>
    </row>
    <row r="1314">
      <c r="A1314" s="7"/>
      <c r="B1314" s="4"/>
      <c r="C1314" s="6"/>
      <c r="D1314" s="5" t="str">
        <f>IF(B1314="","",IFERROR(INDEX(Articles!$E:$E,MATCH(B1314,Articles!$B:$B,0)),""))</f>
        <v/>
      </c>
      <c r="E1314" s="9" t="str">
        <f>IF(OR(C1314="",D1314=""),"",C1314*D1314)</f>
        <v/>
      </c>
      <c r="F1314" s="4"/>
      <c r="G1314" s="4"/>
      <c r="H1314" s="9" t="str">
        <f>IF(OR(B1314="",C1314=""),"",C1314*IFERROR(INDEX(Articles!$D:$D,MATCH(B1314,Articles!$B:$B,0)),0))</f>
        <v/>
      </c>
      <c r="I1314" s="9" t="str">
        <f>IF(OR(E1314="",H1314=""),"",E1314-H1314)</f>
        <v/>
      </c>
      <c r="J1314" s="4"/>
    </row>
    <row r="1315">
      <c r="A1315" s="7"/>
      <c r="B1315" s="4"/>
      <c r="C1315" s="6"/>
      <c r="D1315" s="5" t="str">
        <f>IF(B1315="","",IFERROR(INDEX(Articles!$E:$E,MATCH(B1315,Articles!$B:$B,0)),""))</f>
        <v/>
      </c>
      <c r="E1315" s="9" t="str">
        <f>IF(OR(C1315="",D1315=""),"",C1315*D1315)</f>
        <v/>
      </c>
      <c r="F1315" s="4"/>
      <c r="G1315" s="4"/>
      <c r="H1315" s="9" t="str">
        <f>IF(OR(B1315="",C1315=""),"",C1315*IFERROR(INDEX(Articles!$D:$D,MATCH(B1315,Articles!$B:$B,0)),0))</f>
        <v/>
      </c>
      <c r="I1315" s="9" t="str">
        <f>IF(OR(E1315="",H1315=""),"",E1315-H1315)</f>
        <v/>
      </c>
      <c r="J1315" s="4"/>
    </row>
    <row r="1316">
      <c r="A1316" s="7"/>
      <c r="B1316" s="4"/>
      <c r="C1316" s="6"/>
      <c r="D1316" s="5" t="str">
        <f>IF(B1316="","",IFERROR(INDEX(Articles!$E:$E,MATCH(B1316,Articles!$B:$B,0)),""))</f>
        <v/>
      </c>
      <c r="E1316" s="9" t="str">
        <f>IF(OR(C1316="",D1316=""),"",C1316*D1316)</f>
        <v/>
      </c>
      <c r="F1316" s="4"/>
      <c r="G1316" s="4"/>
      <c r="H1316" s="9" t="str">
        <f>IF(OR(B1316="",C1316=""),"",C1316*IFERROR(INDEX(Articles!$D:$D,MATCH(B1316,Articles!$B:$B,0)),0))</f>
        <v/>
      </c>
      <c r="I1316" s="9" t="str">
        <f>IF(OR(E1316="",H1316=""),"",E1316-H1316)</f>
        <v/>
      </c>
      <c r="J1316" s="4"/>
    </row>
    <row r="1317">
      <c r="A1317" s="7"/>
      <c r="B1317" s="4"/>
      <c r="C1317" s="6"/>
      <c r="D1317" s="5" t="str">
        <f>IF(B1317="","",IFERROR(INDEX(Articles!$E:$E,MATCH(B1317,Articles!$B:$B,0)),""))</f>
        <v/>
      </c>
      <c r="E1317" s="9" t="str">
        <f>IF(OR(C1317="",D1317=""),"",C1317*D1317)</f>
        <v/>
      </c>
      <c r="F1317" s="4"/>
      <c r="G1317" s="4"/>
      <c r="H1317" s="9" t="str">
        <f>IF(OR(B1317="",C1317=""),"",C1317*IFERROR(INDEX(Articles!$D:$D,MATCH(B1317,Articles!$B:$B,0)),0))</f>
        <v/>
      </c>
      <c r="I1317" s="9" t="str">
        <f>IF(OR(E1317="",H1317=""),"",E1317-H1317)</f>
        <v/>
      </c>
      <c r="J1317" s="4"/>
    </row>
    <row r="1318">
      <c r="A1318" s="7"/>
      <c r="B1318" s="4"/>
      <c r="C1318" s="6"/>
      <c r="D1318" s="5" t="str">
        <f>IF(B1318="","",IFERROR(INDEX(Articles!$E:$E,MATCH(B1318,Articles!$B:$B,0)),""))</f>
        <v/>
      </c>
      <c r="E1318" s="9" t="str">
        <f>IF(OR(C1318="",D1318=""),"",C1318*D1318)</f>
        <v/>
      </c>
      <c r="F1318" s="4"/>
      <c r="G1318" s="4"/>
      <c r="H1318" s="9" t="str">
        <f>IF(OR(B1318="",C1318=""),"",C1318*IFERROR(INDEX(Articles!$D:$D,MATCH(B1318,Articles!$B:$B,0)),0))</f>
        <v/>
      </c>
      <c r="I1318" s="9" t="str">
        <f>IF(OR(E1318="",H1318=""),"",E1318-H1318)</f>
        <v/>
      </c>
      <c r="J1318" s="4"/>
    </row>
    <row r="1319">
      <c r="A1319" s="7"/>
      <c r="B1319" s="4"/>
      <c r="C1319" s="6"/>
      <c r="D1319" s="5" t="str">
        <f>IF(B1319="","",IFERROR(INDEX(Articles!$E:$E,MATCH(B1319,Articles!$B:$B,0)),""))</f>
        <v/>
      </c>
      <c r="E1319" s="9" t="str">
        <f>IF(OR(C1319="",D1319=""),"",C1319*D1319)</f>
        <v/>
      </c>
      <c r="F1319" s="4"/>
      <c r="G1319" s="4"/>
      <c r="H1319" s="9" t="str">
        <f>IF(OR(B1319="",C1319=""),"",C1319*IFERROR(INDEX(Articles!$D:$D,MATCH(B1319,Articles!$B:$B,0)),0))</f>
        <v/>
      </c>
      <c r="I1319" s="9" t="str">
        <f>IF(OR(E1319="",H1319=""),"",E1319-H1319)</f>
        <v/>
      </c>
      <c r="J1319" s="4"/>
    </row>
    <row r="1320">
      <c r="A1320" s="7"/>
      <c r="B1320" s="4"/>
      <c r="C1320" s="6"/>
      <c r="D1320" s="5" t="str">
        <f>IF(B1320="","",IFERROR(INDEX(Articles!$E:$E,MATCH(B1320,Articles!$B:$B,0)),""))</f>
        <v/>
      </c>
      <c r="E1320" s="9" t="str">
        <f>IF(OR(C1320="",D1320=""),"",C1320*D1320)</f>
        <v/>
      </c>
      <c r="F1320" s="4"/>
      <c r="G1320" s="4"/>
      <c r="H1320" s="9" t="str">
        <f>IF(OR(B1320="",C1320=""),"",C1320*IFERROR(INDEX(Articles!$D:$D,MATCH(B1320,Articles!$B:$B,0)),0))</f>
        <v/>
      </c>
      <c r="I1320" s="9" t="str">
        <f>IF(OR(E1320="",H1320=""),"",E1320-H1320)</f>
        <v/>
      </c>
      <c r="J1320" s="4"/>
    </row>
    <row r="1321">
      <c r="A1321" s="7"/>
      <c r="B1321" s="4"/>
      <c r="C1321" s="6"/>
      <c r="D1321" s="5" t="str">
        <f>IF(B1321="","",IFERROR(INDEX(Articles!$E:$E,MATCH(B1321,Articles!$B:$B,0)),""))</f>
        <v/>
      </c>
      <c r="E1321" s="9" t="str">
        <f>IF(OR(C1321="",D1321=""),"",C1321*D1321)</f>
        <v/>
      </c>
      <c r="F1321" s="4"/>
      <c r="G1321" s="4"/>
      <c r="H1321" s="9" t="str">
        <f>IF(OR(B1321="",C1321=""),"",C1321*IFERROR(INDEX(Articles!$D:$D,MATCH(B1321,Articles!$B:$B,0)),0))</f>
        <v/>
      </c>
      <c r="I1321" s="9" t="str">
        <f>IF(OR(E1321="",H1321=""),"",E1321-H1321)</f>
        <v/>
      </c>
      <c r="J1321" s="4"/>
    </row>
    <row r="1322">
      <c r="A1322" s="7"/>
      <c r="B1322" s="4"/>
      <c r="C1322" s="6"/>
      <c r="D1322" s="5" t="str">
        <f>IF(B1322="","",IFERROR(INDEX(Articles!$E:$E,MATCH(B1322,Articles!$B:$B,0)),""))</f>
        <v/>
      </c>
      <c r="E1322" s="9" t="str">
        <f>IF(OR(C1322="",D1322=""),"",C1322*D1322)</f>
        <v/>
      </c>
      <c r="F1322" s="4"/>
      <c r="G1322" s="4"/>
      <c r="H1322" s="9" t="str">
        <f>IF(OR(B1322="",C1322=""),"",C1322*IFERROR(INDEX(Articles!$D:$D,MATCH(B1322,Articles!$B:$B,0)),0))</f>
        <v/>
      </c>
      <c r="I1322" s="9" t="str">
        <f>IF(OR(E1322="",H1322=""),"",E1322-H1322)</f>
        <v/>
      </c>
      <c r="J1322" s="4"/>
    </row>
    <row r="1323">
      <c r="A1323" s="7"/>
      <c r="B1323" s="4"/>
      <c r="C1323" s="6"/>
      <c r="D1323" s="5" t="str">
        <f>IF(B1323="","",IFERROR(INDEX(Articles!$E:$E,MATCH(B1323,Articles!$B:$B,0)),""))</f>
        <v/>
      </c>
      <c r="E1323" s="9" t="str">
        <f>IF(OR(C1323="",D1323=""),"",C1323*D1323)</f>
        <v/>
      </c>
      <c r="F1323" s="4"/>
      <c r="G1323" s="4"/>
      <c r="H1323" s="9" t="str">
        <f>IF(OR(B1323="",C1323=""),"",C1323*IFERROR(INDEX(Articles!$D:$D,MATCH(B1323,Articles!$B:$B,0)),0))</f>
        <v/>
      </c>
      <c r="I1323" s="9" t="str">
        <f>IF(OR(E1323="",H1323=""),"",E1323-H1323)</f>
        <v/>
      </c>
      <c r="J1323" s="4"/>
    </row>
    <row r="1324">
      <c r="A1324" s="7"/>
      <c r="B1324" s="4"/>
      <c r="C1324" s="6"/>
      <c r="D1324" s="5" t="str">
        <f>IF(B1324="","",IFERROR(INDEX(Articles!$E:$E,MATCH(B1324,Articles!$B:$B,0)),""))</f>
        <v/>
      </c>
      <c r="E1324" s="9" t="str">
        <f>IF(OR(C1324="",D1324=""),"",C1324*D1324)</f>
        <v/>
      </c>
      <c r="F1324" s="4"/>
      <c r="G1324" s="4"/>
      <c r="H1324" s="9" t="str">
        <f>IF(OR(B1324="",C1324=""),"",C1324*IFERROR(INDEX(Articles!$D:$D,MATCH(B1324,Articles!$B:$B,0)),0))</f>
        <v/>
      </c>
      <c r="I1324" s="9" t="str">
        <f>IF(OR(E1324="",H1324=""),"",E1324-H1324)</f>
        <v/>
      </c>
      <c r="J1324" s="4"/>
    </row>
    <row r="1325">
      <c r="A1325" s="7"/>
      <c r="B1325" s="4"/>
      <c r="C1325" s="6"/>
      <c r="D1325" s="5" t="str">
        <f>IF(B1325="","",IFERROR(INDEX(Articles!$E:$E,MATCH(B1325,Articles!$B:$B,0)),""))</f>
        <v/>
      </c>
      <c r="E1325" s="9" t="str">
        <f>IF(OR(C1325="",D1325=""),"",C1325*D1325)</f>
        <v/>
      </c>
      <c r="F1325" s="4"/>
      <c r="G1325" s="4"/>
      <c r="H1325" s="9" t="str">
        <f>IF(OR(B1325="",C1325=""),"",C1325*IFERROR(INDEX(Articles!$D:$D,MATCH(B1325,Articles!$B:$B,0)),0))</f>
        <v/>
      </c>
      <c r="I1325" s="9" t="str">
        <f>IF(OR(E1325="",H1325=""),"",E1325-H1325)</f>
        <v/>
      </c>
      <c r="J1325" s="4"/>
    </row>
    <row r="1326">
      <c r="A1326" s="7"/>
      <c r="B1326" s="4"/>
      <c r="C1326" s="6"/>
      <c r="D1326" s="5" t="str">
        <f>IF(B1326="","",IFERROR(INDEX(Articles!$E:$E,MATCH(B1326,Articles!$B:$B,0)),""))</f>
        <v/>
      </c>
      <c r="E1326" s="9" t="str">
        <f>IF(OR(C1326="",D1326=""),"",C1326*D1326)</f>
        <v/>
      </c>
      <c r="F1326" s="4"/>
      <c r="G1326" s="4"/>
      <c r="H1326" s="9" t="str">
        <f>IF(OR(B1326="",C1326=""),"",C1326*IFERROR(INDEX(Articles!$D:$D,MATCH(B1326,Articles!$B:$B,0)),0))</f>
        <v/>
      </c>
      <c r="I1326" s="9" t="str">
        <f>IF(OR(E1326="",H1326=""),"",E1326-H1326)</f>
        <v/>
      </c>
      <c r="J1326" s="4"/>
    </row>
    <row r="1327">
      <c r="A1327" s="7"/>
      <c r="B1327" s="4"/>
      <c r="C1327" s="6"/>
      <c r="D1327" s="5" t="str">
        <f>IF(B1327="","",IFERROR(INDEX(Articles!$E:$E,MATCH(B1327,Articles!$B:$B,0)),""))</f>
        <v/>
      </c>
      <c r="E1327" s="9" t="str">
        <f>IF(OR(C1327="",D1327=""),"",C1327*D1327)</f>
        <v/>
      </c>
      <c r="F1327" s="4"/>
      <c r="G1327" s="4"/>
      <c r="H1327" s="9" t="str">
        <f>IF(OR(B1327="",C1327=""),"",C1327*IFERROR(INDEX(Articles!$D:$D,MATCH(B1327,Articles!$B:$B,0)),0))</f>
        <v/>
      </c>
      <c r="I1327" s="9" t="str">
        <f>IF(OR(E1327="",H1327=""),"",E1327-H1327)</f>
        <v/>
      </c>
      <c r="J1327" s="4"/>
    </row>
    <row r="1328">
      <c r="A1328" s="7"/>
      <c r="B1328" s="4"/>
      <c r="C1328" s="6"/>
      <c r="D1328" s="5" t="str">
        <f>IF(B1328="","",IFERROR(INDEX(Articles!$E:$E,MATCH(B1328,Articles!$B:$B,0)),""))</f>
        <v/>
      </c>
      <c r="E1328" s="9" t="str">
        <f>IF(OR(C1328="",D1328=""),"",C1328*D1328)</f>
        <v/>
      </c>
      <c r="F1328" s="4"/>
      <c r="G1328" s="4"/>
      <c r="H1328" s="9" t="str">
        <f>IF(OR(B1328="",C1328=""),"",C1328*IFERROR(INDEX(Articles!$D:$D,MATCH(B1328,Articles!$B:$B,0)),0))</f>
        <v/>
      </c>
      <c r="I1328" s="9" t="str">
        <f>IF(OR(E1328="",H1328=""),"",E1328-H1328)</f>
        <v/>
      </c>
      <c r="J1328" s="4"/>
    </row>
    <row r="1329">
      <c r="A1329" s="7"/>
      <c r="B1329" s="4"/>
      <c r="C1329" s="6"/>
      <c r="D1329" s="5" t="str">
        <f>IF(B1329="","",IFERROR(INDEX(Articles!$E:$E,MATCH(B1329,Articles!$B:$B,0)),""))</f>
        <v/>
      </c>
      <c r="E1329" s="9" t="str">
        <f>IF(OR(C1329="",D1329=""),"",C1329*D1329)</f>
        <v/>
      </c>
      <c r="F1329" s="4"/>
      <c r="G1329" s="4"/>
      <c r="H1329" s="9" t="str">
        <f>IF(OR(B1329="",C1329=""),"",C1329*IFERROR(INDEX(Articles!$D:$D,MATCH(B1329,Articles!$B:$B,0)),0))</f>
        <v/>
      </c>
      <c r="I1329" s="9" t="str">
        <f>IF(OR(E1329="",H1329=""),"",E1329-H1329)</f>
        <v/>
      </c>
      <c r="J1329" s="4"/>
    </row>
    <row r="1330">
      <c r="A1330" s="7"/>
      <c r="B1330" s="4"/>
      <c r="C1330" s="6"/>
      <c r="D1330" s="5" t="str">
        <f>IF(B1330="","",IFERROR(INDEX(Articles!$E:$E,MATCH(B1330,Articles!$B:$B,0)),""))</f>
        <v/>
      </c>
      <c r="E1330" s="9" t="str">
        <f>IF(OR(C1330="",D1330=""),"",C1330*D1330)</f>
        <v/>
      </c>
      <c r="F1330" s="4"/>
      <c r="G1330" s="4"/>
      <c r="H1330" s="9" t="str">
        <f>IF(OR(B1330="",C1330=""),"",C1330*IFERROR(INDEX(Articles!$D:$D,MATCH(B1330,Articles!$B:$B,0)),0))</f>
        <v/>
      </c>
      <c r="I1330" s="9" t="str">
        <f>IF(OR(E1330="",H1330=""),"",E1330-H1330)</f>
        <v/>
      </c>
      <c r="J1330" s="4"/>
    </row>
    <row r="1331">
      <c r="A1331" s="7"/>
      <c r="B1331" s="4"/>
      <c r="C1331" s="6"/>
      <c r="D1331" s="5" t="str">
        <f>IF(B1331="","",IFERROR(INDEX(Articles!$E:$E,MATCH(B1331,Articles!$B:$B,0)),""))</f>
        <v/>
      </c>
      <c r="E1331" s="9" t="str">
        <f>IF(OR(C1331="",D1331=""),"",C1331*D1331)</f>
        <v/>
      </c>
      <c r="F1331" s="4"/>
      <c r="G1331" s="4"/>
      <c r="H1331" s="9" t="str">
        <f>IF(OR(B1331="",C1331=""),"",C1331*IFERROR(INDEX(Articles!$D:$D,MATCH(B1331,Articles!$B:$B,0)),0))</f>
        <v/>
      </c>
      <c r="I1331" s="9" t="str">
        <f>IF(OR(E1331="",H1331=""),"",E1331-H1331)</f>
        <v/>
      </c>
      <c r="J1331" s="4"/>
    </row>
    <row r="1332">
      <c r="A1332" s="7"/>
      <c r="B1332" s="4"/>
      <c r="C1332" s="6"/>
      <c r="D1332" s="5" t="str">
        <f>IF(B1332="","",IFERROR(INDEX(Articles!$E:$E,MATCH(B1332,Articles!$B:$B,0)),""))</f>
        <v/>
      </c>
      <c r="E1332" s="9" t="str">
        <f>IF(OR(C1332="",D1332=""),"",C1332*D1332)</f>
        <v/>
      </c>
      <c r="F1332" s="4"/>
      <c r="G1332" s="4"/>
      <c r="H1332" s="9" t="str">
        <f>IF(OR(B1332="",C1332=""),"",C1332*IFERROR(INDEX(Articles!$D:$D,MATCH(B1332,Articles!$B:$B,0)),0))</f>
        <v/>
      </c>
      <c r="I1332" s="9" t="str">
        <f>IF(OR(E1332="",H1332=""),"",E1332-H1332)</f>
        <v/>
      </c>
      <c r="J1332" s="4"/>
    </row>
    <row r="1333">
      <c r="A1333" s="7"/>
      <c r="B1333" s="4"/>
      <c r="C1333" s="6"/>
      <c r="D1333" s="5" t="str">
        <f>IF(B1333="","",IFERROR(INDEX(Articles!$E:$E,MATCH(B1333,Articles!$B:$B,0)),""))</f>
        <v/>
      </c>
      <c r="E1333" s="9" t="str">
        <f>IF(OR(C1333="",D1333=""),"",C1333*D1333)</f>
        <v/>
      </c>
      <c r="F1333" s="4"/>
      <c r="G1333" s="4"/>
      <c r="H1333" s="9" t="str">
        <f>IF(OR(B1333="",C1333=""),"",C1333*IFERROR(INDEX(Articles!$D:$D,MATCH(B1333,Articles!$B:$B,0)),0))</f>
        <v/>
      </c>
      <c r="I1333" s="9" t="str">
        <f>IF(OR(E1333="",H1333=""),"",E1333-H1333)</f>
        <v/>
      </c>
      <c r="J1333" s="4"/>
    </row>
    <row r="1334">
      <c r="A1334" s="7"/>
      <c r="B1334" s="4"/>
      <c r="C1334" s="6"/>
      <c r="D1334" s="5" t="str">
        <f>IF(B1334="","",IFERROR(INDEX(Articles!$E:$E,MATCH(B1334,Articles!$B:$B,0)),""))</f>
        <v/>
      </c>
      <c r="E1334" s="9" t="str">
        <f>IF(OR(C1334="",D1334=""),"",C1334*D1334)</f>
        <v/>
      </c>
      <c r="F1334" s="4"/>
      <c r="G1334" s="4"/>
      <c r="H1334" s="9" t="str">
        <f>IF(OR(B1334="",C1334=""),"",C1334*IFERROR(INDEX(Articles!$D:$D,MATCH(B1334,Articles!$B:$B,0)),0))</f>
        <v/>
      </c>
      <c r="I1334" s="9" t="str">
        <f>IF(OR(E1334="",H1334=""),"",E1334-H1334)</f>
        <v/>
      </c>
      <c r="J1334" s="4"/>
    </row>
    <row r="1335">
      <c r="A1335" s="7"/>
      <c r="B1335" s="4"/>
      <c r="C1335" s="6"/>
      <c r="D1335" s="5" t="str">
        <f>IF(B1335="","",IFERROR(INDEX(Articles!$E:$E,MATCH(B1335,Articles!$B:$B,0)),""))</f>
        <v/>
      </c>
      <c r="E1335" s="9" t="str">
        <f>IF(OR(C1335="",D1335=""),"",C1335*D1335)</f>
        <v/>
      </c>
      <c r="F1335" s="4"/>
      <c r="G1335" s="4"/>
      <c r="H1335" s="9" t="str">
        <f>IF(OR(B1335="",C1335=""),"",C1335*IFERROR(INDEX(Articles!$D:$D,MATCH(B1335,Articles!$B:$B,0)),0))</f>
        <v/>
      </c>
      <c r="I1335" s="9" t="str">
        <f>IF(OR(E1335="",H1335=""),"",E1335-H1335)</f>
        <v/>
      </c>
      <c r="J1335" s="4"/>
    </row>
    <row r="1336">
      <c r="A1336" s="7"/>
      <c r="B1336" s="4"/>
      <c r="C1336" s="6"/>
      <c r="D1336" s="5" t="str">
        <f>IF(B1336="","",IFERROR(INDEX(Articles!$E:$E,MATCH(B1336,Articles!$B:$B,0)),""))</f>
        <v/>
      </c>
      <c r="E1336" s="9" t="str">
        <f>IF(OR(C1336="",D1336=""),"",C1336*D1336)</f>
        <v/>
      </c>
      <c r="F1336" s="4"/>
      <c r="G1336" s="4"/>
      <c r="H1336" s="9" t="str">
        <f>IF(OR(B1336="",C1336=""),"",C1336*IFERROR(INDEX(Articles!$D:$D,MATCH(B1336,Articles!$B:$B,0)),0))</f>
        <v/>
      </c>
      <c r="I1336" s="9" t="str">
        <f>IF(OR(E1336="",H1336=""),"",E1336-H1336)</f>
        <v/>
      </c>
      <c r="J1336" s="4"/>
    </row>
    <row r="1337">
      <c r="A1337" s="7"/>
      <c r="B1337" s="4"/>
      <c r="C1337" s="6"/>
      <c r="D1337" s="5" t="str">
        <f>IF(B1337="","",IFERROR(INDEX(Articles!$E:$E,MATCH(B1337,Articles!$B:$B,0)),""))</f>
        <v/>
      </c>
      <c r="E1337" s="9" t="str">
        <f>IF(OR(C1337="",D1337=""),"",C1337*D1337)</f>
        <v/>
      </c>
      <c r="F1337" s="4"/>
      <c r="G1337" s="4"/>
      <c r="H1337" s="9" t="str">
        <f>IF(OR(B1337="",C1337=""),"",C1337*IFERROR(INDEX(Articles!$D:$D,MATCH(B1337,Articles!$B:$B,0)),0))</f>
        <v/>
      </c>
      <c r="I1337" s="9" t="str">
        <f>IF(OR(E1337="",H1337=""),"",E1337-H1337)</f>
        <v/>
      </c>
      <c r="J1337" s="4"/>
    </row>
    <row r="1338">
      <c r="A1338" s="7"/>
      <c r="B1338" s="4"/>
      <c r="C1338" s="6"/>
      <c r="D1338" s="5" t="str">
        <f>IF(B1338="","",IFERROR(INDEX(Articles!$E:$E,MATCH(B1338,Articles!$B:$B,0)),""))</f>
        <v/>
      </c>
      <c r="E1338" s="9" t="str">
        <f>IF(OR(C1338="",D1338=""),"",C1338*D1338)</f>
        <v/>
      </c>
      <c r="F1338" s="4"/>
      <c r="G1338" s="4"/>
      <c r="H1338" s="9" t="str">
        <f>IF(OR(B1338="",C1338=""),"",C1338*IFERROR(INDEX(Articles!$D:$D,MATCH(B1338,Articles!$B:$B,0)),0))</f>
        <v/>
      </c>
      <c r="I1338" s="9" t="str">
        <f>IF(OR(E1338="",H1338=""),"",E1338-H1338)</f>
        <v/>
      </c>
      <c r="J1338" s="4"/>
    </row>
    <row r="1339">
      <c r="A1339" s="7"/>
      <c r="B1339" s="4"/>
      <c r="C1339" s="6"/>
      <c r="D1339" s="5" t="str">
        <f>IF(B1339="","",IFERROR(INDEX(Articles!$E:$E,MATCH(B1339,Articles!$B:$B,0)),""))</f>
        <v/>
      </c>
      <c r="E1339" s="9" t="str">
        <f>IF(OR(C1339="",D1339=""),"",C1339*D1339)</f>
        <v/>
      </c>
      <c r="F1339" s="4"/>
      <c r="G1339" s="4"/>
      <c r="H1339" s="9" t="str">
        <f>IF(OR(B1339="",C1339=""),"",C1339*IFERROR(INDEX(Articles!$D:$D,MATCH(B1339,Articles!$B:$B,0)),0))</f>
        <v/>
      </c>
      <c r="I1339" s="9" t="str">
        <f>IF(OR(E1339="",H1339=""),"",E1339-H1339)</f>
        <v/>
      </c>
      <c r="J1339" s="4"/>
    </row>
    <row r="1340">
      <c r="A1340" s="7"/>
      <c r="B1340" s="4"/>
      <c r="C1340" s="6"/>
      <c r="D1340" s="5" t="str">
        <f>IF(B1340="","",IFERROR(INDEX(Articles!$E:$E,MATCH(B1340,Articles!$B:$B,0)),""))</f>
        <v/>
      </c>
      <c r="E1340" s="9" t="str">
        <f>IF(OR(C1340="",D1340=""),"",C1340*D1340)</f>
        <v/>
      </c>
      <c r="F1340" s="4"/>
      <c r="G1340" s="4"/>
      <c r="H1340" s="9" t="str">
        <f>IF(OR(B1340="",C1340=""),"",C1340*IFERROR(INDEX(Articles!$D:$D,MATCH(B1340,Articles!$B:$B,0)),0))</f>
        <v/>
      </c>
      <c r="I1340" s="9" t="str">
        <f>IF(OR(E1340="",H1340=""),"",E1340-H1340)</f>
        <v/>
      </c>
      <c r="J1340" s="4"/>
    </row>
    <row r="1341">
      <c r="A1341" s="7"/>
      <c r="B1341" s="4"/>
      <c r="C1341" s="6"/>
      <c r="D1341" s="5" t="str">
        <f>IF(B1341="","",IFERROR(INDEX(Articles!$E:$E,MATCH(B1341,Articles!$B:$B,0)),""))</f>
        <v/>
      </c>
      <c r="E1341" s="9" t="str">
        <f>IF(OR(C1341="",D1341=""),"",C1341*D1341)</f>
        <v/>
      </c>
      <c r="F1341" s="4"/>
      <c r="G1341" s="4"/>
      <c r="H1341" s="9" t="str">
        <f>IF(OR(B1341="",C1341=""),"",C1341*IFERROR(INDEX(Articles!$D:$D,MATCH(B1341,Articles!$B:$B,0)),0))</f>
        <v/>
      </c>
      <c r="I1341" s="9" t="str">
        <f>IF(OR(E1341="",H1341=""),"",E1341-H1341)</f>
        <v/>
      </c>
      <c r="J1341" s="4"/>
    </row>
    <row r="1342">
      <c r="A1342" s="7"/>
      <c r="B1342" s="4"/>
      <c r="C1342" s="6"/>
      <c r="D1342" s="5" t="str">
        <f>IF(B1342="","",IFERROR(INDEX(Articles!$E:$E,MATCH(B1342,Articles!$B:$B,0)),""))</f>
        <v/>
      </c>
      <c r="E1342" s="9" t="str">
        <f>IF(OR(C1342="",D1342=""),"",C1342*D1342)</f>
        <v/>
      </c>
      <c r="F1342" s="4"/>
      <c r="G1342" s="4"/>
      <c r="H1342" s="9" t="str">
        <f>IF(OR(B1342="",C1342=""),"",C1342*IFERROR(INDEX(Articles!$D:$D,MATCH(B1342,Articles!$B:$B,0)),0))</f>
        <v/>
      </c>
      <c r="I1342" s="9" t="str">
        <f>IF(OR(E1342="",H1342=""),"",E1342-H1342)</f>
        <v/>
      </c>
      <c r="J1342" s="4"/>
    </row>
    <row r="1343">
      <c r="A1343" s="7"/>
      <c r="B1343" s="4"/>
      <c r="C1343" s="6"/>
      <c r="D1343" s="5" t="str">
        <f>IF(B1343="","",IFERROR(INDEX(Articles!$E:$E,MATCH(B1343,Articles!$B:$B,0)),""))</f>
        <v/>
      </c>
      <c r="E1343" s="9" t="str">
        <f>IF(OR(C1343="",D1343=""),"",C1343*D1343)</f>
        <v/>
      </c>
      <c r="F1343" s="4"/>
      <c r="G1343" s="4"/>
      <c r="H1343" s="9" t="str">
        <f>IF(OR(B1343="",C1343=""),"",C1343*IFERROR(INDEX(Articles!$D:$D,MATCH(B1343,Articles!$B:$B,0)),0))</f>
        <v/>
      </c>
      <c r="I1343" s="9" t="str">
        <f>IF(OR(E1343="",H1343=""),"",E1343-H1343)</f>
        <v/>
      </c>
      <c r="J1343" s="4"/>
    </row>
    <row r="1344">
      <c r="A1344" s="7"/>
      <c r="B1344" s="4"/>
      <c r="C1344" s="6"/>
      <c r="D1344" s="5" t="str">
        <f>IF(B1344="","",IFERROR(INDEX(Articles!$E:$E,MATCH(B1344,Articles!$B:$B,0)),""))</f>
        <v/>
      </c>
      <c r="E1344" s="9" t="str">
        <f>IF(OR(C1344="",D1344=""),"",C1344*D1344)</f>
        <v/>
      </c>
      <c r="F1344" s="4"/>
      <c r="G1344" s="4"/>
      <c r="H1344" s="9" t="str">
        <f>IF(OR(B1344="",C1344=""),"",C1344*IFERROR(INDEX(Articles!$D:$D,MATCH(B1344,Articles!$B:$B,0)),0))</f>
        <v/>
      </c>
      <c r="I1344" s="9" t="str">
        <f>IF(OR(E1344="",H1344=""),"",E1344-H1344)</f>
        <v/>
      </c>
      <c r="J1344" s="4"/>
    </row>
    <row r="1345">
      <c r="A1345" s="7"/>
      <c r="B1345" s="4"/>
      <c r="C1345" s="6"/>
      <c r="D1345" s="5" t="str">
        <f>IF(B1345="","",IFERROR(INDEX(Articles!$E:$E,MATCH(B1345,Articles!$B:$B,0)),""))</f>
        <v/>
      </c>
      <c r="E1345" s="9" t="str">
        <f>IF(OR(C1345="",D1345=""),"",C1345*D1345)</f>
        <v/>
      </c>
      <c r="F1345" s="4"/>
      <c r="G1345" s="4"/>
      <c r="H1345" s="9" t="str">
        <f>IF(OR(B1345="",C1345=""),"",C1345*IFERROR(INDEX(Articles!$D:$D,MATCH(B1345,Articles!$B:$B,0)),0))</f>
        <v/>
      </c>
      <c r="I1345" s="9" t="str">
        <f>IF(OR(E1345="",H1345=""),"",E1345-H1345)</f>
        <v/>
      </c>
      <c r="J1345" s="4"/>
    </row>
    <row r="1346">
      <c r="A1346" s="7"/>
      <c r="B1346" s="4"/>
      <c r="C1346" s="6"/>
      <c r="D1346" s="5" t="str">
        <f>IF(B1346="","",IFERROR(INDEX(Articles!$E:$E,MATCH(B1346,Articles!$B:$B,0)),""))</f>
        <v/>
      </c>
      <c r="E1346" s="9" t="str">
        <f>IF(OR(C1346="",D1346=""),"",C1346*D1346)</f>
        <v/>
      </c>
      <c r="F1346" s="4"/>
      <c r="G1346" s="4"/>
      <c r="H1346" s="9" t="str">
        <f>IF(OR(B1346="",C1346=""),"",C1346*IFERROR(INDEX(Articles!$D:$D,MATCH(B1346,Articles!$B:$B,0)),0))</f>
        <v/>
      </c>
      <c r="I1346" s="9" t="str">
        <f>IF(OR(E1346="",H1346=""),"",E1346-H1346)</f>
        <v/>
      </c>
      <c r="J1346" s="4"/>
    </row>
    <row r="1347">
      <c r="A1347" s="7"/>
      <c r="B1347" s="4"/>
      <c r="C1347" s="6"/>
      <c r="D1347" s="5" t="str">
        <f>IF(B1347="","",IFERROR(INDEX(Articles!$E:$E,MATCH(B1347,Articles!$B:$B,0)),""))</f>
        <v/>
      </c>
      <c r="E1347" s="9" t="str">
        <f>IF(OR(C1347="",D1347=""),"",C1347*D1347)</f>
        <v/>
      </c>
      <c r="F1347" s="4"/>
      <c r="G1347" s="4"/>
      <c r="H1347" s="9" t="str">
        <f>IF(OR(B1347="",C1347=""),"",C1347*IFERROR(INDEX(Articles!$D:$D,MATCH(B1347,Articles!$B:$B,0)),0))</f>
        <v/>
      </c>
      <c r="I1347" s="9" t="str">
        <f>IF(OR(E1347="",H1347=""),"",E1347-H1347)</f>
        <v/>
      </c>
      <c r="J1347" s="4"/>
    </row>
    <row r="1348">
      <c r="A1348" s="7"/>
      <c r="B1348" s="4"/>
      <c r="C1348" s="6"/>
      <c r="D1348" s="5" t="str">
        <f>IF(B1348="","",IFERROR(INDEX(Articles!$E:$E,MATCH(B1348,Articles!$B:$B,0)),""))</f>
        <v/>
      </c>
      <c r="E1348" s="9" t="str">
        <f>IF(OR(C1348="",D1348=""),"",C1348*D1348)</f>
        <v/>
      </c>
      <c r="F1348" s="4"/>
      <c r="G1348" s="4"/>
      <c r="H1348" s="9" t="str">
        <f>IF(OR(B1348="",C1348=""),"",C1348*IFERROR(INDEX(Articles!$D:$D,MATCH(B1348,Articles!$B:$B,0)),0))</f>
        <v/>
      </c>
      <c r="I1348" s="9" t="str">
        <f>IF(OR(E1348="",H1348=""),"",E1348-H1348)</f>
        <v/>
      </c>
      <c r="J1348" s="4"/>
    </row>
    <row r="1349">
      <c r="A1349" s="7"/>
      <c r="B1349" s="4"/>
      <c r="C1349" s="6"/>
      <c r="D1349" s="5" t="str">
        <f>IF(B1349="","",IFERROR(INDEX(Articles!$E:$E,MATCH(B1349,Articles!$B:$B,0)),""))</f>
        <v/>
      </c>
      <c r="E1349" s="9" t="str">
        <f>IF(OR(C1349="",D1349=""),"",C1349*D1349)</f>
        <v/>
      </c>
      <c r="F1349" s="4"/>
      <c r="G1349" s="4"/>
      <c r="H1349" s="9" t="str">
        <f>IF(OR(B1349="",C1349=""),"",C1349*IFERROR(INDEX(Articles!$D:$D,MATCH(B1349,Articles!$B:$B,0)),0))</f>
        <v/>
      </c>
      <c r="I1349" s="9" t="str">
        <f>IF(OR(E1349="",H1349=""),"",E1349-H1349)</f>
        <v/>
      </c>
      <c r="J1349" s="4"/>
    </row>
    <row r="1350">
      <c r="A1350" s="7"/>
      <c r="B1350" s="4"/>
      <c r="C1350" s="6"/>
      <c r="D1350" s="5" t="str">
        <f>IF(B1350="","",IFERROR(INDEX(Articles!$E:$E,MATCH(B1350,Articles!$B:$B,0)),""))</f>
        <v/>
      </c>
      <c r="E1350" s="9" t="str">
        <f>IF(OR(C1350="",D1350=""),"",C1350*D1350)</f>
        <v/>
      </c>
      <c r="F1350" s="4"/>
      <c r="G1350" s="4"/>
      <c r="H1350" s="9" t="str">
        <f>IF(OR(B1350="",C1350=""),"",C1350*IFERROR(INDEX(Articles!$D:$D,MATCH(B1350,Articles!$B:$B,0)),0))</f>
        <v/>
      </c>
      <c r="I1350" s="9" t="str">
        <f>IF(OR(E1350="",H1350=""),"",E1350-H1350)</f>
        <v/>
      </c>
      <c r="J1350" s="4"/>
    </row>
    <row r="1351">
      <c r="A1351" s="7"/>
      <c r="B1351" s="4"/>
      <c r="C1351" s="6"/>
      <c r="D1351" s="5" t="str">
        <f>IF(B1351="","",IFERROR(INDEX(Articles!$E:$E,MATCH(B1351,Articles!$B:$B,0)),""))</f>
        <v/>
      </c>
      <c r="E1351" s="9" t="str">
        <f>IF(OR(C1351="",D1351=""),"",C1351*D1351)</f>
        <v/>
      </c>
      <c r="F1351" s="4"/>
      <c r="G1351" s="4"/>
      <c r="H1351" s="9" t="str">
        <f>IF(OR(B1351="",C1351=""),"",C1351*IFERROR(INDEX(Articles!$D:$D,MATCH(B1351,Articles!$B:$B,0)),0))</f>
        <v/>
      </c>
      <c r="I1351" s="9" t="str">
        <f>IF(OR(E1351="",H1351=""),"",E1351-H1351)</f>
        <v/>
      </c>
      <c r="J1351" s="4"/>
    </row>
    <row r="1352">
      <c r="A1352" s="7"/>
      <c r="B1352" s="4"/>
      <c r="C1352" s="6"/>
      <c r="D1352" s="5" t="str">
        <f>IF(B1352="","",IFERROR(INDEX(Articles!$E:$E,MATCH(B1352,Articles!$B:$B,0)),""))</f>
        <v/>
      </c>
      <c r="E1352" s="9" t="str">
        <f>IF(OR(C1352="",D1352=""),"",C1352*D1352)</f>
        <v/>
      </c>
      <c r="F1352" s="4"/>
      <c r="G1352" s="4"/>
      <c r="H1352" s="9" t="str">
        <f>IF(OR(B1352="",C1352=""),"",C1352*IFERROR(INDEX(Articles!$D:$D,MATCH(B1352,Articles!$B:$B,0)),0))</f>
        <v/>
      </c>
      <c r="I1352" s="9" t="str">
        <f>IF(OR(E1352="",H1352=""),"",E1352-H1352)</f>
        <v/>
      </c>
      <c r="J1352" s="4"/>
    </row>
    <row r="1353">
      <c r="A1353" s="7"/>
      <c r="B1353" s="4"/>
      <c r="C1353" s="6"/>
      <c r="D1353" s="5" t="str">
        <f>IF(B1353="","",IFERROR(INDEX(Articles!$E:$E,MATCH(B1353,Articles!$B:$B,0)),""))</f>
        <v/>
      </c>
      <c r="E1353" s="9" t="str">
        <f>IF(OR(C1353="",D1353=""),"",C1353*D1353)</f>
        <v/>
      </c>
      <c r="F1353" s="4"/>
      <c r="G1353" s="4"/>
      <c r="H1353" s="9" t="str">
        <f>IF(OR(B1353="",C1353=""),"",C1353*IFERROR(INDEX(Articles!$D:$D,MATCH(B1353,Articles!$B:$B,0)),0))</f>
        <v/>
      </c>
      <c r="I1353" s="9" t="str">
        <f>IF(OR(E1353="",H1353=""),"",E1353-H1353)</f>
        <v/>
      </c>
      <c r="J1353" s="4"/>
    </row>
    <row r="1354">
      <c r="A1354" s="7"/>
      <c r="B1354" s="4"/>
      <c r="C1354" s="6"/>
      <c r="D1354" s="5" t="str">
        <f>IF(B1354="","",IFERROR(INDEX(Articles!$E:$E,MATCH(B1354,Articles!$B:$B,0)),""))</f>
        <v/>
      </c>
      <c r="E1354" s="9" t="str">
        <f>IF(OR(C1354="",D1354=""),"",C1354*D1354)</f>
        <v/>
      </c>
      <c r="F1354" s="4"/>
      <c r="G1354" s="4"/>
      <c r="H1354" s="9" t="str">
        <f>IF(OR(B1354="",C1354=""),"",C1354*IFERROR(INDEX(Articles!$D:$D,MATCH(B1354,Articles!$B:$B,0)),0))</f>
        <v/>
      </c>
      <c r="I1354" s="9" t="str">
        <f>IF(OR(E1354="",H1354=""),"",E1354-H1354)</f>
        <v/>
      </c>
      <c r="J1354" s="4"/>
    </row>
    <row r="1355">
      <c r="A1355" s="7"/>
      <c r="B1355" s="4"/>
      <c r="C1355" s="6"/>
      <c r="D1355" s="5" t="str">
        <f>IF(B1355="","",IFERROR(INDEX(Articles!$E:$E,MATCH(B1355,Articles!$B:$B,0)),""))</f>
        <v/>
      </c>
      <c r="E1355" s="9" t="str">
        <f>IF(OR(C1355="",D1355=""),"",C1355*D1355)</f>
        <v/>
      </c>
      <c r="F1355" s="4"/>
      <c r="G1355" s="4"/>
      <c r="H1355" s="9" t="str">
        <f>IF(OR(B1355="",C1355=""),"",C1355*IFERROR(INDEX(Articles!$D:$D,MATCH(B1355,Articles!$B:$B,0)),0))</f>
        <v/>
      </c>
      <c r="I1355" s="9" t="str">
        <f>IF(OR(E1355="",H1355=""),"",E1355-H1355)</f>
        <v/>
      </c>
      <c r="J1355" s="4"/>
    </row>
    <row r="1356">
      <c r="A1356" s="7"/>
      <c r="B1356" s="4"/>
      <c r="C1356" s="6"/>
      <c r="D1356" s="5" t="str">
        <f>IF(B1356="","",IFERROR(INDEX(Articles!$E:$E,MATCH(B1356,Articles!$B:$B,0)),""))</f>
        <v/>
      </c>
      <c r="E1356" s="9" t="str">
        <f>IF(OR(C1356="",D1356=""),"",C1356*D1356)</f>
        <v/>
      </c>
      <c r="F1356" s="4"/>
      <c r="G1356" s="4"/>
      <c r="H1356" s="9" t="str">
        <f>IF(OR(B1356="",C1356=""),"",C1356*IFERROR(INDEX(Articles!$D:$D,MATCH(B1356,Articles!$B:$B,0)),0))</f>
        <v/>
      </c>
      <c r="I1356" s="9" t="str">
        <f>IF(OR(E1356="",H1356=""),"",E1356-H1356)</f>
        <v/>
      </c>
      <c r="J1356" s="4"/>
    </row>
    <row r="1357">
      <c r="A1357" s="7"/>
      <c r="B1357" s="4"/>
      <c r="C1357" s="6"/>
      <c r="D1357" s="5" t="str">
        <f>IF(B1357="","",IFERROR(INDEX(Articles!$E:$E,MATCH(B1357,Articles!$B:$B,0)),""))</f>
        <v/>
      </c>
      <c r="E1357" s="9" t="str">
        <f>IF(OR(C1357="",D1357=""),"",C1357*D1357)</f>
        <v/>
      </c>
      <c r="F1357" s="4"/>
      <c r="G1357" s="4"/>
      <c r="H1357" s="9" t="str">
        <f>IF(OR(B1357="",C1357=""),"",C1357*IFERROR(INDEX(Articles!$D:$D,MATCH(B1357,Articles!$B:$B,0)),0))</f>
        <v/>
      </c>
      <c r="I1357" s="9" t="str">
        <f>IF(OR(E1357="",H1357=""),"",E1357-H1357)</f>
        <v/>
      </c>
      <c r="J1357" s="4"/>
    </row>
    <row r="1358">
      <c r="A1358" s="7"/>
      <c r="B1358" s="4"/>
      <c r="C1358" s="6"/>
      <c r="D1358" s="5" t="str">
        <f>IF(B1358="","",IFERROR(INDEX(Articles!$E:$E,MATCH(B1358,Articles!$B:$B,0)),""))</f>
        <v/>
      </c>
      <c r="E1358" s="9" t="str">
        <f>IF(OR(C1358="",D1358=""),"",C1358*D1358)</f>
        <v/>
      </c>
      <c r="F1358" s="4"/>
      <c r="G1358" s="4"/>
      <c r="H1358" s="9" t="str">
        <f>IF(OR(B1358="",C1358=""),"",C1358*IFERROR(INDEX(Articles!$D:$D,MATCH(B1358,Articles!$B:$B,0)),0))</f>
        <v/>
      </c>
      <c r="I1358" s="9" t="str">
        <f>IF(OR(E1358="",H1358=""),"",E1358-H1358)</f>
        <v/>
      </c>
      <c r="J1358" s="4"/>
    </row>
    <row r="1359">
      <c r="A1359" s="7"/>
      <c r="B1359" s="4"/>
      <c r="C1359" s="6"/>
      <c r="D1359" s="5" t="str">
        <f>IF(B1359="","",IFERROR(INDEX(Articles!$E:$E,MATCH(B1359,Articles!$B:$B,0)),""))</f>
        <v/>
      </c>
      <c r="E1359" s="9" t="str">
        <f>IF(OR(C1359="",D1359=""),"",C1359*D1359)</f>
        <v/>
      </c>
      <c r="F1359" s="4"/>
      <c r="G1359" s="4"/>
      <c r="H1359" s="9" t="str">
        <f>IF(OR(B1359="",C1359=""),"",C1359*IFERROR(INDEX(Articles!$D:$D,MATCH(B1359,Articles!$B:$B,0)),0))</f>
        <v/>
      </c>
      <c r="I1359" s="9" t="str">
        <f>IF(OR(E1359="",H1359=""),"",E1359-H1359)</f>
        <v/>
      </c>
      <c r="J1359" s="4"/>
    </row>
    <row r="1360">
      <c r="A1360" s="7"/>
      <c r="B1360" s="4"/>
      <c r="C1360" s="6"/>
      <c r="D1360" s="5" t="str">
        <f>IF(B1360="","",IFERROR(INDEX(Articles!$E:$E,MATCH(B1360,Articles!$B:$B,0)),""))</f>
        <v/>
      </c>
      <c r="E1360" s="9" t="str">
        <f>IF(OR(C1360="",D1360=""),"",C1360*D1360)</f>
        <v/>
      </c>
      <c r="F1360" s="4"/>
      <c r="G1360" s="4"/>
      <c r="H1360" s="9" t="str">
        <f>IF(OR(B1360="",C1360=""),"",C1360*IFERROR(INDEX(Articles!$D:$D,MATCH(B1360,Articles!$B:$B,0)),0))</f>
        <v/>
      </c>
      <c r="I1360" s="9" t="str">
        <f>IF(OR(E1360="",H1360=""),"",E1360-H1360)</f>
        <v/>
      </c>
      <c r="J1360" s="4"/>
    </row>
    <row r="1361">
      <c r="A1361" s="7"/>
      <c r="B1361" s="4"/>
      <c r="C1361" s="6"/>
      <c r="D1361" s="5" t="str">
        <f>IF(B1361="","",IFERROR(INDEX(Articles!$E:$E,MATCH(B1361,Articles!$B:$B,0)),""))</f>
        <v/>
      </c>
      <c r="E1361" s="9" t="str">
        <f>IF(OR(C1361="",D1361=""),"",C1361*D1361)</f>
        <v/>
      </c>
      <c r="F1361" s="4"/>
      <c r="G1361" s="4"/>
      <c r="H1361" s="9" t="str">
        <f>IF(OR(B1361="",C1361=""),"",C1361*IFERROR(INDEX(Articles!$D:$D,MATCH(B1361,Articles!$B:$B,0)),0))</f>
        <v/>
      </c>
      <c r="I1361" s="9" t="str">
        <f>IF(OR(E1361="",H1361=""),"",E1361-H1361)</f>
        <v/>
      </c>
      <c r="J1361" s="4"/>
    </row>
    <row r="1362">
      <c r="A1362" s="7"/>
      <c r="B1362" s="4"/>
      <c r="C1362" s="6"/>
      <c r="D1362" s="5" t="str">
        <f>IF(B1362="","",IFERROR(INDEX(Articles!$E:$E,MATCH(B1362,Articles!$B:$B,0)),""))</f>
        <v/>
      </c>
      <c r="E1362" s="9" t="str">
        <f>IF(OR(C1362="",D1362=""),"",C1362*D1362)</f>
        <v/>
      </c>
      <c r="F1362" s="4"/>
      <c r="G1362" s="4"/>
      <c r="H1362" s="9" t="str">
        <f>IF(OR(B1362="",C1362=""),"",C1362*IFERROR(INDEX(Articles!$D:$D,MATCH(B1362,Articles!$B:$B,0)),0))</f>
        <v/>
      </c>
      <c r="I1362" s="9" t="str">
        <f>IF(OR(E1362="",H1362=""),"",E1362-H1362)</f>
        <v/>
      </c>
      <c r="J1362" s="4"/>
    </row>
    <row r="1363">
      <c r="A1363" s="7"/>
      <c r="B1363" s="4"/>
      <c r="C1363" s="6"/>
      <c r="D1363" s="5" t="str">
        <f>IF(B1363="","",IFERROR(INDEX(Articles!$E:$E,MATCH(B1363,Articles!$B:$B,0)),""))</f>
        <v/>
      </c>
      <c r="E1363" s="9" t="str">
        <f>IF(OR(C1363="",D1363=""),"",C1363*D1363)</f>
        <v/>
      </c>
      <c r="F1363" s="4"/>
      <c r="G1363" s="4"/>
      <c r="H1363" s="9" t="str">
        <f>IF(OR(B1363="",C1363=""),"",C1363*IFERROR(INDEX(Articles!$D:$D,MATCH(B1363,Articles!$B:$B,0)),0))</f>
        <v/>
      </c>
      <c r="I1363" s="9" t="str">
        <f>IF(OR(E1363="",H1363=""),"",E1363-H1363)</f>
        <v/>
      </c>
      <c r="J1363" s="4"/>
    </row>
    <row r="1364">
      <c r="A1364" s="7"/>
      <c r="B1364" s="4"/>
      <c r="C1364" s="6"/>
      <c r="D1364" s="5" t="str">
        <f>IF(B1364="","",IFERROR(INDEX(Articles!$E:$E,MATCH(B1364,Articles!$B:$B,0)),""))</f>
        <v/>
      </c>
      <c r="E1364" s="9" t="str">
        <f>IF(OR(C1364="",D1364=""),"",C1364*D1364)</f>
        <v/>
      </c>
      <c r="F1364" s="4"/>
      <c r="G1364" s="4"/>
      <c r="H1364" s="9" t="str">
        <f>IF(OR(B1364="",C1364=""),"",C1364*IFERROR(INDEX(Articles!$D:$D,MATCH(B1364,Articles!$B:$B,0)),0))</f>
        <v/>
      </c>
      <c r="I1364" s="9" t="str">
        <f>IF(OR(E1364="",H1364=""),"",E1364-H1364)</f>
        <v/>
      </c>
      <c r="J1364" s="4"/>
    </row>
    <row r="1365">
      <c r="A1365" s="7"/>
      <c r="B1365" s="4"/>
      <c r="C1365" s="6"/>
      <c r="D1365" s="5" t="str">
        <f>IF(B1365="","",IFERROR(INDEX(Articles!$E:$E,MATCH(B1365,Articles!$B:$B,0)),""))</f>
        <v/>
      </c>
      <c r="E1365" s="9" t="str">
        <f>IF(OR(C1365="",D1365=""),"",C1365*D1365)</f>
        <v/>
      </c>
      <c r="F1365" s="4"/>
      <c r="G1365" s="4"/>
      <c r="H1365" s="9" t="str">
        <f>IF(OR(B1365="",C1365=""),"",C1365*IFERROR(INDEX(Articles!$D:$D,MATCH(B1365,Articles!$B:$B,0)),0))</f>
        <v/>
      </c>
      <c r="I1365" s="9" t="str">
        <f>IF(OR(E1365="",H1365=""),"",E1365-H1365)</f>
        <v/>
      </c>
      <c r="J1365" s="4"/>
    </row>
    <row r="1366">
      <c r="A1366" s="7"/>
      <c r="B1366" s="4"/>
      <c r="C1366" s="6"/>
      <c r="D1366" s="5" t="str">
        <f>IF(B1366="","",IFERROR(INDEX(Articles!$E:$E,MATCH(B1366,Articles!$B:$B,0)),""))</f>
        <v/>
      </c>
      <c r="E1366" s="9" t="str">
        <f>IF(OR(C1366="",D1366=""),"",C1366*D1366)</f>
        <v/>
      </c>
      <c r="F1366" s="4"/>
      <c r="G1366" s="4"/>
      <c r="H1366" s="9" t="str">
        <f>IF(OR(B1366="",C1366=""),"",C1366*IFERROR(INDEX(Articles!$D:$D,MATCH(B1366,Articles!$B:$B,0)),0))</f>
        <v/>
      </c>
      <c r="I1366" s="9" t="str">
        <f>IF(OR(E1366="",H1366=""),"",E1366-H1366)</f>
        <v/>
      </c>
      <c r="J1366" s="4"/>
    </row>
    <row r="1367">
      <c r="A1367" s="7"/>
      <c r="B1367" s="4"/>
      <c r="C1367" s="6"/>
      <c r="D1367" s="5" t="str">
        <f>IF(B1367="","",IFERROR(INDEX(Articles!$E:$E,MATCH(B1367,Articles!$B:$B,0)),""))</f>
        <v/>
      </c>
      <c r="E1367" s="9" t="str">
        <f>IF(OR(C1367="",D1367=""),"",C1367*D1367)</f>
        <v/>
      </c>
      <c r="F1367" s="4"/>
      <c r="G1367" s="4"/>
      <c r="H1367" s="9" t="str">
        <f>IF(OR(B1367="",C1367=""),"",C1367*IFERROR(INDEX(Articles!$D:$D,MATCH(B1367,Articles!$B:$B,0)),0))</f>
        <v/>
      </c>
      <c r="I1367" s="9" t="str">
        <f>IF(OR(E1367="",H1367=""),"",E1367-H1367)</f>
        <v/>
      </c>
      <c r="J1367" s="4"/>
    </row>
    <row r="1368">
      <c r="A1368" s="7"/>
      <c r="B1368" s="4"/>
      <c r="C1368" s="6"/>
      <c r="D1368" s="5" t="str">
        <f>IF(B1368="","",IFERROR(INDEX(Articles!$E:$E,MATCH(B1368,Articles!$B:$B,0)),""))</f>
        <v/>
      </c>
      <c r="E1368" s="9" t="str">
        <f>IF(OR(C1368="",D1368=""),"",C1368*D1368)</f>
        <v/>
      </c>
      <c r="F1368" s="4"/>
      <c r="G1368" s="4"/>
      <c r="H1368" s="9" t="str">
        <f>IF(OR(B1368="",C1368=""),"",C1368*IFERROR(INDEX(Articles!$D:$D,MATCH(B1368,Articles!$B:$B,0)),0))</f>
        <v/>
      </c>
      <c r="I1368" s="9" t="str">
        <f>IF(OR(E1368="",H1368=""),"",E1368-H1368)</f>
        <v/>
      </c>
      <c r="J1368" s="4"/>
    </row>
    <row r="1369">
      <c r="A1369" s="7"/>
      <c r="B1369" s="4"/>
      <c r="C1369" s="6"/>
      <c r="D1369" s="5" t="str">
        <f>IF(B1369="","",IFERROR(INDEX(Articles!$E:$E,MATCH(B1369,Articles!$B:$B,0)),""))</f>
        <v/>
      </c>
      <c r="E1369" s="9" t="str">
        <f>IF(OR(C1369="",D1369=""),"",C1369*D1369)</f>
        <v/>
      </c>
      <c r="F1369" s="4"/>
      <c r="G1369" s="4"/>
      <c r="H1369" s="9" t="str">
        <f>IF(OR(B1369="",C1369=""),"",C1369*IFERROR(INDEX(Articles!$D:$D,MATCH(B1369,Articles!$B:$B,0)),0))</f>
        <v/>
      </c>
      <c r="I1369" s="9" t="str">
        <f>IF(OR(E1369="",H1369=""),"",E1369-H1369)</f>
        <v/>
      </c>
      <c r="J1369" s="4"/>
    </row>
    <row r="1370">
      <c r="A1370" s="7"/>
      <c r="B1370" s="4"/>
      <c r="C1370" s="6"/>
      <c r="D1370" s="5" t="str">
        <f>IF(B1370="","",IFERROR(INDEX(Articles!$E:$E,MATCH(B1370,Articles!$B:$B,0)),""))</f>
        <v/>
      </c>
      <c r="E1370" s="9" t="str">
        <f>IF(OR(C1370="",D1370=""),"",C1370*D1370)</f>
        <v/>
      </c>
      <c r="F1370" s="4"/>
      <c r="G1370" s="4"/>
      <c r="H1370" s="9" t="str">
        <f>IF(OR(B1370="",C1370=""),"",C1370*IFERROR(INDEX(Articles!$D:$D,MATCH(B1370,Articles!$B:$B,0)),0))</f>
        <v/>
      </c>
      <c r="I1370" s="9" t="str">
        <f>IF(OR(E1370="",H1370=""),"",E1370-H1370)</f>
        <v/>
      </c>
      <c r="J1370" s="4"/>
    </row>
    <row r="1371">
      <c r="A1371" s="7"/>
      <c r="B1371" s="4"/>
      <c r="C1371" s="6"/>
      <c r="D1371" s="5" t="str">
        <f>IF(B1371="","",IFERROR(INDEX(Articles!$E:$E,MATCH(B1371,Articles!$B:$B,0)),""))</f>
        <v/>
      </c>
      <c r="E1371" s="9" t="str">
        <f>IF(OR(C1371="",D1371=""),"",C1371*D1371)</f>
        <v/>
      </c>
      <c r="F1371" s="4"/>
      <c r="G1371" s="4"/>
      <c r="H1371" s="9" t="str">
        <f>IF(OR(B1371="",C1371=""),"",C1371*IFERROR(INDEX(Articles!$D:$D,MATCH(B1371,Articles!$B:$B,0)),0))</f>
        <v/>
      </c>
      <c r="I1371" s="9" t="str">
        <f>IF(OR(E1371="",H1371=""),"",E1371-H1371)</f>
        <v/>
      </c>
      <c r="J1371" s="4"/>
    </row>
    <row r="1372">
      <c r="A1372" s="7"/>
      <c r="B1372" s="4"/>
      <c r="C1372" s="6"/>
      <c r="D1372" s="5" t="str">
        <f>IF(B1372="","",IFERROR(INDEX(Articles!$E:$E,MATCH(B1372,Articles!$B:$B,0)),""))</f>
        <v/>
      </c>
      <c r="E1372" s="9" t="str">
        <f>IF(OR(C1372="",D1372=""),"",C1372*D1372)</f>
        <v/>
      </c>
      <c r="F1372" s="4"/>
      <c r="G1372" s="4"/>
      <c r="H1372" s="9" t="str">
        <f>IF(OR(B1372="",C1372=""),"",C1372*IFERROR(INDEX(Articles!$D:$D,MATCH(B1372,Articles!$B:$B,0)),0))</f>
        <v/>
      </c>
      <c r="I1372" s="9" t="str">
        <f>IF(OR(E1372="",H1372=""),"",E1372-H1372)</f>
        <v/>
      </c>
      <c r="J1372" s="4"/>
    </row>
    <row r="1373">
      <c r="A1373" s="7"/>
      <c r="B1373" s="4"/>
      <c r="C1373" s="6"/>
      <c r="D1373" s="5" t="str">
        <f>IF(B1373="","",IFERROR(INDEX(Articles!$E:$E,MATCH(B1373,Articles!$B:$B,0)),""))</f>
        <v/>
      </c>
      <c r="E1373" s="9" t="str">
        <f>IF(OR(C1373="",D1373=""),"",C1373*D1373)</f>
        <v/>
      </c>
      <c r="F1373" s="4"/>
      <c r="G1373" s="4"/>
      <c r="H1373" s="9" t="str">
        <f>IF(OR(B1373="",C1373=""),"",C1373*IFERROR(INDEX(Articles!$D:$D,MATCH(B1373,Articles!$B:$B,0)),0))</f>
        <v/>
      </c>
      <c r="I1373" s="9" t="str">
        <f>IF(OR(E1373="",H1373=""),"",E1373-H1373)</f>
        <v/>
      </c>
      <c r="J1373" s="4"/>
    </row>
    <row r="1374">
      <c r="A1374" s="7"/>
      <c r="B1374" s="4"/>
      <c r="C1374" s="6"/>
      <c r="D1374" s="5" t="str">
        <f>IF(B1374="","",IFERROR(INDEX(Articles!$E:$E,MATCH(B1374,Articles!$B:$B,0)),""))</f>
        <v/>
      </c>
      <c r="E1374" s="9" t="str">
        <f>IF(OR(C1374="",D1374=""),"",C1374*D1374)</f>
        <v/>
      </c>
      <c r="F1374" s="4"/>
      <c r="G1374" s="4"/>
      <c r="H1374" s="9" t="str">
        <f>IF(OR(B1374="",C1374=""),"",C1374*IFERROR(INDEX(Articles!$D:$D,MATCH(B1374,Articles!$B:$B,0)),0))</f>
        <v/>
      </c>
      <c r="I1374" s="9" t="str">
        <f>IF(OR(E1374="",H1374=""),"",E1374-H1374)</f>
        <v/>
      </c>
      <c r="J1374" s="4"/>
    </row>
    <row r="1375">
      <c r="A1375" s="7"/>
      <c r="B1375" s="4"/>
      <c r="C1375" s="6"/>
      <c r="D1375" s="5" t="str">
        <f>IF(B1375="","",IFERROR(INDEX(Articles!$E:$E,MATCH(B1375,Articles!$B:$B,0)),""))</f>
        <v/>
      </c>
      <c r="E1375" s="9" t="str">
        <f>IF(OR(C1375="",D1375=""),"",C1375*D1375)</f>
        <v/>
      </c>
      <c r="F1375" s="4"/>
      <c r="G1375" s="4"/>
      <c r="H1375" s="9" t="str">
        <f>IF(OR(B1375="",C1375=""),"",C1375*IFERROR(INDEX(Articles!$D:$D,MATCH(B1375,Articles!$B:$B,0)),0))</f>
        <v/>
      </c>
      <c r="I1375" s="9" t="str">
        <f>IF(OR(E1375="",H1375=""),"",E1375-H1375)</f>
        <v/>
      </c>
      <c r="J1375" s="4"/>
    </row>
    <row r="1376">
      <c r="A1376" s="7"/>
      <c r="B1376" s="4"/>
      <c r="C1376" s="6"/>
      <c r="D1376" s="5" t="str">
        <f>IF(B1376="","",IFERROR(INDEX(Articles!$E:$E,MATCH(B1376,Articles!$B:$B,0)),""))</f>
        <v/>
      </c>
      <c r="E1376" s="9" t="str">
        <f>IF(OR(C1376="",D1376=""),"",C1376*D1376)</f>
        <v/>
      </c>
      <c r="F1376" s="4"/>
      <c r="G1376" s="4"/>
      <c r="H1376" s="9" t="str">
        <f>IF(OR(B1376="",C1376=""),"",C1376*IFERROR(INDEX(Articles!$D:$D,MATCH(B1376,Articles!$B:$B,0)),0))</f>
        <v/>
      </c>
      <c r="I1376" s="9" t="str">
        <f>IF(OR(E1376="",H1376=""),"",E1376-H1376)</f>
        <v/>
      </c>
      <c r="J1376" s="4"/>
    </row>
    <row r="1377">
      <c r="A1377" s="7"/>
      <c r="B1377" s="4"/>
      <c r="C1377" s="6"/>
      <c r="D1377" s="5" t="str">
        <f>IF(B1377="","",IFERROR(INDEX(Articles!$E:$E,MATCH(B1377,Articles!$B:$B,0)),""))</f>
        <v/>
      </c>
      <c r="E1377" s="9" t="str">
        <f>IF(OR(C1377="",D1377=""),"",C1377*D1377)</f>
        <v/>
      </c>
      <c r="F1377" s="4"/>
      <c r="G1377" s="4"/>
      <c r="H1377" s="9" t="str">
        <f>IF(OR(B1377="",C1377=""),"",C1377*IFERROR(INDEX(Articles!$D:$D,MATCH(B1377,Articles!$B:$B,0)),0))</f>
        <v/>
      </c>
      <c r="I1377" s="9" t="str">
        <f>IF(OR(E1377="",H1377=""),"",E1377-H1377)</f>
        <v/>
      </c>
      <c r="J1377" s="4"/>
    </row>
    <row r="1378">
      <c r="A1378" s="7"/>
      <c r="B1378" s="4"/>
      <c r="C1378" s="6"/>
      <c r="D1378" s="5" t="str">
        <f>IF(B1378="","",IFERROR(INDEX(Articles!$E:$E,MATCH(B1378,Articles!$B:$B,0)),""))</f>
        <v/>
      </c>
      <c r="E1378" s="9" t="str">
        <f>IF(OR(C1378="",D1378=""),"",C1378*D1378)</f>
        <v/>
      </c>
      <c r="F1378" s="4"/>
      <c r="G1378" s="4"/>
      <c r="H1378" s="9" t="str">
        <f>IF(OR(B1378="",C1378=""),"",C1378*IFERROR(INDEX(Articles!$D:$D,MATCH(B1378,Articles!$B:$B,0)),0))</f>
        <v/>
      </c>
      <c r="I1378" s="9" t="str">
        <f>IF(OR(E1378="",H1378=""),"",E1378-H1378)</f>
        <v/>
      </c>
      <c r="J1378" s="4"/>
    </row>
    <row r="1379">
      <c r="A1379" s="7"/>
      <c r="B1379" s="4"/>
      <c r="C1379" s="6"/>
      <c r="D1379" s="5" t="str">
        <f>IF(B1379="","",IFERROR(INDEX(Articles!$E:$E,MATCH(B1379,Articles!$B:$B,0)),""))</f>
        <v/>
      </c>
      <c r="E1379" s="9" t="str">
        <f>IF(OR(C1379="",D1379=""),"",C1379*D1379)</f>
        <v/>
      </c>
      <c r="F1379" s="4"/>
      <c r="G1379" s="4"/>
      <c r="H1379" s="9" t="str">
        <f>IF(OR(B1379="",C1379=""),"",C1379*IFERROR(INDEX(Articles!$D:$D,MATCH(B1379,Articles!$B:$B,0)),0))</f>
        <v/>
      </c>
      <c r="I1379" s="9" t="str">
        <f>IF(OR(E1379="",H1379=""),"",E1379-H1379)</f>
        <v/>
      </c>
      <c r="J1379" s="4"/>
    </row>
    <row r="1380">
      <c r="A1380" s="7"/>
      <c r="B1380" s="4"/>
      <c r="C1380" s="6"/>
      <c r="D1380" s="5" t="str">
        <f>IF(B1380="","",IFERROR(INDEX(Articles!$E:$E,MATCH(B1380,Articles!$B:$B,0)),""))</f>
        <v/>
      </c>
      <c r="E1380" s="9" t="str">
        <f>IF(OR(C1380="",D1380=""),"",C1380*D1380)</f>
        <v/>
      </c>
      <c r="F1380" s="4"/>
      <c r="G1380" s="4"/>
      <c r="H1380" s="9" t="str">
        <f>IF(OR(B1380="",C1380=""),"",C1380*IFERROR(INDEX(Articles!$D:$D,MATCH(B1380,Articles!$B:$B,0)),0))</f>
        <v/>
      </c>
      <c r="I1380" s="9" t="str">
        <f>IF(OR(E1380="",H1380=""),"",E1380-H1380)</f>
        <v/>
      </c>
      <c r="J1380" s="4"/>
    </row>
    <row r="1381">
      <c r="A1381" s="7"/>
      <c r="B1381" s="4"/>
      <c r="C1381" s="6"/>
      <c r="D1381" s="5" t="str">
        <f>IF(B1381="","",IFERROR(INDEX(Articles!$E:$E,MATCH(B1381,Articles!$B:$B,0)),""))</f>
        <v/>
      </c>
      <c r="E1381" s="9" t="str">
        <f>IF(OR(C1381="",D1381=""),"",C1381*D1381)</f>
        <v/>
      </c>
      <c r="F1381" s="4"/>
      <c r="G1381" s="4"/>
      <c r="H1381" s="9" t="str">
        <f>IF(OR(B1381="",C1381=""),"",C1381*IFERROR(INDEX(Articles!$D:$D,MATCH(B1381,Articles!$B:$B,0)),0))</f>
        <v/>
      </c>
      <c r="I1381" s="9" t="str">
        <f>IF(OR(E1381="",H1381=""),"",E1381-H1381)</f>
        <v/>
      </c>
      <c r="J1381" s="4"/>
    </row>
    <row r="1382">
      <c r="A1382" s="7"/>
      <c r="B1382" s="4"/>
      <c r="C1382" s="6"/>
      <c r="D1382" s="5" t="str">
        <f>IF(B1382="","",IFERROR(INDEX(Articles!$E:$E,MATCH(B1382,Articles!$B:$B,0)),""))</f>
        <v/>
      </c>
      <c r="E1382" s="9" t="str">
        <f>IF(OR(C1382="",D1382=""),"",C1382*D1382)</f>
        <v/>
      </c>
      <c r="F1382" s="4"/>
      <c r="G1382" s="4"/>
      <c r="H1382" s="9" t="str">
        <f>IF(OR(B1382="",C1382=""),"",C1382*IFERROR(INDEX(Articles!$D:$D,MATCH(B1382,Articles!$B:$B,0)),0))</f>
        <v/>
      </c>
      <c r="I1382" s="9" t="str">
        <f>IF(OR(E1382="",H1382=""),"",E1382-H1382)</f>
        <v/>
      </c>
      <c r="J1382" s="4"/>
    </row>
    <row r="1383">
      <c r="A1383" s="7"/>
      <c r="B1383" s="4"/>
      <c r="C1383" s="6"/>
      <c r="D1383" s="5" t="str">
        <f>IF(B1383="","",IFERROR(INDEX(Articles!$E:$E,MATCH(B1383,Articles!$B:$B,0)),""))</f>
        <v/>
      </c>
      <c r="E1383" s="9" t="str">
        <f>IF(OR(C1383="",D1383=""),"",C1383*D1383)</f>
        <v/>
      </c>
      <c r="F1383" s="4"/>
      <c r="G1383" s="4"/>
      <c r="H1383" s="9" t="str">
        <f>IF(OR(B1383="",C1383=""),"",C1383*IFERROR(INDEX(Articles!$D:$D,MATCH(B1383,Articles!$B:$B,0)),0))</f>
        <v/>
      </c>
      <c r="I1383" s="9" t="str">
        <f>IF(OR(E1383="",H1383=""),"",E1383-H1383)</f>
        <v/>
      </c>
      <c r="J1383" s="4"/>
    </row>
    <row r="1384">
      <c r="A1384" s="7"/>
      <c r="B1384" s="4"/>
      <c r="C1384" s="6"/>
      <c r="D1384" s="5" t="str">
        <f>IF(B1384="","",IFERROR(INDEX(Articles!$E:$E,MATCH(B1384,Articles!$B:$B,0)),""))</f>
        <v/>
      </c>
      <c r="E1384" s="9" t="str">
        <f>IF(OR(C1384="",D1384=""),"",C1384*D1384)</f>
        <v/>
      </c>
      <c r="F1384" s="4"/>
      <c r="G1384" s="4"/>
      <c r="H1384" s="9" t="str">
        <f>IF(OR(B1384="",C1384=""),"",C1384*IFERROR(INDEX(Articles!$D:$D,MATCH(B1384,Articles!$B:$B,0)),0))</f>
        <v/>
      </c>
      <c r="I1384" s="9" t="str">
        <f>IF(OR(E1384="",H1384=""),"",E1384-H1384)</f>
        <v/>
      </c>
      <c r="J1384" s="4"/>
    </row>
    <row r="1385">
      <c r="A1385" s="7"/>
      <c r="B1385" s="4"/>
      <c r="C1385" s="6"/>
      <c r="D1385" s="5" t="str">
        <f>IF(B1385="","",IFERROR(INDEX(Articles!$E:$E,MATCH(B1385,Articles!$B:$B,0)),""))</f>
        <v/>
      </c>
      <c r="E1385" s="9" t="str">
        <f>IF(OR(C1385="",D1385=""),"",C1385*D1385)</f>
        <v/>
      </c>
      <c r="F1385" s="4"/>
      <c r="G1385" s="4"/>
      <c r="H1385" s="9" t="str">
        <f>IF(OR(B1385="",C1385=""),"",C1385*IFERROR(INDEX(Articles!$D:$D,MATCH(B1385,Articles!$B:$B,0)),0))</f>
        <v/>
      </c>
      <c r="I1385" s="9" t="str">
        <f>IF(OR(E1385="",H1385=""),"",E1385-H1385)</f>
        <v/>
      </c>
      <c r="J1385" s="4"/>
    </row>
    <row r="1386">
      <c r="A1386" s="7"/>
      <c r="B1386" s="4"/>
      <c r="C1386" s="6"/>
      <c r="D1386" s="5" t="str">
        <f>IF(B1386="","",IFERROR(INDEX(Articles!$E:$E,MATCH(B1386,Articles!$B:$B,0)),""))</f>
        <v/>
      </c>
      <c r="E1386" s="9" t="str">
        <f>IF(OR(C1386="",D1386=""),"",C1386*D1386)</f>
        <v/>
      </c>
      <c r="F1386" s="4"/>
      <c r="G1386" s="4"/>
      <c r="H1386" s="9" t="str">
        <f>IF(OR(B1386="",C1386=""),"",C1386*IFERROR(INDEX(Articles!$D:$D,MATCH(B1386,Articles!$B:$B,0)),0))</f>
        <v/>
      </c>
      <c r="I1386" s="9" t="str">
        <f>IF(OR(E1386="",H1386=""),"",E1386-H1386)</f>
        <v/>
      </c>
      <c r="J1386" s="4"/>
    </row>
    <row r="1387">
      <c r="A1387" s="7"/>
      <c r="B1387" s="4"/>
      <c r="C1387" s="6"/>
      <c r="D1387" s="5" t="str">
        <f>IF(B1387="","",IFERROR(INDEX(Articles!$E:$E,MATCH(B1387,Articles!$B:$B,0)),""))</f>
        <v/>
      </c>
      <c r="E1387" s="9" t="str">
        <f>IF(OR(C1387="",D1387=""),"",C1387*D1387)</f>
        <v/>
      </c>
      <c r="F1387" s="4"/>
      <c r="G1387" s="4"/>
      <c r="H1387" s="9" t="str">
        <f>IF(OR(B1387="",C1387=""),"",C1387*IFERROR(INDEX(Articles!$D:$D,MATCH(B1387,Articles!$B:$B,0)),0))</f>
        <v/>
      </c>
      <c r="I1387" s="9" t="str">
        <f>IF(OR(E1387="",H1387=""),"",E1387-H1387)</f>
        <v/>
      </c>
      <c r="J1387" s="4"/>
    </row>
    <row r="1388">
      <c r="A1388" s="7"/>
      <c r="B1388" s="4"/>
      <c r="C1388" s="6"/>
      <c r="D1388" s="5" t="str">
        <f>IF(B1388="","",IFERROR(INDEX(Articles!$E:$E,MATCH(B1388,Articles!$B:$B,0)),""))</f>
        <v/>
      </c>
      <c r="E1388" s="9" t="str">
        <f>IF(OR(C1388="",D1388=""),"",C1388*D1388)</f>
        <v/>
      </c>
      <c r="F1388" s="4"/>
      <c r="G1388" s="4"/>
      <c r="H1388" s="9" t="str">
        <f>IF(OR(B1388="",C1388=""),"",C1388*IFERROR(INDEX(Articles!$D:$D,MATCH(B1388,Articles!$B:$B,0)),0))</f>
        <v/>
      </c>
      <c r="I1388" s="9" t="str">
        <f>IF(OR(E1388="",H1388=""),"",E1388-H1388)</f>
        <v/>
      </c>
      <c r="J1388" s="4"/>
    </row>
    <row r="1389">
      <c r="A1389" s="7"/>
      <c r="B1389" s="4"/>
      <c r="C1389" s="6"/>
      <c r="D1389" s="5" t="str">
        <f>IF(B1389="","",IFERROR(INDEX(Articles!$E:$E,MATCH(B1389,Articles!$B:$B,0)),""))</f>
        <v/>
      </c>
      <c r="E1389" s="9" t="str">
        <f>IF(OR(C1389="",D1389=""),"",C1389*D1389)</f>
        <v/>
      </c>
      <c r="F1389" s="4"/>
      <c r="G1389" s="4"/>
      <c r="H1389" s="9" t="str">
        <f>IF(OR(B1389="",C1389=""),"",C1389*IFERROR(INDEX(Articles!$D:$D,MATCH(B1389,Articles!$B:$B,0)),0))</f>
        <v/>
      </c>
      <c r="I1389" s="9" t="str">
        <f>IF(OR(E1389="",H1389=""),"",E1389-H1389)</f>
        <v/>
      </c>
      <c r="J1389" s="4"/>
    </row>
    <row r="1390">
      <c r="A1390" s="7"/>
      <c r="B1390" s="4"/>
      <c r="C1390" s="6"/>
      <c r="D1390" s="5" t="str">
        <f>IF(B1390="","",IFERROR(INDEX(Articles!$E:$E,MATCH(B1390,Articles!$B:$B,0)),""))</f>
        <v/>
      </c>
      <c r="E1390" s="9" t="str">
        <f>IF(OR(C1390="",D1390=""),"",C1390*D1390)</f>
        <v/>
      </c>
      <c r="F1390" s="4"/>
      <c r="G1390" s="4"/>
      <c r="H1390" s="9" t="str">
        <f>IF(OR(B1390="",C1390=""),"",C1390*IFERROR(INDEX(Articles!$D:$D,MATCH(B1390,Articles!$B:$B,0)),0))</f>
        <v/>
      </c>
      <c r="I1390" s="9" t="str">
        <f>IF(OR(E1390="",H1390=""),"",E1390-H1390)</f>
        <v/>
      </c>
      <c r="J1390" s="4"/>
    </row>
    <row r="1391">
      <c r="A1391" s="7"/>
      <c r="B1391" s="4"/>
      <c r="C1391" s="6"/>
      <c r="D1391" s="5" t="str">
        <f>IF(B1391="","",IFERROR(INDEX(Articles!$E:$E,MATCH(B1391,Articles!$B:$B,0)),""))</f>
        <v/>
      </c>
      <c r="E1391" s="9" t="str">
        <f>IF(OR(C1391="",D1391=""),"",C1391*D1391)</f>
        <v/>
      </c>
      <c r="F1391" s="4"/>
      <c r="G1391" s="4"/>
      <c r="H1391" s="9" t="str">
        <f>IF(OR(B1391="",C1391=""),"",C1391*IFERROR(INDEX(Articles!$D:$D,MATCH(B1391,Articles!$B:$B,0)),0))</f>
        <v/>
      </c>
      <c r="I1391" s="9" t="str">
        <f>IF(OR(E1391="",H1391=""),"",E1391-H1391)</f>
        <v/>
      </c>
      <c r="J1391" s="4"/>
    </row>
    <row r="1392">
      <c r="A1392" s="7"/>
      <c r="B1392" s="4"/>
      <c r="C1392" s="6"/>
      <c r="D1392" s="5" t="str">
        <f>IF(B1392="","",IFERROR(INDEX(Articles!$E:$E,MATCH(B1392,Articles!$B:$B,0)),""))</f>
        <v/>
      </c>
      <c r="E1392" s="9" t="str">
        <f>IF(OR(C1392="",D1392=""),"",C1392*D1392)</f>
        <v/>
      </c>
      <c r="F1392" s="4"/>
      <c r="G1392" s="4"/>
      <c r="H1392" s="9" t="str">
        <f>IF(OR(B1392="",C1392=""),"",C1392*IFERROR(INDEX(Articles!$D:$D,MATCH(B1392,Articles!$B:$B,0)),0))</f>
        <v/>
      </c>
      <c r="I1392" s="9" t="str">
        <f>IF(OR(E1392="",H1392=""),"",E1392-H1392)</f>
        <v/>
      </c>
      <c r="J1392" s="4"/>
    </row>
    <row r="1393">
      <c r="A1393" s="7"/>
      <c r="B1393" s="4"/>
      <c r="C1393" s="6"/>
      <c r="D1393" s="5" t="str">
        <f>IF(B1393="","",IFERROR(INDEX(Articles!$E:$E,MATCH(B1393,Articles!$B:$B,0)),""))</f>
        <v/>
      </c>
      <c r="E1393" s="9" t="str">
        <f>IF(OR(C1393="",D1393=""),"",C1393*D1393)</f>
        <v/>
      </c>
      <c r="F1393" s="4"/>
      <c r="G1393" s="4"/>
      <c r="H1393" s="9" t="str">
        <f>IF(OR(B1393="",C1393=""),"",C1393*IFERROR(INDEX(Articles!$D:$D,MATCH(B1393,Articles!$B:$B,0)),0))</f>
        <v/>
      </c>
      <c r="I1393" s="9" t="str">
        <f>IF(OR(E1393="",H1393=""),"",E1393-H1393)</f>
        <v/>
      </c>
      <c r="J1393" s="4"/>
    </row>
    <row r="1394">
      <c r="A1394" s="7"/>
      <c r="B1394" s="4"/>
      <c r="C1394" s="6"/>
      <c r="D1394" s="5" t="str">
        <f>IF(B1394="","",IFERROR(INDEX(Articles!$E:$E,MATCH(B1394,Articles!$B:$B,0)),""))</f>
        <v/>
      </c>
      <c r="E1394" s="9" t="str">
        <f>IF(OR(C1394="",D1394=""),"",C1394*D1394)</f>
        <v/>
      </c>
      <c r="F1394" s="4"/>
      <c r="G1394" s="4"/>
      <c r="H1394" s="9" t="str">
        <f>IF(OR(B1394="",C1394=""),"",C1394*IFERROR(INDEX(Articles!$D:$D,MATCH(B1394,Articles!$B:$B,0)),0))</f>
        <v/>
      </c>
      <c r="I1394" s="9" t="str">
        <f>IF(OR(E1394="",H1394=""),"",E1394-H1394)</f>
        <v/>
      </c>
      <c r="J1394" s="4"/>
    </row>
    <row r="1395">
      <c r="A1395" s="7"/>
      <c r="B1395" s="4"/>
      <c r="C1395" s="6"/>
      <c r="D1395" s="5" t="str">
        <f>IF(B1395="","",IFERROR(INDEX(Articles!$E:$E,MATCH(B1395,Articles!$B:$B,0)),""))</f>
        <v/>
      </c>
      <c r="E1395" s="9" t="str">
        <f>IF(OR(C1395="",D1395=""),"",C1395*D1395)</f>
        <v/>
      </c>
      <c r="F1395" s="4"/>
      <c r="G1395" s="4"/>
      <c r="H1395" s="9" t="str">
        <f>IF(OR(B1395="",C1395=""),"",C1395*IFERROR(INDEX(Articles!$D:$D,MATCH(B1395,Articles!$B:$B,0)),0))</f>
        <v/>
      </c>
      <c r="I1395" s="9" t="str">
        <f>IF(OR(E1395="",H1395=""),"",E1395-H1395)</f>
        <v/>
      </c>
      <c r="J1395" s="4"/>
    </row>
    <row r="1396">
      <c r="A1396" s="7"/>
      <c r="B1396" s="4"/>
      <c r="C1396" s="6"/>
      <c r="D1396" s="5" t="str">
        <f>IF(B1396="","",IFERROR(INDEX(Articles!$E:$E,MATCH(B1396,Articles!$B:$B,0)),""))</f>
        <v/>
      </c>
      <c r="E1396" s="9" t="str">
        <f>IF(OR(C1396="",D1396=""),"",C1396*D1396)</f>
        <v/>
      </c>
      <c r="F1396" s="4"/>
      <c r="G1396" s="4"/>
      <c r="H1396" s="9" t="str">
        <f>IF(OR(B1396="",C1396=""),"",C1396*IFERROR(INDEX(Articles!$D:$D,MATCH(B1396,Articles!$B:$B,0)),0))</f>
        <v/>
      </c>
      <c r="I1396" s="9" t="str">
        <f>IF(OR(E1396="",H1396=""),"",E1396-H1396)</f>
        <v/>
      </c>
      <c r="J1396" s="4"/>
    </row>
    <row r="1397">
      <c r="A1397" s="7"/>
      <c r="B1397" s="4"/>
      <c r="C1397" s="6"/>
      <c r="D1397" s="5" t="str">
        <f>IF(B1397="","",IFERROR(INDEX(Articles!$E:$E,MATCH(B1397,Articles!$B:$B,0)),""))</f>
        <v/>
      </c>
      <c r="E1397" s="9" t="str">
        <f>IF(OR(C1397="",D1397=""),"",C1397*D1397)</f>
        <v/>
      </c>
      <c r="F1397" s="4"/>
      <c r="G1397" s="4"/>
      <c r="H1397" s="9" t="str">
        <f>IF(OR(B1397="",C1397=""),"",C1397*IFERROR(INDEX(Articles!$D:$D,MATCH(B1397,Articles!$B:$B,0)),0))</f>
        <v/>
      </c>
      <c r="I1397" s="9" t="str">
        <f>IF(OR(E1397="",H1397=""),"",E1397-H1397)</f>
        <v/>
      </c>
      <c r="J1397" s="4"/>
    </row>
    <row r="1398">
      <c r="A1398" s="7"/>
      <c r="B1398" s="4"/>
      <c r="C1398" s="6"/>
      <c r="D1398" s="5" t="str">
        <f>IF(B1398="","",IFERROR(INDEX(Articles!$E:$E,MATCH(B1398,Articles!$B:$B,0)),""))</f>
        <v/>
      </c>
      <c r="E1398" s="9" t="str">
        <f>IF(OR(C1398="",D1398=""),"",C1398*D1398)</f>
        <v/>
      </c>
      <c r="F1398" s="4"/>
      <c r="G1398" s="4"/>
      <c r="H1398" s="9" t="str">
        <f>IF(OR(B1398="",C1398=""),"",C1398*IFERROR(INDEX(Articles!$D:$D,MATCH(B1398,Articles!$B:$B,0)),0))</f>
        <v/>
      </c>
      <c r="I1398" s="9" t="str">
        <f>IF(OR(E1398="",H1398=""),"",E1398-H1398)</f>
        <v/>
      </c>
      <c r="J1398" s="4"/>
    </row>
    <row r="1399">
      <c r="A1399" s="7"/>
      <c r="B1399" s="4"/>
      <c r="C1399" s="6"/>
      <c r="D1399" s="5" t="str">
        <f>IF(B1399="","",IFERROR(INDEX(Articles!$E:$E,MATCH(B1399,Articles!$B:$B,0)),""))</f>
        <v/>
      </c>
      <c r="E1399" s="9" t="str">
        <f>IF(OR(C1399="",D1399=""),"",C1399*D1399)</f>
        <v/>
      </c>
      <c r="F1399" s="4"/>
      <c r="G1399" s="4"/>
      <c r="H1399" s="9" t="str">
        <f>IF(OR(B1399="",C1399=""),"",C1399*IFERROR(INDEX(Articles!$D:$D,MATCH(B1399,Articles!$B:$B,0)),0))</f>
        <v/>
      </c>
      <c r="I1399" s="9" t="str">
        <f>IF(OR(E1399="",H1399=""),"",E1399-H1399)</f>
        <v/>
      </c>
      <c r="J1399" s="4"/>
    </row>
    <row r="1400">
      <c r="A1400" s="7"/>
      <c r="B1400" s="4"/>
      <c r="C1400" s="6"/>
      <c r="D1400" s="5" t="str">
        <f>IF(B1400="","",IFERROR(INDEX(Articles!$E:$E,MATCH(B1400,Articles!$B:$B,0)),""))</f>
        <v/>
      </c>
      <c r="E1400" s="9" t="str">
        <f>IF(OR(C1400="",D1400=""),"",C1400*D1400)</f>
        <v/>
      </c>
      <c r="F1400" s="4"/>
      <c r="G1400" s="4"/>
      <c r="H1400" s="9" t="str">
        <f>IF(OR(B1400="",C1400=""),"",C1400*IFERROR(INDEX(Articles!$D:$D,MATCH(B1400,Articles!$B:$B,0)),0))</f>
        <v/>
      </c>
      <c r="I1400" s="9" t="str">
        <f>IF(OR(E1400="",H1400=""),"",E1400-H1400)</f>
        <v/>
      </c>
      <c r="J1400" s="4"/>
    </row>
    <row r="1401">
      <c r="A1401" s="7"/>
      <c r="B1401" s="4"/>
      <c r="C1401" s="6"/>
      <c r="D1401" s="5" t="str">
        <f>IF(B1401="","",IFERROR(INDEX(Articles!$E:$E,MATCH(B1401,Articles!$B:$B,0)),""))</f>
        <v/>
      </c>
      <c r="E1401" s="9" t="str">
        <f>IF(OR(C1401="",D1401=""),"",C1401*D1401)</f>
        <v/>
      </c>
      <c r="F1401" s="4"/>
      <c r="G1401" s="4"/>
      <c r="H1401" s="9" t="str">
        <f>IF(OR(B1401="",C1401=""),"",C1401*IFERROR(INDEX(Articles!$D:$D,MATCH(B1401,Articles!$B:$B,0)),0))</f>
        <v/>
      </c>
      <c r="I1401" s="9" t="str">
        <f>IF(OR(E1401="",H1401=""),"",E1401-H1401)</f>
        <v/>
      </c>
      <c r="J1401" s="4"/>
    </row>
    <row r="1402">
      <c r="A1402" s="7"/>
      <c r="B1402" s="4"/>
      <c r="C1402" s="6"/>
      <c r="D1402" s="5" t="str">
        <f>IF(B1402="","",IFERROR(INDEX(Articles!$E:$E,MATCH(B1402,Articles!$B:$B,0)),""))</f>
        <v/>
      </c>
      <c r="E1402" s="9" t="str">
        <f>IF(OR(C1402="",D1402=""),"",C1402*D1402)</f>
        <v/>
      </c>
      <c r="F1402" s="4"/>
      <c r="G1402" s="4"/>
      <c r="H1402" s="9" t="str">
        <f>IF(OR(B1402="",C1402=""),"",C1402*IFERROR(INDEX(Articles!$D:$D,MATCH(B1402,Articles!$B:$B,0)),0))</f>
        <v/>
      </c>
      <c r="I1402" s="9" t="str">
        <f>IF(OR(E1402="",H1402=""),"",E1402-H1402)</f>
        <v/>
      </c>
      <c r="J1402" s="4"/>
    </row>
    <row r="1403">
      <c r="A1403" s="7"/>
      <c r="B1403" s="4"/>
      <c r="C1403" s="6"/>
      <c r="D1403" s="5" t="str">
        <f>IF(B1403="","",IFERROR(INDEX(Articles!$E:$E,MATCH(B1403,Articles!$B:$B,0)),""))</f>
        <v/>
      </c>
      <c r="E1403" s="9" t="str">
        <f>IF(OR(C1403="",D1403=""),"",C1403*D1403)</f>
        <v/>
      </c>
      <c r="F1403" s="4"/>
      <c r="G1403" s="4"/>
      <c r="H1403" s="9" t="str">
        <f>IF(OR(B1403="",C1403=""),"",C1403*IFERROR(INDEX(Articles!$D:$D,MATCH(B1403,Articles!$B:$B,0)),0))</f>
        <v/>
      </c>
      <c r="I1403" s="9" t="str">
        <f>IF(OR(E1403="",H1403=""),"",E1403-H1403)</f>
        <v/>
      </c>
      <c r="J1403" s="4"/>
    </row>
    <row r="1404">
      <c r="A1404" s="7"/>
      <c r="B1404" s="4"/>
      <c r="C1404" s="6"/>
      <c r="D1404" s="5" t="str">
        <f>IF(B1404="","",IFERROR(INDEX(Articles!$E:$E,MATCH(B1404,Articles!$B:$B,0)),""))</f>
        <v/>
      </c>
      <c r="E1404" s="9" t="str">
        <f>IF(OR(C1404="",D1404=""),"",C1404*D1404)</f>
        <v/>
      </c>
      <c r="F1404" s="4"/>
      <c r="G1404" s="4"/>
      <c r="H1404" s="9" t="str">
        <f>IF(OR(B1404="",C1404=""),"",C1404*IFERROR(INDEX(Articles!$D:$D,MATCH(B1404,Articles!$B:$B,0)),0))</f>
        <v/>
      </c>
      <c r="I1404" s="9" t="str">
        <f>IF(OR(E1404="",H1404=""),"",E1404-H1404)</f>
        <v/>
      </c>
      <c r="J1404" s="4"/>
    </row>
    <row r="1405">
      <c r="A1405" s="7"/>
      <c r="B1405" s="4"/>
      <c r="C1405" s="6"/>
      <c r="D1405" s="5" t="str">
        <f>IF(B1405="","",IFERROR(INDEX(Articles!$E:$E,MATCH(B1405,Articles!$B:$B,0)),""))</f>
        <v/>
      </c>
      <c r="E1405" s="9" t="str">
        <f>IF(OR(C1405="",D1405=""),"",C1405*D1405)</f>
        <v/>
      </c>
      <c r="F1405" s="4"/>
      <c r="G1405" s="4"/>
      <c r="H1405" s="9" t="str">
        <f>IF(OR(B1405="",C1405=""),"",C1405*IFERROR(INDEX(Articles!$D:$D,MATCH(B1405,Articles!$B:$B,0)),0))</f>
        <v/>
      </c>
      <c r="I1405" s="9" t="str">
        <f>IF(OR(E1405="",H1405=""),"",E1405-H1405)</f>
        <v/>
      </c>
      <c r="J1405" s="4"/>
    </row>
    <row r="1406">
      <c r="A1406" s="7"/>
      <c r="B1406" s="4"/>
      <c r="C1406" s="6"/>
      <c r="D1406" s="5" t="str">
        <f>IF(B1406="","",IFERROR(INDEX(Articles!$E:$E,MATCH(B1406,Articles!$B:$B,0)),""))</f>
        <v/>
      </c>
      <c r="E1406" s="9" t="str">
        <f>IF(OR(C1406="",D1406=""),"",C1406*D1406)</f>
        <v/>
      </c>
      <c r="F1406" s="4"/>
      <c r="G1406" s="4"/>
      <c r="H1406" s="9" t="str">
        <f>IF(OR(B1406="",C1406=""),"",C1406*IFERROR(INDEX(Articles!$D:$D,MATCH(B1406,Articles!$B:$B,0)),0))</f>
        <v/>
      </c>
      <c r="I1406" s="9" t="str">
        <f>IF(OR(E1406="",H1406=""),"",E1406-H1406)</f>
        <v/>
      </c>
      <c r="J1406" s="4"/>
    </row>
    <row r="1407">
      <c r="A1407" s="7"/>
      <c r="B1407" s="4"/>
      <c r="C1407" s="6"/>
      <c r="D1407" s="5" t="str">
        <f>IF(B1407="","",IFERROR(INDEX(Articles!$E:$E,MATCH(B1407,Articles!$B:$B,0)),""))</f>
        <v/>
      </c>
      <c r="E1407" s="9" t="str">
        <f>IF(OR(C1407="",D1407=""),"",C1407*D1407)</f>
        <v/>
      </c>
      <c r="F1407" s="4"/>
      <c r="G1407" s="4"/>
      <c r="H1407" s="9" t="str">
        <f>IF(OR(B1407="",C1407=""),"",C1407*IFERROR(INDEX(Articles!$D:$D,MATCH(B1407,Articles!$B:$B,0)),0))</f>
        <v/>
      </c>
      <c r="I1407" s="9" t="str">
        <f>IF(OR(E1407="",H1407=""),"",E1407-H1407)</f>
        <v/>
      </c>
      <c r="J1407" s="4"/>
    </row>
    <row r="1408">
      <c r="A1408" s="7"/>
      <c r="B1408" s="4"/>
      <c r="C1408" s="6"/>
      <c r="D1408" s="5" t="str">
        <f>IF(B1408="","",IFERROR(INDEX(Articles!$E:$E,MATCH(B1408,Articles!$B:$B,0)),""))</f>
        <v/>
      </c>
      <c r="E1408" s="9" t="str">
        <f>IF(OR(C1408="",D1408=""),"",C1408*D1408)</f>
        <v/>
      </c>
      <c r="F1408" s="4"/>
      <c r="G1408" s="4"/>
      <c r="H1408" s="9" t="str">
        <f>IF(OR(B1408="",C1408=""),"",C1408*IFERROR(INDEX(Articles!$D:$D,MATCH(B1408,Articles!$B:$B,0)),0))</f>
        <v/>
      </c>
      <c r="I1408" s="9" t="str">
        <f>IF(OR(E1408="",H1408=""),"",E1408-H1408)</f>
        <v/>
      </c>
      <c r="J1408" s="4"/>
    </row>
    <row r="1409">
      <c r="A1409" s="7"/>
      <c r="B1409" s="4"/>
      <c r="C1409" s="6"/>
      <c r="D1409" s="5" t="str">
        <f>IF(B1409="","",IFERROR(INDEX(Articles!$E:$E,MATCH(B1409,Articles!$B:$B,0)),""))</f>
        <v/>
      </c>
      <c r="E1409" s="9" t="str">
        <f>IF(OR(C1409="",D1409=""),"",C1409*D1409)</f>
        <v/>
      </c>
      <c r="F1409" s="4"/>
      <c r="G1409" s="4"/>
      <c r="H1409" s="9" t="str">
        <f>IF(OR(B1409="",C1409=""),"",C1409*IFERROR(INDEX(Articles!$D:$D,MATCH(B1409,Articles!$B:$B,0)),0))</f>
        <v/>
      </c>
      <c r="I1409" s="9" t="str">
        <f>IF(OR(E1409="",H1409=""),"",E1409-H1409)</f>
        <v/>
      </c>
      <c r="J1409" s="4"/>
    </row>
    <row r="1410">
      <c r="A1410" s="7"/>
      <c r="B1410" s="4"/>
      <c r="C1410" s="6"/>
      <c r="D1410" s="5" t="str">
        <f>IF(B1410="","",IFERROR(INDEX(Articles!$E:$E,MATCH(B1410,Articles!$B:$B,0)),""))</f>
        <v/>
      </c>
      <c r="E1410" s="9" t="str">
        <f>IF(OR(C1410="",D1410=""),"",C1410*D1410)</f>
        <v/>
      </c>
      <c r="F1410" s="4"/>
      <c r="G1410" s="4"/>
      <c r="H1410" s="9" t="str">
        <f>IF(OR(B1410="",C1410=""),"",C1410*IFERROR(INDEX(Articles!$D:$D,MATCH(B1410,Articles!$B:$B,0)),0))</f>
        <v/>
      </c>
      <c r="I1410" s="9" t="str">
        <f>IF(OR(E1410="",H1410=""),"",E1410-H1410)</f>
        <v/>
      </c>
      <c r="J1410" s="4"/>
    </row>
    <row r="1411">
      <c r="A1411" s="7"/>
      <c r="B1411" s="4"/>
      <c r="C1411" s="6"/>
      <c r="D1411" s="5" t="str">
        <f>IF(B1411="","",IFERROR(INDEX(Articles!$E:$E,MATCH(B1411,Articles!$B:$B,0)),""))</f>
        <v/>
      </c>
      <c r="E1411" s="9" t="str">
        <f>IF(OR(C1411="",D1411=""),"",C1411*D1411)</f>
        <v/>
      </c>
      <c r="F1411" s="4"/>
      <c r="G1411" s="4"/>
      <c r="H1411" s="9" t="str">
        <f>IF(OR(B1411="",C1411=""),"",C1411*IFERROR(INDEX(Articles!$D:$D,MATCH(B1411,Articles!$B:$B,0)),0))</f>
        <v/>
      </c>
      <c r="I1411" s="9" t="str">
        <f>IF(OR(E1411="",H1411=""),"",E1411-H1411)</f>
        <v/>
      </c>
      <c r="J1411" s="4"/>
    </row>
    <row r="1412">
      <c r="A1412" s="7"/>
      <c r="B1412" s="4"/>
      <c r="C1412" s="6"/>
      <c r="D1412" s="5" t="str">
        <f>IF(B1412="","",IFERROR(INDEX(Articles!$E:$E,MATCH(B1412,Articles!$B:$B,0)),""))</f>
        <v/>
      </c>
      <c r="E1412" s="9" t="str">
        <f>IF(OR(C1412="",D1412=""),"",C1412*D1412)</f>
        <v/>
      </c>
      <c r="F1412" s="4"/>
      <c r="G1412" s="4"/>
      <c r="H1412" s="9" t="str">
        <f>IF(OR(B1412="",C1412=""),"",C1412*IFERROR(INDEX(Articles!$D:$D,MATCH(B1412,Articles!$B:$B,0)),0))</f>
        <v/>
      </c>
      <c r="I1412" s="9" t="str">
        <f>IF(OR(E1412="",H1412=""),"",E1412-H1412)</f>
        <v/>
      </c>
      <c r="J1412" s="4"/>
    </row>
    <row r="1413">
      <c r="A1413" s="7"/>
      <c r="B1413" s="4"/>
      <c r="C1413" s="6"/>
      <c r="D1413" s="5" t="str">
        <f>IF(B1413="","",IFERROR(INDEX(Articles!$E:$E,MATCH(B1413,Articles!$B:$B,0)),""))</f>
        <v/>
      </c>
      <c r="E1413" s="9" t="str">
        <f>IF(OR(C1413="",D1413=""),"",C1413*D1413)</f>
        <v/>
      </c>
      <c r="F1413" s="4"/>
      <c r="G1413" s="4"/>
      <c r="H1413" s="9" t="str">
        <f>IF(OR(B1413="",C1413=""),"",C1413*IFERROR(INDEX(Articles!$D:$D,MATCH(B1413,Articles!$B:$B,0)),0))</f>
        <v/>
      </c>
      <c r="I1413" s="9" t="str">
        <f>IF(OR(E1413="",H1413=""),"",E1413-H1413)</f>
        <v/>
      </c>
      <c r="J1413" s="4"/>
    </row>
    <row r="1414">
      <c r="A1414" s="7"/>
      <c r="B1414" s="4"/>
      <c r="C1414" s="6"/>
      <c r="D1414" s="5" t="str">
        <f>IF(B1414="","",IFERROR(INDEX(Articles!$E:$E,MATCH(B1414,Articles!$B:$B,0)),""))</f>
        <v/>
      </c>
      <c r="E1414" s="9" t="str">
        <f>IF(OR(C1414="",D1414=""),"",C1414*D1414)</f>
        <v/>
      </c>
      <c r="F1414" s="4"/>
      <c r="G1414" s="4"/>
      <c r="H1414" s="9" t="str">
        <f>IF(OR(B1414="",C1414=""),"",C1414*IFERROR(INDEX(Articles!$D:$D,MATCH(B1414,Articles!$B:$B,0)),0))</f>
        <v/>
      </c>
      <c r="I1414" s="9" t="str">
        <f>IF(OR(E1414="",H1414=""),"",E1414-H1414)</f>
        <v/>
      </c>
      <c r="J1414" s="4"/>
    </row>
    <row r="1415">
      <c r="A1415" s="7"/>
      <c r="B1415" s="4"/>
      <c r="C1415" s="6"/>
      <c r="D1415" s="5" t="str">
        <f>IF(B1415="","",IFERROR(INDEX(Articles!$E:$E,MATCH(B1415,Articles!$B:$B,0)),""))</f>
        <v/>
      </c>
      <c r="E1415" s="9" t="str">
        <f>IF(OR(C1415="",D1415=""),"",C1415*D1415)</f>
        <v/>
      </c>
      <c r="F1415" s="4"/>
      <c r="G1415" s="4"/>
      <c r="H1415" s="9" t="str">
        <f>IF(OR(B1415="",C1415=""),"",C1415*IFERROR(INDEX(Articles!$D:$D,MATCH(B1415,Articles!$B:$B,0)),0))</f>
        <v/>
      </c>
      <c r="I1415" s="9" t="str">
        <f>IF(OR(E1415="",H1415=""),"",E1415-H1415)</f>
        <v/>
      </c>
      <c r="J1415" s="4"/>
    </row>
    <row r="1416">
      <c r="A1416" s="7"/>
      <c r="B1416" s="4"/>
      <c r="C1416" s="6"/>
      <c r="D1416" s="5" t="str">
        <f>IF(B1416="","",IFERROR(INDEX(Articles!$E:$E,MATCH(B1416,Articles!$B:$B,0)),""))</f>
        <v/>
      </c>
      <c r="E1416" s="9" t="str">
        <f>IF(OR(C1416="",D1416=""),"",C1416*D1416)</f>
        <v/>
      </c>
      <c r="F1416" s="4"/>
      <c r="G1416" s="4"/>
      <c r="H1416" s="9" t="str">
        <f>IF(OR(B1416="",C1416=""),"",C1416*IFERROR(INDEX(Articles!$D:$D,MATCH(B1416,Articles!$B:$B,0)),0))</f>
        <v/>
      </c>
      <c r="I1416" s="9" t="str">
        <f>IF(OR(E1416="",H1416=""),"",E1416-H1416)</f>
        <v/>
      </c>
      <c r="J1416" s="4"/>
    </row>
    <row r="1417">
      <c r="A1417" s="7"/>
      <c r="B1417" s="4"/>
      <c r="C1417" s="6"/>
      <c r="D1417" s="5" t="str">
        <f>IF(B1417="","",IFERROR(INDEX(Articles!$E:$E,MATCH(B1417,Articles!$B:$B,0)),""))</f>
        <v/>
      </c>
      <c r="E1417" s="9" t="str">
        <f>IF(OR(C1417="",D1417=""),"",C1417*D1417)</f>
        <v/>
      </c>
      <c r="F1417" s="4"/>
      <c r="G1417" s="4"/>
      <c r="H1417" s="9" t="str">
        <f>IF(OR(B1417="",C1417=""),"",C1417*IFERROR(INDEX(Articles!$D:$D,MATCH(B1417,Articles!$B:$B,0)),0))</f>
        <v/>
      </c>
      <c r="I1417" s="9" t="str">
        <f>IF(OR(E1417="",H1417=""),"",E1417-H1417)</f>
        <v/>
      </c>
      <c r="J1417" s="4"/>
    </row>
    <row r="1418">
      <c r="A1418" s="7"/>
      <c r="B1418" s="4"/>
      <c r="C1418" s="6"/>
      <c r="D1418" s="5" t="str">
        <f>IF(B1418="","",IFERROR(INDEX(Articles!$E:$E,MATCH(B1418,Articles!$B:$B,0)),""))</f>
        <v/>
      </c>
      <c r="E1418" s="9" t="str">
        <f>IF(OR(C1418="",D1418=""),"",C1418*D1418)</f>
        <v/>
      </c>
      <c r="F1418" s="4"/>
      <c r="G1418" s="4"/>
      <c r="H1418" s="9" t="str">
        <f>IF(OR(B1418="",C1418=""),"",C1418*IFERROR(INDEX(Articles!$D:$D,MATCH(B1418,Articles!$B:$B,0)),0))</f>
        <v/>
      </c>
      <c r="I1418" s="9" t="str">
        <f>IF(OR(E1418="",H1418=""),"",E1418-H1418)</f>
        <v/>
      </c>
      <c r="J1418" s="4"/>
    </row>
    <row r="1419">
      <c r="A1419" s="7"/>
      <c r="B1419" s="4"/>
      <c r="C1419" s="6"/>
      <c r="D1419" s="5" t="str">
        <f>IF(B1419="","",IFERROR(INDEX(Articles!$E:$E,MATCH(B1419,Articles!$B:$B,0)),""))</f>
        <v/>
      </c>
      <c r="E1419" s="9" t="str">
        <f>IF(OR(C1419="",D1419=""),"",C1419*D1419)</f>
        <v/>
      </c>
      <c r="F1419" s="4"/>
      <c r="G1419" s="4"/>
      <c r="H1419" s="9" t="str">
        <f>IF(OR(B1419="",C1419=""),"",C1419*IFERROR(INDEX(Articles!$D:$D,MATCH(B1419,Articles!$B:$B,0)),0))</f>
        <v/>
      </c>
      <c r="I1419" s="9" t="str">
        <f>IF(OR(E1419="",H1419=""),"",E1419-H1419)</f>
        <v/>
      </c>
      <c r="J1419" s="4"/>
    </row>
    <row r="1420">
      <c r="A1420" s="7"/>
      <c r="B1420" s="4"/>
      <c r="C1420" s="6"/>
      <c r="D1420" s="5" t="str">
        <f>IF(B1420="","",IFERROR(INDEX(Articles!$E:$E,MATCH(B1420,Articles!$B:$B,0)),""))</f>
        <v/>
      </c>
      <c r="E1420" s="9" t="str">
        <f>IF(OR(C1420="",D1420=""),"",C1420*D1420)</f>
        <v/>
      </c>
      <c r="F1420" s="4"/>
      <c r="G1420" s="4"/>
      <c r="H1420" s="9" t="str">
        <f>IF(OR(B1420="",C1420=""),"",C1420*IFERROR(INDEX(Articles!$D:$D,MATCH(B1420,Articles!$B:$B,0)),0))</f>
        <v/>
      </c>
      <c r="I1420" s="9" t="str">
        <f>IF(OR(E1420="",H1420=""),"",E1420-H1420)</f>
        <v/>
      </c>
      <c r="J1420" s="4"/>
    </row>
    <row r="1421">
      <c r="A1421" s="7"/>
      <c r="B1421" s="4"/>
      <c r="C1421" s="6"/>
      <c r="D1421" s="5" t="str">
        <f>IF(B1421="","",IFERROR(INDEX(Articles!$E:$E,MATCH(B1421,Articles!$B:$B,0)),""))</f>
        <v/>
      </c>
      <c r="E1421" s="9" t="str">
        <f>IF(OR(C1421="",D1421=""),"",C1421*D1421)</f>
        <v/>
      </c>
      <c r="F1421" s="4"/>
      <c r="G1421" s="4"/>
      <c r="H1421" s="9" t="str">
        <f>IF(OR(B1421="",C1421=""),"",C1421*IFERROR(INDEX(Articles!$D:$D,MATCH(B1421,Articles!$B:$B,0)),0))</f>
        <v/>
      </c>
      <c r="I1421" s="9" t="str">
        <f>IF(OR(E1421="",H1421=""),"",E1421-H1421)</f>
        <v/>
      </c>
      <c r="J1421" s="4"/>
    </row>
    <row r="1422">
      <c r="A1422" s="7"/>
      <c r="B1422" s="4"/>
      <c r="C1422" s="6"/>
      <c r="D1422" s="5" t="str">
        <f>IF(B1422="","",IFERROR(INDEX(Articles!$E:$E,MATCH(B1422,Articles!$B:$B,0)),""))</f>
        <v/>
      </c>
      <c r="E1422" s="9" t="str">
        <f>IF(OR(C1422="",D1422=""),"",C1422*D1422)</f>
        <v/>
      </c>
      <c r="F1422" s="4"/>
      <c r="G1422" s="4"/>
      <c r="H1422" s="9" t="str">
        <f>IF(OR(B1422="",C1422=""),"",C1422*IFERROR(INDEX(Articles!$D:$D,MATCH(B1422,Articles!$B:$B,0)),0))</f>
        <v/>
      </c>
      <c r="I1422" s="9" t="str">
        <f>IF(OR(E1422="",H1422=""),"",E1422-H1422)</f>
        <v/>
      </c>
      <c r="J1422" s="4"/>
    </row>
    <row r="1423">
      <c r="A1423" s="7"/>
      <c r="B1423" s="4"/>
      <c r="C1423" s="6"/>
      <c r="D1423" s="5" t="str">
        <f>IF(B1423="","",IFERROR(INDEX(Articles!$E:$E,MATCH(B1423,Articles!$B:$B,0)),""))</f>
        <v/>
      </c>
      <c r="E1423" s="9" t="str">
        <f>IF(OR(C1423="",D1423=""),"",C1423*D1423)</f>
        <v/>
      </c>
      <c r="F1423" s="4"/>
      <c r="G1423" s="4"/>
      <c r="H1423" s="9" t="str">
        <f>IF(OR(B1423="",C1423=""),"",C1423*IFERROR(INDEX(Articles!$D:$D,MATCH(B1423,Articles!$B:$B,0)),0))</f>
        <v/>
      </c>
      <c r="I1423" s="9" t="str">
        <f>IF(OR(E1423="",H1423=""),"",E1423-H1423)</f>
        <v/>
      </c>
      <c r="J1423" s="4"/>
    </row>
    <row r="1424">
      <c r="A1424" s="7"/>
      <c r="B1424" s="4"/>
      <c r="C1424" s="6"/>
      <c r="D1424" s="5" t="str">
        <f>IF(B1424="","",IFERROR(INDEX(Articles!$E:$E,MATCH(B1424,Articles!$B:$B,0)),""))</f>
        <v/>
      </c>
      <c r="E1424" s="9" t="str">
        <f>IF(OR(C1424="",D1424=""),"",C1424*D1424)</f>
        <v/>
      </c>
      <c r="F1424" s="4"/>
      <c r="G1424" s="4"/>
      <c r="H1424" s="9" t="str">
        <f>IF(OR(B1424="",C1424=""),"",C1424*IFERROR(INDEX(Articles!$D:$D,MATCH(B1424,Articles!$B:$B,0)),0))</f>
        <v/>
      </c>
      <c r="I1424" s="9" t="str">
        <f>IF(OR(E1424="",H1424=""),"",E1424-H1424)</f>
        <v/>
      </c>
      <c r="J1424" s="4"/>
    </row>
    <row r="1425">
      <c r="A1425" s="7"/>
      <c r="B1425" s="4"/>
      <c r="C1425" s="6"/>
      <c r="D1425" s="5" t="str">
        <f>IF(B1425="","",IFERROR(INDEX(Articles!$E:$E,MATCH(B1425,Articles!$B:$B,0)),""))</f>
        <v/>
      </c>
      <c r="E1425" s="9" t="str">
        <f>IF(OR(C1425="",D1425=""),"",C1425*D1425)</f>
        <v/>
      </c>
      <c r="F1425" s="4"/>
      <c r="G1425" s="4"/>
      <c r="H1425" s="9" t="str">
        <f>IF(OR(B1425="",C1425=""),"",C1425*IFERROR(INDEX(Articles!$D:$D,MATCH(B1425,Articles!$B:$B,0)),0))</f>
        <v/>
      </c>
      <c r="I1425" s="9" t="str">
        <f>IF(OR(E1425="",H1425=""),"",E1425-H1425)</f>
        <v/>
      </c>
      <c r="J1425" s="4"/>
    </row>
    <row r="1426">
      <c r="A1426" s="7"/>
      <c r="B1426" s="4"/>
      <c r="C1426" s="6"/>
      <c r="D1426" s="5" t="str">
        <f>IF(B1426="","",IFERROR(INDEX(Articles!$E:$E,MATCH(B1426,Articles!$B:$B,0)),""))</f>
        <v/>
      </c>
      <c r="E1426" s="9" t="str">
        <f>IF(OR(C1426="",D1426=""),"",C1426*D1426)</f>
        <v/>
      </c>
      <c r="F1426" s="4"/>
      <c r="G1426" s="4"/>
      <c r="H1426" s="9" t="str">
        <f>IF(OR(B1426="",C1426=""),"",C1426*IFERROR(INDEX(Articles!$D:$D,MATCH(B1426,Articles!$B:$B,0)),0))</f>
        <v/>
      </c>
      <c r="I1426" s="9" t="str">
        <f>IF(OR(E1426="",H1426=""),"",E1426-H1426)</f>
        <v/>
      </c>
      <c r="J1426" s="4"/>
    </row>
    <row r="1427">
      <c r="A1427" s="7"/>
      <c r="B1427" s="4"/>
      <c r="C1427" s="6"/>
      <c r="D1427" s="5" t="str">
        <f>IF(B1427="","",IFERROR(INDEX(Articles!$E:$E,MATCH(B1427,Articles!$B:$B,0)),""))</f>
        <v/>
      </c>
      <c r="E1427" s="9" t="str">
        <f>IF(OR(C1427="",D1427=""),"",C1427*D1427)</f>
        <v/>
      </c>
      <c r="F1427" s="4"/>
      <c r="G1427" s="4"/>
      <c r="H1427" s="9" t="str">
        <f>IF(OR(B1427="",C1427=""),"",C1427*IFERROR(INDEX(Articles!$D:$D,MATCH(B1427,Articles!$B:$B,0)),0))</f>
        <v/>
      </c>
      <c r="I1427" s="9" t="str">
        <f>IF(OR(E1427="",H1427=""),"",E1427-H1427)</f>
        <v/>
      </c>
      <c r="J1427" s="4"/>
    </row>
    <row r="1428">
      <c r="A1428" s="7"/>
      <c r="B1428" s="4"/>
      <c r="C1428" s="6"/>
      <c r="D1428" s="5" t="str">
        <f>IF(B1428="","",IFERROR(INDEX(Articles!$E:$E,MATCH(B1428,Articles!$B:$B,0)),""))</f>
        <v/>
      </c>
      <c r="E1428" s="9" t="str">
        <f>IF(OR(C1428="",D1428=""),"",C1428*D1428)</f>
        <v/>
      </c>
      <c r="F1428" s="4"/>
      <c r="G1428" s="4"/>
      <c r="H1428" s="9" t="str">
        <f>IF(OR(B1428="",C1428=""),"",C1428*IFERROR(INDEX(Articles!$D:$D,MATCH(B1428,Articles!$B:$B,0)),0))</f>
        <v/>
      </c>
      <c r="I1428" s="9" t="str">
        <f>IF(OR(E1428="",H1428=""),"",E1428-H1428)</f>
        <v/>
      </c>
      <c r="J1428" s="4"/>
    </row>
    <row r="1429">
      <c r="A1429" s="7"/>
      <c r="B1429" s="4"/>
      <c r="C1429" s="6"/>
      <c r="D1429" s="5" t="str">
        <f>IF(B1429="","",IFERROR(INDEX(Articles!$E:$E,MATCH(B1429,Articles!$B:$B,0)),""))</f>
        <v/>
      </c>
      <c r="E1429" s="9" t="str">
        <f>IF(OR(C1429="",D1429=""),"",C1429*D1429)</f>
        <v/>
      </c>
      <c r="F1429" s="4"/>
      <c r="G1429" s="4"/>
      <c r="H1429" s="9" t="str">
        <f>IF(OR(B1429="",C1429=""),"",C1429*IFERROR(INDEX(Articles!$D:$D,MATCH(B1429,Articles!$B:$B,0)),0))</f>
        <v/>
      </c>
      <c r="I1429" s="9" t="str">
        <f>IF(OR(E1429="",H1429=""),"",E1429-H1429)</f>
        <v/>
      </c>
      <c r="J1429" s="4"/>
    </row>
    <row r="1430">
      <c r="A1430" s="7"/>
      <c r="B1430" s="4"/>
      <c r="C1430" s="6"/>
      <c r="D1430" s="5" t="str">
        <f>IF(B1430="","",IFERROR(INDEX(Articles!$E:$E,MATCH(B1430,Articles!$B:$B,0)),""))</f>
        <v/>
      </c>
      <c r="E1430" s="9" t="str">
        <f>IF(OR(C1430="",D1430=""),"",C1430*D1430)</f>
        <v/>
      </c>
      <c r="F1430" s="4"/>
      <c r="G1430" s="4"/>
      <c r="H1430" s="9" t="str">
        <f>IF(OR(B1430="",C1430=""),"",C1430*IFERROR(INDEX(Articles!$D:$D,MATCH(B1430,Articles!$B:$B,0)),0))</f>
        <v/>
      </c>
      <c r="I1430" s="9" t="str">
        <f>IF(OR(E1430="",H1430=""),"",E1430-H1430)</f>
        <v/>
      </c>
      <c r="J1430" s="4"/>
    </row>
    <row r="1431">
      <c r="A1431" s="7"/>
      <c r="B1431" s="4"/>
      <c r="C1431" s="6"/>
      <c r="D1431" s="5" t="str">
        <f>IF(B1431="","",IFERROR(INDEX(Articles!$E:$E,MATCH(B1431,Articles!$B:$B,0)),""))</f>
        <v/>
      </c>
      <c r="E1431" s="9" t="str">
        <f>IF(OR(C1431="",D1431=""),"",C1431*D1431)</f>
        <v/>
      </c>
      <c r="F1431" s="4"/>
      <c r="G1431" s="4"/>
      <c r="H1431" s="9" t="str">
        <f>IF(OR(B1431="",C1431=""),"",C1431*IFERROR(INDEX(Articles!$D:$D,MATCH(B1431,Articles!$B:$B,0)),0))</f>
        <v/>
      </c>
      <c r="I1431" s="9" t="str">
        <f>IF(OR(E1431="",H1431=""),"",E1431-H1431)</f>
        <v/>
      </c>
      <c r="J1431" s="4"/>
    </row>
    <row r="1432">
      <c r="A1432" s="7"/>
      <c r="B1432" s="4"/>
      <c r="C1432" s="6"/>
      <c r="D1432" s="5" t="str">
        <f>IF(B1432="","",IFERROR(INDEX(Articles!$E:$E,MATCH(B1432,Articles!$B:$B,0)),""))</f>
        <v/>
      </c>
      <c r="E1432" s="9" t="str">
        <f>IF(OR(C1432="",D1432=""),"",C1432*D1432)</f>
        <v/>
      </c>
      <c r="F1432" s="4"/>
      <c r="G1432" s="4"/>
      <c r="H1432" s="9" t="str">
        <f>IF(OR(B1432="",C1432=""),"",C1432*IFERROR(INDEX(Articles!$D:$D,MATCH(B1432,Articles!$B:$B,0)),0))</f>
        <v/>
      </c>
      <c r="I1432" s="9" t="str">
        <f>IF(OR(E1432="",H1432=""),"",E1432-H1432)</f>
        <v/>
      </c>
      <c r="J1432" s="4"/>
    </row>
    <row r="1433">
      <c r="A1433" s="7"/>
      <c r="B1433" s="4"/>
      <c r="C1433" s="6"/>
      <c r="D1433" s="5" t="str">
        <f>IF(B1433="","",IFERROR(INDEX(Articles!$E:$E,MATCH(B1433,Articles!$B:$B,0)),""))</f>
        <v/>
      </c>
      <c r="E1433" s="9" t="str">
        <f>IF(OR(C1433="",D1433=""),"",C1433*D1433)</f>
        <v/>
      </c>
      <c r="F1433" s="4"/>
      <c r="G1433" s="4"/>
      <c r="H1433" s="9" t="str">
        <f>IF(OR(B1433="",C1433=""),"",C1433*IFERROR(INDEX(Articles!$D:$D,MATCH(B1433,Articles!$B:$B,0)),0))</f>
        <v/>
      </c>
      <c r="I1433" s="9" t="str">
        <f>IF(OR(E1433="",H1433=""),"",E1433-H1433)</f>
        <v/>
      </c>
      <c r="J1433" s="4"/>
    </row>
    <row r="1434">
      <c r="A1434" s="7"/>
      <c r="B1434" s="4"/>
      <c r="C1434" s="6"/>
      <c r="D1434" s="5" t="str">
        <f>IF(B1434="","",IFERROR(INDEX(Articles!$E:$E,MATCH(B1434,Articles!$B:$B,0)),""))</f>
        <v/>
      </c>
      <c r="E1434" s="9" t="str">
        <f>IF(OR(C1434="",D1434=""),"",C1434*D1434)</f>
        <v/>
      </c>
      <c r="F1434" s="4"/>
      <c r="G1434" s="4"/>
      <c r="H1434" s="9" t="str">
        <f>IF(OR(B1434="",C1434=""),"",C1434*IFERROR(INDEX(Articles!$D:$D,MATCH(B1434,Articles!$B:$B,0)),0))</f>
        <v/>
      </c>
      <c r="I1434" s="9" t="str">
        <f>IF(OR(E1434="",H1434=""),"",E1434-H1434)</f>
        <v/>
      </c>
      <c r="J1434" s="4"/>
    </row>
    <row r="1435">
      <c r="A1435" s="7"/>
      <c r="B1435" s="4"/>
      <c r="C1435" s="6"/>
      <c r="D1435" s="5" t="str">
        <f>IF(B1435="","",IFERROR(INDEX(Articles!$E:$E,MATCH(B1435,Articles!$B:$B,0)),""))</f>
        <v/>
      </c>
      <c r="E1435" s="9" t="str">
        <f>IF(OR(C1435="",D1435=""),"",C1435*D1435)</f>
        <v/>
      </c>
      <c r="F1435" s="4"/>
      <c r="G1435" s="4"/>
      <c r="H1435" s="9" t="str">
        <f>IF(OR(B1435="",C1435=""),"",C1435*IFERROR(INDEX(Articles!$D:$D,MATCH(B1435,Articles!$B:$B,0)),0))</f>
        <v/>
      </c>
      <c r="I1435" s="9" t="str">
        <f>IF(OR(E1435="",H1435=""),"",E1435-H1435)</f>
        <v/>
      </c>
      <c r="J1435" s="4"/>
    </row>
    <row r="1436">
      <c r="A1436" s="7"/>
      <c r="B1436" s="4"/>
      <c r="C1436" s="6"/>
      <c r="D1436" s="5" t="str">
        <f>IF(B1436="","",IFERROR(INDEX(Articles!$E:$E,MATCH(B1436,Articles!$B:$B,0)),""))</f>
        <v/>
      </c>
      <c r="E1436" s="9" t="str">
        <f>IF(OR(C1436="",D1436=""),"",C1436*D1436)</f>
        <v/>
      </c>
      <c r="F1436" s="4"/>
      <c r="G1436" s="4"/>
      <c r="H1436" s="9" t="str">
        <f>IF(OR(B1436="",C1436=""),"",C1436*IFERROR(INDEX(Articles!$D:$D,MATCH(B1436,Articles!$B:$B,0)),0))</f>
        <v/>
      </c>
      <c r="I1436" s="9" t="str">
        <f>IF(OR(E1436="",H1436=""),"",E1436-H1436)</f>
        <v/>
      </c>
      <c r="J1436" s="4"/>
    </row>
    <row r="1437">
      <c r="A1437" s="7"/>
      <c r="B1437" s="4"/>
      <c r="C1437" s="6"/>
      <c r="D1437" s="5" t="str">
        <f>IF(B1437="","",IFERROR(INDEX(Articles!$E:$E,MATCH(B1437,Articles!$B:$B,0)),""))</f>
        <v/>
      </c>
      <c r="E1437" s="9" t="str">
        <f>IF(OR(C1437="",D1437=""),"",C1437*D1437)</f>
        <v/>
      </c>
      <c r="F1437" s="4"/>
      <c r="G1437" s="4"/>
      <c r="H1437" s="9" t="str">
        <f>IF(OR(B1437="",C1437=""),"",C1437*IFERROR(INDEX(Articles!$D:$D,MATCH(B1437,Articles!$B:$B,0)),0))</f>
        <v/>
      </c>
      <c r="I1437" s="9" t="str">
        <f>IF(OR(E1437="",H1437=""),"",E1437-H1437)</f>
        <v/>
      </c>
      <c r="J1437" s="4"/>
    </row>
    <row r="1438">
      <c r="A1438" s="7"/>
      <c r="B1438" s="4"/>
      <c r="C1438" s="6"/>
      <c r="D1438" s="5" t="str">
        <f>IF(B1438="","",IFERROR(INDEX(Articles!$E:$E,MATCH(B1438,Articles!$B:$B,0)),""))</f>
        <v/>
      </c>
      <c r="E1438" s="9" t="str">
        <f>IF(OR(C1438="",D1438=""),"",C1438*D1438)</f>
        <v/>
      </c>
      <c r="F1438" s="4"/>
      <c r="G1438" s="4"/>
      <c r="H1438" s="9" t="str">
        <f>IF(OR(B1438="",C1438=""),"",C1438*IFERROR(INDEX(Articles!$D:$D,MATCH(B1438,Articles!$B:$B,0)),0))</f>
        <v/>
      </c>
      <c r="I1438" s="9" t="str">
        <f>IF(OR(E1438="",H1438=""),"",E1438-H1438)</f>
        <v/>
      </c>
      <c r="J1438" s="4"/>
    </row>
    <row r="1439">
      <c r="A1439" s="7"/>
      <c r="B1439" s="4"/>
      <c r="C1439" s="6"/>
      <c r="D1439" s="5" t="str">
        <f>IF(B1439="","",IFERROR(INDEX(Articles!$E:$E,MATCH(B1439,Articles!$B:$B,0)),""))</f>
        <v/>
      </c>
      <c r="E1439" s="9" t="str">
        <f>IF(OR(C1439="",D1439=""),"",C1439*D1439)</f>
        <v/>
      </c>
      <c r="F1439" s="4"/>
      <c r="G1439" s="4"/>
      <c r="H1439" s="9" t="str">
        <f>IF(OR(B1439="",C1439=""),"",C1439*IFERROR(INDEX(Articles!$D:$D,MATCH(B1439,Articles!$B:$B,0)),0))</f>
        <v/>
      </c>
      <c r="I1439" s="9" t="str">
        <f>IF(OR(E1439="",H1439=""),"",E1439-H1439)</f>
        <v/>
      </c>
      <c r="J1439" s="4"/>
    </row>
    <row r="1440">
      <c r="A1440" s="7"/>
      <c r="B1440" s="4"/>
      <c r="C1440" s="6"/>
      <c r="D1440" s="5" t="str">
        <f>IF(B1440="","",IFERROR(INDEX(Articles!$E:$E,MATCH(B1440,Articles!$B:$B,0)),""))</f>
        <v/>
      </c>
      <c r="E1440" s="9" t="str">
        <f>IF(OR(C1440="",D1440=""),"",C1440*D1440)</f>
        <v/>
      </c>
      <c r="F1440" s="4"/>
      <c r="G1440" s="4"/>
      <c r="H1440" s="9" t="str">
        <f>IF(OR(B1440="",C1440=""),"",C1440*IFERROR(INDEX(Articles!$D:$D,MATCH(B1440,Articles!$B:$B,0)),0))</f>
        <v/>
      </c>
      <c r="I1440" s="9" t="str">
        <f>IF(OR(E1440="",H1440=""),"",E1440-H1440)</f>
        <v/>
      </c>
      <c r="J1440" s="4"/>
    </row>
    <row r="1441">
      <c r="A1441" s="7"/>
      <c r="B1441" s="4"/>
      <c r="C1441" s="6"/>
      <c r="D1441" s="5" t="str">
        <f>IF(B1441="","",IFERROR(INDEX(Articles!$E:$E,MATCH(B1441,Articles!$B:$B,0)),""))</f>
        <v/>
      </c>
      <c r="E1441" s="9" t="str">
        <f>IF(OR(C1441="",D1441=""),"",C1441*D1441)</f>
        <v/>
      </c>
      <c r="F1441" s="4"/>
      <c r="G1441" s="4"/>
      <c r="H1441" s="9" t="str">
        <f>IF(OR(B1441="",C1441=""),"",C1441*IFERROR(INDEX(Articles!$D:$D,MATCH(B1441,Articles!$B:$B,0)),0))</f>
        <v/>
      </c>
      <c r="I1441" s="9" t="str">
        <f>IF(OR(E1441="",H1441=""),"",E1441-H1441)</f>
        <v/>
      </c>
      <c r="J1441" s="4"/>
    </row>
    <row r="1442">
      <c r="A1442" s="7"/>
      <c r="B1442" s="4"/>
      <c r="C1442" s="6"/>
      <c r="D1442" s="5" t="str">
        <f>IF(B1442="","",IFERROR(INDEX(Articles!$E:$E,MATCH(B1442,Articles!$B:$B,0)),""))</f>
        <v/>
      </c>
      <c r="E1442" s="9" t="str">
        <f>IF(OR(C1442="",D1442=""),"",C1442*D1442)</f>
        <v/>
      </c>
      <c r="F1442" s="4"/>
      <c r="G1442" s="4"/>
      <c r="H1442" s="9" t="str">
        <f>IF(OR(B1442="",C1442=""),"",C1442*IFERROR(INDEX(Articles!$D:$D,MATCH(B1442,Articles!$B:$B,0)),0))</f>
        <v/>
      </c>
      <c r="I1442" s="9" t="str">
        <f>IF(OR(E1442="",H1442=""),"",E1442-H1442)</f>
        <v/>
      </c>
      <c r="J1442" s="4"/>
    </row>
    <row r="1443">
      <c r="A1443" s="7"/>
      <c r="B1443" s="4"/>
      <c r="C1443" s="6"/>
      <c r="D1443" s="5" t="str">
        <f>IF(B1443="","",IFERROR(INDEX(Articles!$E:$E,MATCH(B1443,Articles!$B:$B,0)),""))</f>
        <v/>
      </c>
      <c r="E1443" s="9" t="str">
        <f>IF(OR(C1443="",D1443=""),"",C1443*D1443)</f>
        <v/>
      </c>
      <c r="F1443" s="4"/>
      <c r="G1443" s="4"/>
      <c r="H1443" s="9" t="str">
        <f>IF(OR(B1443="",C1443=""),"",C1443*IFERROR(INDEX(Articles!$D:$D,MATCH(B1443,Articles!$B:$B,0)),0))</f>
        <v/>
      </c>
      <c r="I1443" s="9" t="str">
        <f>IF(OR(E1443="",H1443=""),"",E1443-H1443)</f>
        <v/>
      </c>
      <c r="J1443" s="4"/>
    </row>
    <row r="1444">
      <c r="A1444" s="7"/>
      <c r="B1444" s="4"/>
      <c r="C1444" s="6"/>
      <c r="D1444" s="5" t="str">
        <f>IF(B1444="","",IFERROR(INDEX(Articles!$E:$E,MATCH(B1444,Articles!$B:$B,0)),""))</f>
        <v/>
      </c>
      <c r="E1444" s="9" t="str">
        <f>IF(OR(C1444="",D1444=""),"",C1444*D1444)</f>
        <v/>
      </c>
      <c r="F1444" s="4"/>
      <c r="G1444" s="4"/>
      <c r="H1444" s="9" t="str">
        <f>IF(OR(B1444="",C1444=""),"",C1444*IFERROR(INDEX(Articles!$D:$D,MATCH(B1444,Articles!$B:$B,0)),0))</f>
        <v/>
      </c>
      <c r="I1444" s="9" t="str">
        <f>IF(OR(E1444="",H1444=""),"",E1444-H1444)</f>
        <v/>
      </c>
      <c r="J1444" s="4"/>
    </row>
    <row r="1445">
      <c r="A1445" s="7"/>
      <c r="B1445" s="4"/>
      <c r="C1445" s="6"/>
      <c r="D1445" s="5" t="str">
        <f>IF(B1445="","",IFERROR(INDEX(Articles!$E:$E,MATCH(B1445,Articles!$B:$B,0)),""))</f>
        <v/>
      </c>
      <c r="E1445" s="9" t="str">
        <f>IF(OR(C1445="",D1445=""),"",C1445*D1445)</f>
        <v/>
      </c>
      <c r="F1445" s="4"/>
      <c r="G1445" s="4"/>
      <c r="H1445" s="9" t="str">
        <f>IF(OR(B1445="",C1445=""),"",C1445*IFERROR(INDEX(Articles!$D:$D,MATCH(B1445,Articles!$B:$B,0)),0))</f>
        <v/>
      </c>
      <c r="I1445" s="9" t="str">
        <f>IF(OR(E1445="",H1445=""),"",E1445-H1445)</f>
        <v/>
      </c>
      <c r="J1445" s="4"/>
    </row>
    <row r="1446">
      <c r="A1446" s="7"/>
      <c r="B1446" s="4"/>
      <c r="C1446" s="6"/>
      <c r="D1446" s="5" t="str">
        <f>IF(B1446="","",IFERROR(INDEX(Articles!$E:$E,MATCH(B1446,Articles!$B:$B,0)),""))</f>
        <v/>
      </c>
      <c r="E1446" s="9" t="str">
        <f>IF(OR(C1446="",D1446=""),"",C1446*D1446)</f>
        <v/>
      </c>
      <c r="F1446" s="4"/>
      <c r="G1446" s="4"/>
      <c r="H1446" s="9" t="str">
        <f>IF(OR(B1446="",C1446=""),"",C1446*IFERROR(INDEX(Articles!$D:$D,MATCH(B1446,Articles!$B:$B,0)),0))</f>
        <v/>
      </c>
      <c r="I1446" s="9" t="str">
        <f>IF(OR(E1446="",H1446=""),"",E1446-H1446)</f>
        <v/>
      </c>
      <c r="J1446" s="4"/>
    </row>
    <row r="1447">
      <c r="A1447" s="7"/>
      <c r="B1447" s="4"/>
      <c r="C1447" s="6"/>
      <c r="D1447" s="5" t="str">
        <f>IF(B1447="","",IFERROR(INDEX(Articles!$E:$E,MATCH(B1447,Articles!$B:$B,0)),""))</f>
        <v/>
      </c>
      <c r="E1447" s="9" t="str">
        <f>IF(OR(C1447="",D1447=""),"",C1447*D1447)</f>
        <v/>
      </c>
      <c r="F1447" s="4"/>
      <c r="G1447" s="4"/>
      <c r="H1447" s="9" t="str">
        <f>IF(OR(B1447="",C1447=""),"",C1447*IFERROR(INDEX(Articles!$D:$D,MATCH(B1447,Articles!$B:$B,0)),0))</f>
        <v/>
      </c>
      <c r="I1447" s="9" t="str">
        <f>IF(OR(E1447="",H1447=""),"",E1447-H1447)</f>
        <v/>
      </c>
      <c r="J1447" s="4"/>
    </row>
    <row r="1448">
      <c r="A1448" s="7"/>
      <c r="B1448" s="4"/>
      <c r="C1448" s="6"/>
      <c r="D1448" s="5" t="str">
        <f>IF(B1448="","",IFERROR(INDEX(Articles!$E:$E,MATCH(B1448,Articles!$B:$B,0)),""))</f>
        <v/>
      </c>
      <c r="E1448" s="9" t="str">
        <f>IF(OR(C1448="",D1448=""),"",C1448*D1448)</f>
        <v/>
      </c>
      <c r="F1448" s="4"/>
      <c r="G1448" s="4"/>
      <c r="H1448" s="9" t="str">
        <f>IF(OR(B1448="",C1448=""),"",C1448*IFERROR(INDEX(Articles!$D:$D,MATCH(B1448,Articles!$B:$B,0)),0))</f>
        <v/>
      </c>
      <c r="I1448" s="9" t="str">
        <f>IF(OR(E1448="",H1448=""),"",E1448-H1448)</f>
        <v/>
      </c>
      <c r="J1448" s="4"/>
    </row>
    <row r="1449">
      <c r="A1449" s="7"/>
      <c r="B1449" s="4"/>
      <c r="C1449" s="6"/>
      <c r="D1449" s="5" t="str">
        <f>IF(B1449="","",IFERROR(INDEX(Articles!$E:$E,MATCH(B1449,Articles!$B:$B,0)),""))</f>
        <v/>
      </c>
      <c r="E1449" s="9" t="str">
        <f>IF(OR(C1449="",D1449=""),"",C1449*D1449)</f>
        <v/>
      </c>
      <c r="F1449" s="4"/>
      <c r="G1449" s="4"/>
      <c r="H1449" s="9" t="str">
        <f>IF(OR(B1449="",C1449=""),"",C1449*IFERROR(INDEX(Articles!$D:$D,MATCH(B1449,Articles!$B:$B,0)),0))</f>
        <v/>
      </c>
      <c r="I1449" s="9" t="str">
        <f>IF(OR(E1449="",H1449=""),"",E1449-H1449)</f>
        <v/>
      </c>
      <c r="J1449" s="4"/>
    </row>
    <row r="1450">
      <c r="A1450" s="7"/>
      <c r="B1450" s="4"/>
      <c r="C1450" s="6"/>
      <c r="D1450" s="5" t="str">
        <f>IF(B1450="","",IFERROR(INDEX(Articles!$E:$E,MATCH(B1450,Articles!$B:$B,0)),""))</f>
        <v/>
      </c>
      <c r="E1450" s="9" t="str">
        <f>IF(OR(C1450="",D1450=""),"",C1450*D1450)</f>
        <v/>
      </c>
      <c r="F1450" s="4"/>
      <c r="G1450" s="4"/>
      <c r="H1450" s="9" t="str">
        <f>IF(OR(B1450="",C1450=""),"",C1450*IFERROR(INDEX(Articles!$D:$D,MATCH(B1450,Articles!$B:$B,0)),0))</f>
        <v/>
      </c>
      <c r="I1450" s="9" t="str">
        <f>IF(OR(E1450="",H1450=""),"",E1450-H1450)</f>
        <v/>
      </c>
      <c r="J1450" s="4"/>
    </row>
    <row r="1451">
      <c r="A1451" s="7"/>
      <c r="B1451" s="4"/>
      <c r="C1451" s="6"/>
      <c r="D1451" s="5" t="str">
        <f>IF(B1451="","",IFERROR(INDEX(Articles!$E:$E,MATCH(B1451,Articles!$B:$B,0)),""))</f>
        <v/>
      </c>
      <c r="E1451" s="9" t="str">
        <f>IF(OR(C1451="",D1451=""),"",C1451*D1451)</f>
        <v/>
      </c>
      <c r="F1451" s="4"/>
      <c r="G1451" s="4"/>
      <c r="H1451" s="9" t="str">
        <f>IF(OR(B1451="",C1451=""),"",C1451*IFERROR(INDEX(Articles!$D:$D,MATCH(B1451,Articles!$B:$B,0)),0))</f>
        <v/>
      </c>
      <c r="I1451" s="9" t="str">
        <f>IF(OR(E1451="",H1451=""),"",E1451-H1451)</f>
        <v/>
      </c>
      <c r="J1451" s="4"/>
    </row>
    <row r="1452">
      <c r="A1452" s="7"/>
      <c r="B1452" s="4"/>
      <c r="C1452" s="6"/>
      <c r="D1452" s="5" t="str">
        <f>IF(B1452="","",IFERROR(INDEX(Articles!$E:$E,MATCH(B1452,Articles!$B:$B,0)),""))</f>
        <v/>
      </c>
      <c r="E1452" s="9" t="str">
        <f>IF(OR(C1452="",D1452=""),"",C1452*D1452)</f>
        <v/>
      </c>
      <c r="F1452" s="4"/>
      <c r="G1452" s="4"/>
      <c r="H1452" s="9" t="str">
        <f>IF(OR(B1452="",C1452=""),"",C1452*IFERROR(INDEX(Articles!$D:$D,MATCH(B1452,Articles!$B:$B,0)),0))</f>
        <v/>
      </c>
      <c r="I1452" s="9" t="str">
        <f>IF(OR(E1452="",H1452=""),"",E1452-H1452)</f>
        <v/>
      </c>
      <c r="J1452" s="4"/>
    </row>
    <row r="1453">
      <c r="A1453" s="7"/>
      <c r="B1453" s="4"/>
      <c r="C1453" s="6"/>
      <c r="D1453" s="5" t="str">
        <f>IF(B1453="","",IFERROR(INDEX(Articles!$E:$E,MATCH(B1453,Articles!$B:$B,0)),""))</f>
        <v/>
      </c>
      <c r="E1453" s="9" t="str">
        <f>IF(OR(C1453="",D1453=""),"",C1453*D1453)</f>
        <v/>
      </c>
      <c r="F1453" s="4"/>
      <c r="G1453" s="4"/>
      <c r="H1453" s="9" t="str">
        <f>IF(OR(B1453="",C1453=""),"",C1453*IFERROR(INDEX(Articles!$D:$D,MATCH(B1453,Articles!$B:$B,0)),0))</f>
        <v/>
      </c>
      <c r="I1453" s="9" t="str">
        <f>IF(OR(E1453="",H1453=""),"",E1453-H1453)</f>
        <v/>
      </c>
      <c r="J1453" s="4"/>
    </row>
    <row r="1454">
      <c r="A1454" s="7"/>
      <c r="B1454" s="4"/>
      <c r="C1454" s="6"/>
      <c r="D1454" s="5" t="str">
        <f>IF(B1454="","",IFERROR(INDEX(Articles!$E:$E,MATCH(B1454,Articles!$B:$B,0)),""))</f>
        <v/>
      </c>
      <c r="E1454" s="9" t="str">
        <f>IF(OR(C1454="",D1454=""),"",C1454*D1454)</f>
        <v/>
      </c>
      <c r="F1454" s="4"/>
      <c r="G1454" s="4"/>
      <c r="H1454" s="9" t="str">
        <f>IF(OR(B1454="",C1454=""),"",C1454*IFERROR(INDEX(Articles!$D:$D,MATCH(B1454,Articles!$B:$B,0)),0))</f>
        <v/>
      </c>
      <c r="I1454" s="9" t="str">
        <f>IF(OR(E1454="",H1454=""),"",E1454-H1454)</f>
        <v/>
      </c>
      <c r="J1454" s="4"/>
    </row>
    <row r="1455">
      <c r="A1455" s="7"/>
      <c r="B1455" s="4"/>
      <c r="C1455" s="6"/>
      <c r="D1455" s="5" t="str">
        <f>IF(B1455="","",IFERROR(INDEX(Articles!$E:$E,MATCH(B1455,Articles!$B:$B,0)),""))</f>
        <v/>
      </c>
      <c r="E1455" s="9" t="str">
        <f>IF(OR(C1455="",D1455=""),"",C1455*D1455)</f>
        <v/>
      </c>
      <c r="F1455" s="4"/>
      <c r="G1455" s="4"/>
      <c r="H1455" s="9" t="str">
        <f>IF(OR(B1455="",C1455=""),"",C1455*IFERROR(INDEX(Articles!$D:$D,MATCH(B1455,Articles!$B:$B,0)),0))</f>
        <v/>
      </c>
      <c r="I1455" s="9" t="str">
        <f>IF(OR(E1455="",H1455=""),"",E1455-H1455)</f>
        <v/>
      </c>
      <c r="J1455" s="4"/>
    </row>
    <row r="1456">
      <c r="A1456" s="7"/>
      <c r="B1456" s="4"/>
      <c r="C1456" s="6"/>
      <c r="D1456" s="5" t="str">
        <f>IF(B1456="","",IFERROR(INDEX(Articles!$E:$E,MATCH(B1456,Articles!$B:$B,0)),""))</f>
        <v/>
      </c>
      <c r="E1456" s="9" t="str">
        <f>IF(OR(C1456="",D1456=""),"",C1456*D1456)</f>
        <v/>
      </c>
      <c r="F1456" s="4"/>
      <c r="G1456" s="4"/>
      <c r="H1456" s="9" t="str">
        <f>IF(OR(B1456="",C1456=""),"",C1456*IFERROR(INDEX(Articles!$D:$D,MATCH(B1456,Articles!$B:$B,0)),0))</f>
        <v/>
      </c>
      <c r="I1456" s="9" t="str">
        <f>IF(OR(E1456="",H1456=""),"",E1456-H1456)</f>
        <v/>
      </c>
      <c r="J1456" s="4"/>
    </row>
    <row r="1457">
      <c r="A1457" s="7"/>
      <c r="B1457" s="4"/>
      <c r="C1457" s="6"/>
      <c r="D1457" s="5" t="str">
        <f>IF(B1457="","",IFERROR(INDEX(Articles!$E:$E,MATCH(B1457,Articles!$B:$B,0)),""))</f>
        <v/>
      </c>
      <c r="E1457" s="9" t="str">
        <f>IF(OR(C1457="",D1457=""),"",C1457*D1457)</f>
        <v/>
      </c>
      <c r="F1457" s="4"/>
      <c r="G1457" s="4"/>
      <c r="H1457" s="9" t="str">
        <f>IF(OR(B1457="",C1457=""),"",C1457*IFERROR(INDEX(Articles!$D:$D,MATCH(B1457,Articles!$B:$B,0)),0))</f>
        <v/>
      </c>
      <c r="I1457" s="9" t="str">
        <f>IF(OR(E1457="",H1457=""),"",E1457-H1457)</f>
        <v/>
      </c>
      <c r="J1457" s="4"/>
    </row>
    <row r="1458">
      <c r="A1458" s="7"/>
      <c r="B1458" s="4"/>
      <c r="C1458" s="6"/>
      <c r="D1458" s="5" t="str">
        <f>IF(B1458="","",IFERROR(INDEX(Articles!$E:$E,MATCH(B1458,Articles!$B:$B,0)),""))</f>
        <v/>
      </c>
      <c r="E1458" s="9" t="str">
        <f>IF(OR(C1458="",D1458=""),"",C1458*D1458)</f>
        <v/>
      </c>
      <c r="F1458" s="4"/>
      <c r="G1458" s="4"/>
      <c r="H1458" s="9" t="str">
        <f>IF(OR(B1458="",C1458=""),"",C1458*IFERROR(INDEX(Articles!$D:$D,MATCH(B1458,Articles!$B:$B,0)),0))</f>
        <v/>
      </c>
      <c r="I1458" s="9" t="str">
        <f>IF(OR(E1458="",H1458=""),"",E1458-H1458)</f>
        <v/>
      </c>
      <c r="J1458" s="4"/>
    </row>
    <row r="1459">
      <c r="A1459" s="7"/>
      <c r="B1459" s="4"/>
      <c r="C1459" s="6"/>
      <c r="D1459" s="5" t="str">
        <f>IF(B1459="","",IFERROR(INDEX(Articles!$E:$E,MATCH(B1459,Articles!$B:$B,0)),""))</f>
        <v/>
      </c>
      <c r="E1459" s="9" t="str">
        <f>IF(OR(C1459="",D1459=""),"",C1459*D1459)</f>
        <v/>
      </c>
      <c r="F1459" s="4"/>
      <c r="G1459" s="4"/>
      <c r="H1459" s="9" t="str">
        <f>IF(OR(B1459="",C1459=""),"",C1459*IFERROR(INDEX(Articles!$D:$D,MATCH(B1459,Articles!$B:$B,0)),0))</f>
        <v/>
      </c>
      <c r="I1459" s="9" t="str">
        <f>IF(OR(E1459="",H1459=""),"",E1459-H1459)</f>
        <v/>
      </c>
      <c r="J1459" s="4"/>
    </row>
    <row r="1460">
      <c r="A1460" s="7"/>
      <c r="B1460" s="4"/>
      <c r="C1460" s="6"/>
      <c r="D1460" s="5" t="str">
        <f>IF(B1460="","",IFERROR(INDEX(Articles!$E:$E,MATCH(B1460,Articles!$B:$B,0)),""))</f>
        <v/>
      </c>
      <c r="E1460" s="9" t="str">
        <f>IF(OR(C1460="",D1460=""),"",C1460*D1460)</f>
        <v/>
      </c>
      <c r="F1460" s="4"/>
      <c r="G1460" s="4"/>
      <c r="H1460" s="9" t="str">
        <f>IF(OR(B1460="",C1460=""),"",C1460*IFERROR(INDEX(Articles!$D:$D,MATCH(B1460,Articles!$B:$B,0)),0))</f>
        <v/>
      </c>
      <c r="I1460" s="9" t="str">
        <f>IF(OR(E1460="",H1460=""),"",E1460-H1460)</f>
        <v/>
      </c>
      <c r="J1460" s="4"/>
    </row>
    <row r="1461">
      <c r="A1461" s="7"/>
      <c r="B1461" s="4"/>
      <c r="C1461" s="6"/>
      <c r="D1461" s="5" t="str">
        <f>IF(B1461="","",IFERROR(INDEX(Articles!$E:$E,MATCH(B1461,Articles!$B:$B,0)),""))</f>
        <v/>
      </c>
      <c r="E1461" s="9" t="str">
        <f>IF(OR(C1461="",D1461=""),"",C1461*D1461)</f>
        <v/>
      </c>
      <c r="F1461" s="4"/>
      <c r="G1461" s="4"/>
      <c r="H1461" s="9" t="str">
        <f>IF(OR(B1461="",C1461=""),"",C1461*IFERROR(INDEX(Articles!$D:$D,MATCH(B1461,Articles!$B:$B,0)),0))</f>
        <v/>
      </c>
      <c r="I1461" s="9" t="str">
        <f>IF(OR(E1461="",H1461=""),"",E1461-H1461)</f>
        <v/>
      </c>
      <c r="J1461" s="4"/>
    </row>
    <row r="1462">
      <c r="A1462" s="7"/>
      <c r="B1462" s="4"/>
      <c r="C1462" s="6"/>
      <c r="D1462" s="5" t="str">
        <f>IF(B1462="","",IFERROR(INDEX(Articles!$E:$E,MATCH(B1462,Articles!$B:$B,0)),""))</f>
        <v/>
      </c>
      <c r="E1462" s="9" t="str">
        <f>IF(OR(C1462="",D1462=""),"",C1462*D1462)</f>
        <v/>
      </c>
      <c r="F1462" s="4"/>
      <c r="G1462" s="4"/>
      <c r="H1462" s="9" t="str">
        <f>IF(OR(B1462="",C1462=""),"",C1462*IFERROR(INDEX(Articles!$D:$D,MATCH(B1462,Articles!$B:$B,0)),0))</f>
        <v/>
      </c>
      <c r="I1462" s="9" t="str">
        <f>IF(OR(E1462="",H1462=""),"",E1462-H1462)</f>
        <v/>
      </c>
      <c r="J1462" s="4"/>
    </row>
    <row r="1463">
      <c r="A1463" s="7"/>
      <c r="B1463" s="4"/>
      <c r="C1463" s="6"/>
      <c r="D1463" s="5" t="str">
        <f>IF(B1463="","",IFERROR(INDEX(Articles!$E:$E,MATCH(B1463,Articles!$B:$B,0)),""))</f>
        <v/>
      </c>
      <c r="E1463" s="9" t="str">
        <f>IF(OR(C1463="",D1463=""),"",C1463*D1463)</f>
        <v/>
      </c>
      <c r="F1463" s="4"/>
      <c r="G1463" s="4"/>
      <c r="H1463" s="9" t="str">
        <f>IF(OR(B1463="",C1463=""),"",C1463*IFERROR(INDEX(Articles!$D:$D,MATCH(B1463,Articles!$B:$B,0)),0))</f>
        <v/>
      </c>
      <c r="I1463" s="9" t="str">
        <f>IF(OR(E1463="",H1463=""),"",E1463-H1463)</f>
        <v/>
      </c>
      <c r="J1463" s="4"/>
    </row>
    <row r="1464">
      <c r="A1464" s="7"/>
      <c r="B1464" s="4"/>
      <c r="C1464" s="6"/>
      <c r="D1464" s="5" t="str">
        <f>IF(B1464="","",IFERROR(INDEX(Articles!$E:$E,MATCH(B1464,Articles!$B:$B,0)),""))</f>
        <v/>
      </c>
      <c r="E1464" s="9" t="str">
        <f>IF(OR(C1464="",D1464=""),"",C1464*D1464)</f>
        <v/>
      </c>
      <c r="F1464" s="4"/>
      <c r="G1464" s="4"/>
      <c r="H1464" s="9" t="str">
        <f>IF(OR(B1464="",C1464=""),"",C1464*IFERROR(INDEX(Articles!$D:$D,MATCH(B1464,Articles!$B:$B,0)),0))</f>
        <v/>
      </c>
      <c r="I1464" s="9" t="str">
        <f>IF(OR(E1464="",H1464=""),"",E1464-H1464)</f>
        <v/>
      </c>
      <c r="J1464" s="4"/>
    </row>
    <row r="1465">
      <c r="A1465" s="7"/>
      <c r="B1465" s="4"/>
      <c r="C1465" s="6"/>
      <c r="D1465" s="5" t="str">
        <f>IF(B1465="","",IFERROR(INDEX(Articles!$E:$E,MATCH(B1465,Articles!$B:$B,0)),""))</f>
        <v/>
      </c>
      <c r="E1465" s="9" t="str">
        <f>IF(OR(C1465="",D1465=""),"",C1465*D1465)</f>
        <v/>
      </c>
      <c r="F1465" s="4"/>
      <c r="G1465" s="4"/>
      <c r="H1465" s="9" t="str">
        <f>IF(OR(B1465="",C1465=""),"",C1465*IFERROR(INDEX(Articles!$D:$D,MATCH(B1465,Articles!$B:$B,0)),0))</f>
        <v/>
      </c>
      <c r="I1465" s="9" t="str">
        <f>IF(OR(E1465="",H1465=""),"",E1465-H1465)</f>
        <v/>
      </c>
      <c r="J1465" s="4"/>
    </row>
    <row r="1466">
      <c r="A1466" s="7"/>
      <c r="B1466" s="4"/>
      <c r="C1466" s="6"/>
      <c r="D1466" s="5" t="str">
        <f>IF(B1466="","",IFERROR(INDEX(Articles!$E:$E,MATCH(B1466,Articles!$B:$B,0)),""))</f>
        <v/>
      </c>
      <c r="E1466" s="9" t="str">
        <f>IF(OR(C1466="",D1466=""),"",C1466*D1466)</f>
        <v/>
      </c>
      <c r="F1466" s="4"/>
      <c r="G1466" s="4"/>
      <c r="H1466" s="9" t="str">
        <f>IF(OR(B1466="",C1466=""),"",C1466*IFERROR(INDEX(Articles!$D:$D,MATCH(B1466,Articles!$B:$B,0)),0))</f>
        <v/>
      </c>
      <c r="I1466" s="9" t="str">
        <f>IF(OR(E1466="",H1466=""),"",E1466-H1466)</f>
        <v/>
      </c>
      <c r="J1466" s="4"/>
    </row>
    <row r="1467">
      <c r="A1467" s="7"/>
      <c r="B1467" s="4"/>
      <c r="C1467" s="6"/>
      <c r="D1467" s="5" t="str">
        <f>IF(B1467="","",IFERROR(INDEX(Articles!$E:$E,MATCH(B1467,Articles!$B:$B,0)),""))</f>
        <v/>
      </c>
      <c r="E1467" s="9" t="str">
        <f>IF(OR(C1467="",D1467=""),"",C1467*D1467)</f>
        <v/>
      </c>
      <c r="F1467" s="4"/>
      <c r="G1467" s="4"/>
      <c r="H1467" s="9" t="str">
        <f>IF(OR(B1467="",C1467=""),"",C1467*IFERROR(INDEX(Articles!$D:$D,MATCH(B1467,Articles!$B:$B,0)),0))</f>
        <v/>
      </c>
      <c r="I1467" s="9" t="str">
        <f>IF(OR(E1467="",H1467=""),"",E1467-H1467)</f>
        <v/>
      </c>
      <c r="J1467" s="4"/>
    </row>
    <row r="1468">
      <c r="A1468" s="7"/>
      <c r="B1468" s="4"/>
      <c r="C1468" s="6"/>
      <c r="D1468" s="5" t="str">
        <f>IF(B1468="","",IFERROR(INDEX(Articles!$E:$E,MATCH(B1468,Articles!$B:$B,0)),""))</f>
        <v/>
      </c>
      <c r="E1468" s="9" t="str">
        <f>IF(OR(C1468="",D1468=""),"",C1468*D1468)</f>
        <v/>
      </c>
      <c r="F1468" s="4"/>
      <c r="G1468" s="4"/>
      <c r="H1468" s="9" t="str">
        <f>IF(OR(B1468="",C1468=""),"",C1468*IFERROR(INDEX(Articles!$D:$D,MATCH(B1468,Articles!$B:$B,0)),0))</f>
        <v/>
      </c>
      <c r="I1468" s="9" t="str">
        <f>IF(OR(E1468="",H1468=""),"",E1468-H1468)</f>
        <v/>
      </c>
      <c r="J1468" s="4"/>
    </row>
    <row r="1469">
      <c r="A1469" s="7"/>
      <c r="B1469" s="4"/>
      <c r="C1469" s="6"/>
      <c r="D1469" s="5" t="str">
        <f>IF(B1469="","",IFERROR(INDEX(Articles!$E:$E,MATCH(B1469,Articles!$B:$B,0)),""))</f>
        <v/>
      </c>
      <c r="E1469" s="9" t="str">
        <f>IF(OR(C1469="",D1469=""),"",C1469*D1469)</f>
        <v/>
      </c>
      <c r="F1469" s="4"/>
      <c r="G1469" s="4"/>
      <c r="H1469" s="9" t="str">
        <f>IF(OR(B1469="",C1469=""),"",C1469*IFERROR(INDEX(Articles!$D:$D,MATCH(B1469,Articles!$B:$B,0)),0))</f>
        <v/>
      </c>
      <c r="I1469" s="9" t="str">
        <f>IF(OR(E1469="",H1469=""),"",E1469-H1469)</f>
        <v/>
      </c>
      <c r="J1469" s="4"/>
    </row>
    <row r="1470">
      <c r="A1470" s="7"/>
      <c r="B1470" s="4"/>
      <c r="C1470" s="6"/>
      <c r="D1470" s="5" t="str">
        <f>IF(B1470="","",IFERROR(INDEX(Articles!$E:$E,MATCH(B1470,Articles!$B:$B,0)),""))</f>
        <v/>
      </c>
      <c r="E1470" s="9" t="str">
        <f>IF(OR(C1470="",D1470=""),"",C1470*D1470)</f>
        <v/>
      </c>
      <c r="F1470" s="4"/>
      <c r="G1470" s="4"/>
      <c r="H1470" s="9" t="str">
        <f>IF(OR(B1470="",C1470=""),"",C1470*IFERROR(INDEX(Articles!$D:$D,MATCH(B1470,Articles!$B:$B,0)),0))</f>
        <v/>
      </c>
      <c r="I1470" s="9" t="str">
        <f>IF(OR(E1470="",H1470=""),"",E1470-H1470)</f>
        <v/>
      </c>
      <c r="J1470" s="4"/>
    </row>
    <row r="1471">
      <c r="A1471" s="7"/>
      <c r="B1471" s="4"/>
      <c r="C1471" s="6"/>
      <c r="D1471" s="5" t="str">
        <f>IF(B1471="","",IFERROR(INDEX(Articles!$E:$E,MATCH(B1471,Articles!$B:$B,0)),""))</f>
        <v/>
      </c>
      <c r="E1471" s="9" t="str">
        <f>IF(OR(C1471="",D1471=""),"",C1471*D1471)</f>
        <v/>
      </c>
      <c r="F1471" s="4"/>
      <c r="G1471" s="4"/>
      <c r="H1471" s="9" t="str">
        <f>IF(OR(B1471="",C1471=""),"",C1471*IFERROR(INDEX(Articles!$D:$D,MATCH(B1471,Articles!$B:$B,0)),0))</f>
        <v/>
      </c>
      <c r="I1471" s="9" t="str">
        <f>IF(OR(E1471="",H1471=""),"",E1471-H1471)</f>
        <v/>
      </c>
      <c r="J1471" s="4"/>
    </row>
    <row r="1472">
      <c r="A1472" s="7"/>
      <c r="B1472" s="4"/>
      <c r="C1472" s="6"/>
      <c r="D1472" s="5" t="str">
        <f>IF(B1472="","",IFERROR(INDEX(Articles!$E:$E,MATCH(B1472,Articles!$B:$B,0)),""))</f>
        <v/>
      </c>
      <c r="E1472" s="9" t="str">
        <f>IF(OR(C1472="",D1472=""),"",C1472*D1472)</f>
        <v/>
      </c>
      <c r="F1472" s="4"/>
      <c r="G1472" s="4"/>
      <c r="H1472" s="9" t="str">
        <f>IF(OR(B1472="",C1472=""),"",C1472*IFERROR(INDEX(Articles!$D:$D,MATCH(B1472,Articles!$B:$B,0)),0))</f>
        <v/>
      </c>
      <c r="I1472" s="9" t="str">
        <f>IF(OR(E1472="",H1472=""),"",E1472-H1472)</f>
        <v/>
      </c>
      <c r="J1472" s="4"/>
    </row>
    <row r="1473">
      <c r="A1473" s="7"/>
      <c r="B1473" s="4"/>
      <c r="C1473" s="6"/>
      <c r="D1473" s="5" t="str">
        <f>IF(B1473="","",IFERROR(INDEX(Articles!$E:$E,MATCH(B1473,Articles!$B:$B,0)),""))</f>
        <v/>
      </c>
      <c r="E1473" s="9" t="str">
        <f>IF(OR(C1473="",D1473=""),"",C1473*D1473)</f>
        <v/>
      </c>
      <c r="F1473" s="4"/>
      <c r="G1473" s="4"/>
      <c r="H1473" s="9" t="str">
        <f>IF(OR(B1473="",C1473=""),"",C1473*IFERROR(INDEX(Articles!$D:$D,MATCH(B1473,Articles!$B:$B,0)),0))</f>
        <v/>
      </c>
      <c r="I1473" s="9" t="str">
        <f>IF(OR(E1473="",H1473=""),"",E1473-H1473)</f>
        <v/>
      </c>
      <c r="J1473" s="4"/>
    </row>
    <row r="1474">
      <c r="A1474" s="7"/>
      <c r="B1474" s="4"/>
      <c r="C1474" s="6"/>
      <c r="D1474" s="5" t="str">
        <f>IF(B1474="","",IFERROR(INDEX(Articles!$E:$E,MATCH(B1474,Articles!$B:$B,0)),""))</f>
        <v/>
      </c>
      <c r="E1474" s="9" t="str">
        <f>IF(OR(C1474="",D1474=""),"",C1474*D1474)</f>
        <v/>
      </c>
      <c r="F1474" s="4"/>
      <c r="G1474" s="4"/>
      <c r="H1474" s="9" t="str">
        <f>IF(OR(B1474="",C1474=""),"",C1474*IFERROR(INDEX(Articles!$D:$D,MATCH(B1474,Articles!$B:$B,0)),0))</f>
        <v/>
      </c>
      <c r="I1474" s="9" t="str">
        <f>IF(OR(E1474="",H1474=""),"",E1474-H1474)</f>
        <v/>
      </c>
      <c r="J1474" s="4"/>
    </row>
    <row r="1475">
      <c r="A1475" s="7"/>
      <c r="B1475" s="4"/>
      <c r="C1475" s="6"/>
      <c r="D1475" s="5" t="str">
        <f>IF(B1475="","",IFERROR(INDEX(Articles!$E:$E,MATCH(B1475,Articles!$B:$B,0)),""))</f>
        <v/>
      </c>
      <c r="E1475" s="9" t="str">
        <f>IF(OR(C1475="",D1475=""),"",C1475*D1475)</f>
        <v/>
      </c>
      <c r="F1475" s="4"/>
      <c r="G1475" s="4"/>
      <c r="H1475" s="9" t="str">
        <f>IF(OR(B1475="",C1475=""),"",C1475*IFERROR(INDEX(Articles!$D:$D,MATCH(B1475,Articles!$B:$B,0)),0))</f>
        <v/>
      </c>
      <c r="I1475" s="9" t="str">
        <f>IF(OR(E1475="",H1475=""),"",E1475-H1475)</f>
        <v/>
      </c>
      <c r="J1475" s="4"/>
    </row>
    <row r="1476">
      <c r="A1476" s="7"/>
      <c r="B1476" s="4"/>
      <c r="C1476" s="6"/>
      <c r="D1476" s="5" t="str">
        <f>IF(B1476="","",IFERROR(INDEX(Articles!$E:$E,MATCH(B1476,Articles!$B:$B,0)),""))</f>
        <v/>
      </c>
      <c r="E1476" s="9" t="str">
        <f>IF(OR(C1476="",D1476=""),"",C1476*D1476)</f>
        <v/>
      </c>
      <c r="F1476" s="4"/>
      <c r="G1476" s="4"/>
      <c r="H1476" s="9" t="str">
        <f>IF(OR(B1476="",C1476=""),"",C1476*IFERROR(INDEX(Articles!$D:$D,MATCH(B1476,Articles!$B:$B,0)),0))</f>
        <v/>
      </c>
      <c r="I1476" s="9" t="str">
        <f>IF(OR(E1476="",H1476=""),"",E1476-H1476)</f>
        <v/>
      </c>
      <c r="J1476" s="4"/>
    </row>
    <row r="1477">
      <c r="A1477" s="7"/>
      <c r="B1477" s="4"/>
      <c r="C1477" s="6"/>
      <c r="D1477" s="5" t="str">
        <f>IF(B1477="","",IFERROR(INDEX(Articles!$E:$E,MATCH(B1477,Articles!$B:$B,0)),""))</f>
        <v/>
      </c>
      <c r="E1477" s="9" t="str">
        <f>IF(OR(C1477="",D1477=""),"",C1477*D1477)</f>
        <v/>
      </c>
      <c r="F1477" s="4"/>
      <c r="G1477" s="4"/>
      <c r="H1477" s="9" t="str">
        <f>IF(OR(B1477="",C1477=""),"",C1477*IFERROR(INDEX(Articles!$D:$D,MATCH(B1477,Articles!$B:$B,0)),0))</f>
        <v/>
      </c>
      <c r="I1477" s="9" t="str">
        <f>IF(OR(E1477="",H1477=""),"",E1477-H1477)</f>
        <v/>
      </c>
      <c r="J1477" s="4"/>
    </row>
    <row r="1478">
      <c r="A1478" s="7"/>
      <c r="B1478" s="4"/>
      <c r="C1478" s="6"/>
      <c r="D1478" s="5" t="str">
        <f>IF(B1478="","",IFERROR(INDEX(Articles!$E:$E,MATCH(B1478,Articles!$B:$B,0)),""))</f>
        <v/>
      </c>
      <c r="E1478" s="9" t="str">
        <f>IF(OR(C1478="",D1478=""),"",C1478*D1478)</f>
        <v/>
      </c>
      <c r="F1478" s="4"/>
      <c r="G1478" s="4"/>
      <c r="H1478" s="9" t="str">
        <f>IF(OR(B1478="",C1478=""),"",C1478*IFERROR(INDEX(Articles!$D:$D,MATCH(B1478,Articles!$B:$B,0)),0))</f>
        <v/>
      </c>
      <c r="I1478" s="9" t="str">
        <f>IF(OR(E1478="",H1478=""),"",E1478-H1478)</f>
        <v/>
      </c>
      <c r="J1478" s="4"/>
    </row>
    <row r="1479">
      <c r="A1479" s="7"/>
      <c r="B1479" s="4"/>
      <c r="C1479" s="6"/>
      <c r="D1479" s="5" t="str">
        <f>IF(B1479="","",IFERROR(INDEX(Articles!$E:$E,MATCH(B1479,Articles!$B:$B,0)),""))</f>
        <v/>
      </c>
      <c r="E1479" s="9" t="str">
        <f>IF(OR(C1479="",D1479=""),"",C1479*D1479)</f>
        <v/>
      </c>
      <c r="F1479" s="4"/>
      <c r="G1479" s="4"/>
      <c r="H1479" s="9" t="str">
        <f>IF(OR(B1479="",C1479=""),"",C1479*IFERROR(INDEX(Articles!$D:$D,MATCH(B1479,Articles!$B:$B,0)),0))</f>
        <v/>
      </c>
      <c r="I1479" s="9" t="str">
        <f>IF(OR(E1479="",H1479=""),"",E1479-H1479)</f>
        <v/>
      </c>
      <c r="J1479" s="4"/>
    </row>
    <row r="1480">
      <c r="A1480" s="7"/>
      <c r="B1480" s="4"/>
      <c r="C1480" s="6"/>
      <c r="D1480" s="5" t="str">
        <f>IF(B1480="","",IFERROR(INDEX(Articles!$E:$E,MATCH(B1480,Articles!$B:$B,0)),""))</f>
        <v/>
      </c>
      <c r="E1480" s="9" t="str">
        <f>IF(OR(C1480="",D1480=""),"",C1480*D1480)</f>
        <v/>
      </c>
      <c r="F1480" s="4"/>
      <c r="G1480" s="4"/>
      <c r="H1480" s="9" t="str">
        <f>IF(OR(B1480="",C1480=""),"",C1480*IFERROR(INDEX(Articles!$D:$D,MATCH(B1480,Articles!$B:$B,0)),0))</f>
        <v/>
      </c>
      <c r="I1480" s="9" t="str">
        <f>IF(OR(E1480="",H1480=""),"",E1480-H1480)</f>
        <v/>
      </c>
      <c r="J1480" s="4"/>
    </row>
    <row r="1481">
      <c r="A1481" s="7"/>
      <c r="B1481" s="4"/>
      <c r="C1481" s="6"/>
      <c r="D1481" s="5" t="str">
        <f>IF(B1481="","",IFERROR(INDEX(Articles!$E:$E,MATCH(B1481,Articles!$B:$B,0)),""))</f>
        <v/>
      </c>
      <c r="E1481" s="9" t="str">
        <f>IF(OR(C1481="",D1481=""),"",C1481*D1481)</f>
        <v/>
      </c>
      <c r="F1481" s="4"/>
      <c r="G1481" s="4"/>
      <c r="H1481" s="9" t="str">
        <f>IF(OR(B1481="",C1481=""),"",C1481*IFERROR(INDEX(Articles!$D:$D,MATCH(B1481,Articles!$B:$B,0)),0))</f>
        <v/>
      </c>
      <c r="I1481" s="9" t="str">
        <f>IF(OR(E1481="",H1481=""),"",E1481-H1481)</f>
        <v/>
      </c>
      <c r="J1481" s="4"/>
    </row>
    <row r="1482">
      <c r="A1482" s="7"/>
      <c r="B1482" s="4"/>
      <c r="C1482" s="6"/>
      <c r="D1482" s="5" t="str">
        <f>IF(B1482="","",IFERROR(INDEX(Articles!$E:$E,MATCH(B1482,Articles!$B:$B,0)),""))</f>
        <v/>
      </c>
      <c r="E1482" s="9" t="str">
        <f>IF(OR(C1482="",D1482=""),"",C1482*D1482)</f>
        <v/>
      </c>
      <c r="F1482" s="4"/>
      <c r="G1482" s="4"/>
      <c r="H1482" s="9" t="str">
        <f>IF(OR(B1482="",C1482=""),"",C1482*IFERROR(INDEX(Articles!$D:$D,MATCH(B1482,Articles!$B:$B,0)),0))</f>
        <v/>
      </c>
      <c r="I1482" s="9" t="str">
        <f>IF(OR(E1482="",H1482=""),"",E1482-H1482)</f>
        <v/>
      </c>
      <c r="J1482" s="4"/>
    </row>
    <row r="1483">
      <c r="A1483" s="7"/>
      <c r="B1483" s="4"/>
      <c r="C1483" s="6"/>
      <c r="D1483" s="5" t="str">
        <f>IF(B1483="","",IFERROR(INDEX(Articles!$E:$E,MATCH(B1483,Articles!$B:$B,0)),""))</f>
        <v/>
      </c>
      <c r="E1483" s="9" t="str">
        <f>IF(OR(C1483="",D1483=""),"",C1483*D1483)</f>
        <v/>
      </c>
      <c r="F1483" s="4"/>
      <c r="G1483" s="4"/>
      <c r="H1483" s="9" t="str">
        <f>IF(OR(B1483="",C1483=""),"",C1483*IFERROR(INDEX(Articles!$D:$D,MATCH(B1483,Articles!$B:$B,0)),0))</f>
        <v/>
      </c>
      <c r="I1483" s="9" t="str">
        <f>IF(OR(E1483="",H1483=""),"",E1483-H1483)</f>
        <v/>
      </c>
      <c r="J1483" s="4"/>
    </row>
    <row r="1484">
      <c r="A1484" s="7"/>
      <c r="B1484" s="4"/>
      <c r="C1484" s="6"/>
      <c r="D1484" s="5" t="str">
        <f>IF(B1484="","",IFERROR(INDEX(Articles!$E:$E,MATCH(B1484,Articles!$B:$B,0)),""))</f>
        <v/>
      </c>
      <c r="E1484" s="9" t="str">
        <f>IF(OR(C1484="",D1484=""),"",C1484*D1484)</f>
        <v/>
      </c>
      <c r="F1484" s="4"/>
      <c r="G1484" s="4"/>
      <c r="H1484" s="9" t="str">
        <f>IF(OR(B1484="",C1484=""),"",C1484*IFERROR(INDEX(Articles!$D:$D,MATCH(B1484,Articles!$B:$B,0)),0))</f>
        <v/>
      </c>
      <c r="I1484" s="9" t="str">
        <f>IF(OR(E1484="",H1484=""),"",E1484-H1484)</f>
        <v/>
      </c>
      <c r="J1484" s="4"/>
    </row>
    <row r="1485">
      <c r="A1485" s="7"/>
      <c r="B1485" s="4"/>
      <c r="C1485" s="6"/>
      <c r="D1485" s="5" t="str">
        <f>IF(B1485="","",IFERROR(INDEX(Articles!$E:$E,MATCH(B1485,Articles!$B:$B,0)),""))</f>
        <v/>
      </c>
      <c r="E1485" s="9" t="str">
        <f>IF(OR(C1485="",D1485=""),"",C1485*D1485)</f>
        <v/>
      </c>
      <c r="F1485" s="4"/>
      <c r="G1485" s="4"/>
      <c r="H1485" s="9" t="str">
        <f>IF(OR(B1485="",C1485=""),"",C1485*IFERROR(INDEX(Articles!$D:$D,MATCH(B1485,Articles!$B:$B,0)),0))</f>
        <v/>
      </c>
      <c r="I1485" s="9" t="str">
        <f>IF(OR(E1485="",H1485=""),"",E1485-H1485)</f>
        <v/>
      </c>
      <c r="J1485" s="4"/>
    </row>
    <row r="1486">
      <c r="A1486" s="7"/>
      <c r="B1486" s="4"/>
      <c r="C1486" s="6"/>
      <c r="D1486" s="5" t="str">
        <f>IF(B1486="","",IFERROR(INDEX(Articles!$E:$E,MATCH(B1486,Articles!$B:$B,0)),""))</f>
        <v/>
      </c>
      <c r="E1486" s="9" t="str">
        <f>IF(OR(C1486="",D1486=""),"",C1486*D1486)</f>
        <v/>
      </c>
      <c r="F1486" s="4"/>
      <c r="G1486" s="4"/>
      <c r="H1486" s="9" t="str">
        <f>IF(OR(B1486="",C1486=""),"",C1486*IFERROR(INDEX(Articles!$D:$D,MATCH(B1486,Articles!$B:$B,0)),0))</f>
        <v/>
      </c>
      <c r="I1486" s="9" t="str">
        <f>IF(OR(E1486="",H1486=""),"",E1486-H1486)</f>
        <v/>
      </c>
      <c r="J1486" s="4"/>
    </row>
    <row r="1487">
      <c r="A1487" s="7"/>
      <c r="B1487" s="4"/>
      <c r="C1487" s="6"/>
      <c r="D1487" s="5" t="str">
        <f>IF(B1487="","",IFERROR(INDEX(Articles!$E:$E,MATCH(B1487,Articles!$B:$B,0)),""))</f>
        <v/>
      </c>
      <c r="E1487" s="9" t="str">
        <f>IF(OR(C1487="",D1487=""),"",C1487*D1487)</f>
        <v/>
      </c>
      <c r="F1487" s="4"/>
      <c r="G1487" s="4"/>
      <c r="H1487" s="9" t="str">
        <f>IF(OR(B1487="",C1487=""),"",C1487*IFERROR(INDEX(Articles!$D:$D,MATCH(B1487,Articles!$B:$B,0)),0))</f>
        <v/>
      </c>
      <c r="I1487" s="9" t="str">
        <f>IF(OR(E1487="",H1487=""),"",E1487-H1487)</f>
        <v/>
      </c>
      <c r="J1487" s="4"/>
    </row>
    <row r="1488">
      <c r="A1488" s="7"/>
      <c r="B1488" s="4"/>
      <c r="C1488" s="6"/>
      <c r="D1488" s="5" t="str">
        <f>IF(B1488="","",IFERROR(INDEX(Articles!$E:$E,MATCH(B1488,Articles!$B:$B,0)),""))</f>
        <v/>
      </c>
      <c r="E1488" s="9" t="str">
        <f>IF(OR(C1488="",D1488=""),"",C1488*D1488)</f>
        <v/>
      </c>
      <c r="F1488" s="4"/>
      <c r="G1488" s="4"/>
      <c r="H1488" s="9" t="str">
        <f>IF(OR(B1488="",C1488=""),"",C1488*IFERROR(INDEX(Articles!$D:$D,MATCH(B1488,Articles!$B:$B,0)),0))</f>
        <v/>
      </c>
      <c r="I1488" s="9" t="str">
        <f>IF(OR(E1488="",H1488=""),"",E1488-H1488)</f>
        <v/>
      </c>
      <c r="J1488" s="4"/>
    </row>
    <row r="1489">
      <c r="A1489" s="7"/>
      <c r="B1489" s="4"/>
      <c r="C1489" s="6"/>
      <c r="D1489" s="5" t="str">
        <f>IF(B1489="","",IFERROR(INDEX(Articles!$E:$E,MATCH(B1489,Articles!$B:$B,0)),""))</f>
        <v/>
      </c>
      <c r="E1489" s="9" t="str">
        <f>IF(OR(C1489="",D1489=""),"",C1489*D1489)</f>
        <v/>
      </c>
      <c r="F1489" s="4"/>
      <c r="G1489" s="4"/>
      <c r="H1489" s="9" t="str">
        <f>IF(OR(B1489="",C1489=""),"",C1489*IFERROR(INDEX(Articles!$D:$D,MATCH(B1489,Articles!$B:$B,0)),0))</f>
        <v/>
      </c>
      <c r="I1489" s="9" t="str">
        <f>IF(OR(E1489="",H1489=""),"",E1489-H1489)</f>
        <v/>
      </c>
      <c r="J1489" s="4"/>
    </row>
    <row r="1490">
      <c r="A1490" s="7"/>
      <c r="B1490" s="4"/>
      <c r="C1490" s="6"/>
      <c r="D1490" s="5" t="str">
        <f>IF(B1490="","",IFERROR(INDEX(Articles!$E:$E,MATCH(B1490,Articles!$B:$B,0)),""))</f>
        <v/>
      </c>
      <c r="E1490" s="9" t="str">
        <f>IF(OR(C1490="",D1490=""),"",C1490*D1490)</f>
        <v/>
      </c>
      <c r="F1490" s="4"/>
      <c r="G1490" s="4"/>
      <c r="H1490" s="9" t="str">
        <f>IF(OR(B1490="",C1490=""),"",C1490*IFERROR(INDEX(Articles!$D:$D,MATCH(B1490,Articles!$B:$B,0)),0))</f>
        <v/>
      </c>
      <c r="I1490" s="9" t="str">
        <f>IF(OR(E1490="",H1490=""),"",E1490-H1490)</f>
        <v/>
      </c>
      <c r="J1490" s="4"/>
    </row>
    <row r="1491">
      <c r="A1491" s="7"/>
      <c r="B1491" s="4"/>
      <c r="C1491" s="6"/>
      <c r="D1491" s="5" t="str">
        <f>IF(B1491="","",IFERROR(INDEX(Articles!$E:$E,MATCH(B1491,Articles!$B:$B,0)),""))</f>
        <v/>
      </c>
      <c r="E1491" s="9" t="str">
        <f>IF(OR(C1491="",D1491=""),"",C1491*D1491)</f>
        <v/>
      </c>
      <c r="F1491" s="4"/>
      <c r="G1491" s="4"/>
      <c r="H1491" s="9" t="str">
        <f>IF(OR(B1491="",C1491=""),"",C1491*IFERROR(INDEX(Articles!$D:$D,MATCH(B1491,Articles!$B:$B,0)),0))</f>
        <v/>
      </c>
      <c r="I1491" s="9" t="str">
        <f>IF(OR(E1491="",H1491=""),"",E1491-H1491)</f>
        <v/>
      </c>
      <c r="J1491" s="4"/>
    </row>
    <row r="1492">
      <c r="A1492" s="7"/>
      <c r="B1492" s="4"/>
      <c r="C1492" s="6"/>
      <c r="D1492" s="5" t="str">
        <f>IF(B1492="","",IFERROR(INDEX(Articles!$E:$E,MATCH(B1492,Articles!$B:$B,0)),""))</f>
        <v/>
      </c>
      <c r="E1492" s="9" t="str">
        <f>IF(OR(C1492="",D1492=""),"",C1492*D1492)</f>
        <v/>
      </c>
      <c r="F1492" s="4"/>
      <c r="G1492" s="4"/>
      <c r="H1492" s="9" t="str">
        <f>IF(OR(B1492="",C1492=""),"",C1492*IFERROR(INDEX(Articles!$D:$D,MATCH(B1492,Articles!$B:$B,0)),0))</f>
        <v/>
      </c>
      <c r="I1492" s="9" t="str">
        <f>IF(OR(E1492="",H1492=""),"",E1492-H1492)</f>
        <v/>
      </c>
      <c r="J1492" s="4"/>
    </row>
    <row r="1493">
      <c r="A1493" s="7"/>
      <c r="B1493" s="4"/>
      <c r="C1493" s="6"/>
      <c r="D1493" s="5" t="str">
        <f>IF(B1493="","",IFERROR(INDEX(Articles!$E:$E,MATCH(B1493,Articles!$B:$B,0)),""))</f>
        <v/>
      </c>
      <c r="E1493" s="9" t="str">
        <f>IF(OR(C1493="",D1493=""),"",C1493*D1493)</f>
        <v/>
      </c>
      <c r="F1493" s="4"/>
      <c r="G1493" s="4"/>
      <c r="H1493" s="9" t="str">
        <f>IF(OR(B1493="",C1493=""),"",C1493*IFERROR(INDEX(Articles!$D:$D,MATCH(B1493,Articles!$B:$B,0)),0))</f>
        <v/>
      </c>
      <c r="I1493" s="9" t="str">
        <f>IF(OR(E1493="",H1493=""),"",E1493-H1493)</f>
        <v/>
      </c>
      <c r="J1493" s="4"/>
    </row>
    <row r="1494">
      <c r="A1494" s="7"/>
      <c r="B1494" s="4"/>
      <c r="C1494" s="6"/>
      <c r="D1494" s="5" t="str">
        <f>IF(B1494="","",IFERROR(INDEX(Articles!$E:$E,MATCH(B1494,Articles!$B:$B,0)),""))</f>
        <v/>
      </c>
      <c r="E1494" s="9" t="str">
        <f>IF(OR(C1494="",D1494=""),"",C1494*D1494)</f>
        <v/>
      </c>
      <c r="F1494" s="4"/>
      <c r="G1494" s="4"/>
      <c r="H1494" s="9" t="str">
        <f>IF(OR(B1494="",C1494=""),"",C1494*IFERROR(INDEX(Articles!$D:$D,MATCH(B1494,Articles!$B:$B,0)),0))</f>
        <v/>
      </c>
      <c r="I1494" s="9" t="str">
        <f>IF(OR(E1494="",H1494=""),"",E1494-H1494)</f>
        <v/>
      </c>
      <c r="J1494" s="4"/>
    </row>
    <row r="1495">
      <c r="A1495" s="7"/>
      <c r="B1495" s="4"/>
      <c r="C1495" s="6"/>
      <c r="D1495" s="5" t="str">
        <f>IF(B1495="","",IFERROR(INDEX(Articles!$E:$E,MATCH(B1495,Articles!$B:$B,0)),""))</f>
        <v/>
      </c>
      <c r="E1495" s="9" t="str">
        <f>IF(OR(C1495="",D1495=""),"",C1495*D1495)</f>
        <v/>
      </c>
      <c r="F1495" s="4"/>
      <c r="G1495" s="4"/>
      <c r="H1495" s="9" t="str">
        <f>IF(OR(B1495="",C1495=""),"",C1495*IFERROR(INDEX(Articles!$D:$D,MATCH(B1495,Articles!$B:$B,0)),0))</f>
        <v/>
      </c>
      <c r="I1495" s="9" t="str">
        <f>IF(OR(E1495="",H1495=""),"",E1495-H1495)</f>
        <v/>
      </c>
      <c r="J1495" s="4"/>
    </row>
    <row r="1496">
      <c r="A1496" s="7"/>
      <c r="B1496" s="4"/>
      <c r="C1496" s="6"/>
      <c r="D1496" s="5" t="str">
        <f>IF(B1496="","",IFERROR(INDEX(Articles!$E:$E,MATCH(B1496,Articles!$B:$B,0)),""))</f>
        <v/>
      </c>
      <c r="E1496" s="9" t="str">
        <f>IF(OR(C1496="",D1496=""),"",C1496*D1496)</f>
        <v/>
      </c>
      <c r="F1496" s="4"/>
      <c r="G1496" s="4"/>
      <c r="H1496" s="9" t="str">
        <f>IF(OR(B1496="",C1496=""),"",C1496*IFERROR(INDEX(Articles!$D:$D,MATCH(B1496,Articles!$B:$B,0)),0))</f>
        <v/>
      </c>
      <c r="I1496" s="9" t="str">
        <f>IF(OR(E1496="",H1496=""),"",E1496-H1496)</f>
        <v/>
      </c>
      <c r="J1496" s="4"/>
    </row>
    <row r="1497">
      <c r="A1497" s="7"/>
      <c r="B1497" s="4"/>
      <c r="C1497" s="6"/>
      <c r="D1497" s="5" t="str">
        <f>IF(B1497="","",IFERROR(INDEX(Articles!$E:$E,MATCH(B1497,Articles!$B:$B,0)),""))</f>
        <v/>
      </c>
      <c r="E1497" s="9" t="str">
        <f>IF(OR(C1497="",D1497=""),"",C1497*D1497)</f>
        <v/>
      </c>
      <c r="F1497" s="4"/>
      <c r="G1497" s="4"/>
      <c r="H1497" s="9" t="str">
        <f>IF(OR(B1497="",C1497=""),"",C1497*IFERROR(INDEX(Articles!$D:$D,MATCH(B1497,Articles!$B:$B,0)),0))</f>
        <v/>
      </c>
      <c r="I1497" s="9" t="str">
        <f>IF(OR(E1497="",H1497=""),"",E1497-H1497)</f>
        <v/>
      </c>
      <c r="J1497" s="4"/>
    </row>
    <row r="1498">
      <c r="A1498" s="7"/>
      <c r="B1498" s="4"/>
      <c r="C1498" s="6"/>
      <c r="D1498" s="5" t="str">
        <f>IF(B1498="","",IFERROR(INDEX(Articles!$E:$E,MATCH(B1498,Articles!$B:$B,0)),""))</f>
        <v/>
      </c>
      <c r="E1498" s="9" t="str">
        <f>IF(OR(C1498="",D1498=""),"",C1498*D1498)</f>
        <v/>
      </c>
      <c r="F1498" s="4"/>
      <c r="G1498" s="4"/>
      <c r="H1498" s="9" t="str">
        <f>IF(OR(B1498="",C1498=""),"",C1498*IFERROR(INDEX(Articles!$D:$D,MATCH(B1498,Articles!$B:$B,0)),0))</f>
        <v/>
      </c>
      <c r="I1498" s="9" t="str">
        <f>IF(OR(E1498="",H1498=""),"",E1498-H1498)</f>
        <v/>
      </c>
      <c r="J1498" s="4"/>
    </row>
    <row r="1499">
      <c r="A1499" s="7"/>
      <c r="B1499" s="4"/>
      <c r="C1499" s="6"/>
      <c r="D1499" s="5" t="str">
        <f>IF(B1499="","",IFERROR(INDEX(Articles!$E:$E,MATCH(B1499,Articles!$B:$B,0)),""))</f>
        <v/>
      </c>
      <c r="E1499" s="9" t="str">
        <f>IF(OR(C1499="",D1499=""),"",C1499*D1499)</f>
        <v/>
      </c>
      <c r="F1499" s="4"/>
      <c r="G1499" s="4"/>
      <c r="H1499" s="9" t="str">
        <f>IF(OR(B1499="",C1499=""),"",C1499*IFERROR(INDEX(Articles!$D:$D,MATCH(B1499,Articles!$B:$B,0)),0))</f>
        <v/>
      </c>
      <c r="I1499" s="9" t="str">
        <f>IF(OR(E1499="",H1499=""),"",E1499-H1499)</f>
        <v/>
      </c>
      <c r="J1499" s="4"/>
    </row>
    <row r="1500">
      <c r="A1500" s="7"/>
      <c r="B1500" s="4"/>
      <c r="C1500" s="6"/>
      <c r="D1500" s="5" t="str">
        <f>IF(B1500="","",IFERROR(INDEX(Articles!$E:$E,MATCH(B1500,Articles!$B:$B,0)),""))</f>
        <v/>
      </c>
      <c r="E1500" s="9" t="str">
        <f>IF(OR(C1500="",D1500=""),"",C1500*D1500)</f>
        <v/>
      </c>
      <c r="F1500" s="4"/>
      <c r="G1500" s="4"/>
      <c r="H1500" s="9" t="str">
        <f>IF(OR(B1500="",C1500=""),"",C1500*IFERROR(INDEX(Articles!$D:$D,MATCH(B1500,Articles!$B:$B,0)),0))</f>
        <v/>
      </c>
      <c r="I1500" s="9" t="str">
        <f>IF(OR(E1500="",H1500=""),"",E1500-H1500)</f>
        <v/>
      </c>
      <c r="J1500" s="4"/>
    </row>
    <row r="1501">
      <c r="A1501" s="7"/>
      <c r="B1501" s="4"/>
      <c r="C1501" s="6"/>
      <c r="D1501" s="5" t="str">
        <f>IF(B1501="","",IFERROR(INDEX(Articles!$E:$E,MATCH(B1501,Articles!$B:$B,0)),""))</f>
        <v/>
      </c>
      <c r="E1501" s="9" t="str">
        <f>IF(OR(C1501="",D1501=""),"",C1501*D1501)</f>
        <v/>
      </c>
      <c r="F1501" s="4"/>
      <c r="G1501" s="4"/>
      <c r="H1501" s="9" t="str">
        <f>IF(OR(B1501="",C1501=""),"",C1501*IFERROR(INDEX(Articles!$D:$D,MATCH(B1501,Articles!$B:$B,0)),0))</f>
        <v/>
      </c>
      <c r="I1501" s="9" t="str">
        <f>IF(OR(E1501="",H1501=""),"",E1501-H1501)</f>
        <v/>
      </c>
      <c r="J1501" s="4"/>
    </row>
    <row r="1502">
      <c r="A1502" s="7"/>
      <c r="B1502" s="4"/>
      <c r="C1502" s="6"/>
      <c r="D1502" s="5" t="str">
        <f>IF(B1502="","",IFERROR(INDEX(Articles!$E:$E,MATCH(B1502,Articles!$B:$B,0)),""))</f>
        <v/>
      </c>
      <c r="E1502" s="9" t="str">
        <f>IF(OR(C1502="",D1502=""),"",C1502*D1502)</f>
        <v/>
      </c>
      <c r="F1502" s="4"/>
      <c r="G1502" s="4"/>
      <c r="H1502" s="9" t="str">
        <f>IF(OR(B1502="",C1502=""),"",C1502*IFERROR(INDEX(Articles!$D:$D,MATCH(B1502,Articles!$B:$B,0)),0))</f>
        <v/>
      </c>
      <c r="I1502" s="9" t="str">
        <f>IF(OR(E1502="",H1502=""),"",E1502-H1502)</f>
        <v/>
      </c>
      <c r="J1502" s="4"/>
    </row>
    <row r="1503">
      <c r="A1503" s="7"/>
      <c r="B1503" s="4"/>
      <c r="C1503" s="6"/>
      <c r="D1503" s="5" t="str">
        <f>IF(B1503="","",IFERROR(INDEX(Articles!$E:$E,MATCH(B1503,Articles!$B:$B,0)),""))</f>
        <v/>
      </c>
      <c r="E1503" s="9" t="str">
        <f>IF(OR(C1503="",D1503=""),"",C1503*D1503)</f>
        <v/>
      </c>
      <c r="F1503" s="4"/>
      <c r="G1503" s="4"/>
      <c r="H1503" s="9" t="str">
        <f>IF(OR(B1503="",C1503=""),"",C1503*IFERROR(INDEX(Articles!$D:$D,MATCH(B1503,Articles!$B:$B,0)),0))</f>
        <v/>
      </c>
      <c r="I1503" s="9" t="str">
        <f>IF(OR(E1503="",H1503=""),"",E1503-H1503)</f>
        <v/>
      </c>
      <c r="J1503" s="4"/>
    </row>
    <row r="1504">
      <c r="A1504" s="7"/>
      <c r="B1504" s="4"/>
      <c r="C1504" s="6"/>
      <c r="D1504" s="5" t="str">
        <f>IF(B1504="","",IFERROR(INDEX(Articles!$E:$E,MATCH(B1504,Articles!$B:$B,0)),""))</f>
        <v/>
      </c>
      <c r="E1504" s="9" t="str">
        <f>IF(OR(C1504="",D1504=""),"",C1504*D1504)</f>
        <v/>
      </c>
      <c r="F1504" s="4"/>
      <c r="G1504" s="4"/>
      <c r="H1504" s="9" t="str">
        <f>IF(OR(B1504="",C1504=""),"",C1504*IFERROR(INDEX(Articles!$D:$D,MATCH(B1504,Articles!$B:$B,0)),0))</f>
        <v/>
      </c>
      <c r="I1504" s="9" t="str">
        <f>IF(OR(E1504="",H1504=""),"",E1504-H1504)</f>
        <v/>
      </c>
      <c r="J1504" s="4"/>
    </row>
    <row r="1505">
      <c r="A1505" s="7"/>
      <c r="B1505" s="4"/>
      <c r="C1505" s="6"/>
      <c r="D1505" s="5" t="str">
        <f>IF(B1505="","",IFERROR(INDEX(Articles!$E:$E,MATCH(B1505,Articles!$B:$B,0)),""))</f>
        <v/>
      </c>
      <c r="E1505" s="9" t="str">
        <f>IF(OR(C1505="",D1505=""),"",C1505*D1505)</f>
        <v/>
      </c>
      <c r="F1505" s="4"/>
      <c r="G1505" s="4"/>
      <c r="H1505" s="9" t="str">
        <f>IF(OR(B1505="",C1505=""),"",C1505*IFERROR(INDEX(Articles!$D:$D,MATCH(B1505,Articles!$B:$B,0)),0))</f>
        <v/>
      </c>
      <c r="I1505" s="9" t="str">
        <f>IF(OR(E1505="",H1505=""),"",E1505-H1505)</f>
        <v/>
      </c>
      <c r="J1505" s="4"/>
    </row>
    <row r="1506">
      <c r="A1506" s="7"/>
      <c r="B1506" s="4"/>
      <c r="C1506" s="6"/>
      <c r="D1506" s="5" t="str">
        <f>IF(B1506="","",IFERROR(INDEX(Articles!$E:$E,MATCH(B1506,Articles!$B:$B,0)),""))</f>
        <v/>
      </c>
      <c r="E1506" s="9" t="str">
        <f>IF(OR(C1506="",D1506=""),"",C1506*D1506)</f>
        <v/>
      </c>
      <c r="F1506" s="4"/>
      <c r="G1506" s="4"/>
      <c r="H1506" s="9" t="str">
        <f>IF(OR(B1506="",C1506=""),"",C1506*IFERROR(INDEX(Articles!$D:$D,MATCH(B1506,Articles!$B:$B,0)),0))</f>
        <v/>
      </c>
      <c r="I1506" s="9" t="str">
        <f>IF(OR(E1506="",H1506=""),"",E1506-H1506)</f>
        <v/>
      </c>
      <c r="J1506" s="4"/>
    </row>
    <row r="1507">
      <c r="A1507" s="7"/>
      <c r="B1507" s="4"/>
      <c r="C1507" s="6"/>
      <c r="D1507" s="5" t="str">
        <f>IF(B1507="","",IFERROR(INDEX(Articles!$E:$E,MATCH(B1507,Articles!$B:$B,0)),""))</f>
        <v/>
      </c>
      <c r="E1507" s="9" t="str">
        <f>IF(OR(C1507="",D1507=""),"",C1507*D1507)</f>
        <v/>
      </c>
      <c r="F1507" s="4"/>
      <c r="G1507" s="4"/>
      <c r="H1507" s="9" t="str">
        <f>IF(OR(B1507="",C1507=""),"",C1507*IFERROR(INDEX(Articles!$D:$D,MATCH(B1507,Articles!$B:$B,0)),0))</f>
        <v/>
      </c>
      <c r="I1507" s="9" t="str">
        <f>IF(OR(E1507="",H1507=""),"",E1507-H1507)</f>
        <v/>
      </c>
      <c r="J1507" s="4"/>
    </row>
    <row r="1508">
      <c r="A1508" s="7"/>
      <c r="B1508" s="4"/>
      <c r="C1508" s="6"/>
      <c r="D1508" s="5" t="str">
        <f>IF(B1508="","",IFERROR(INDEX(Articles!$E:$E,MATCH(B1508,Articles!$B:$B,0)),""))</f>
        <v/>
      </c>
      <c r="E1508" s="9" t="str">
        <f>IF(OR(C1508="",D1508=""),"",C1508*D1508)</f>
        <v/>
      </c>
      <c r="F1508" s="4"/>
      <c r="G1508" s="4"/>
      <c r="H1508" s="9" t="str">
        <f>IF(OR(B1508="",C1508=""),"",C1508*IFERROR(INDEX(Articles!$D:$D,MATCH(B1508,Articles!$B:$B,0)),0))</f>
        <v/>
      </c>
      <c r="I1508" s="9" t="str">
        <f>IF(OR(E1508="",H1508=""),"",E1508-H1508)</f>
        <v/>
      </c>
      <c r="J1508" s="4"/>
    </row>
    <row r="1509">
      <c r="A1509" s="7"/>
      <c r="B1509" s="4"/>
      <c r="C1509" s="6"/>
      <c r="D1509" s="5" t="str">
        <f>IF(B1509="","",IFERROR(INDEX(Articles!$E:$E,MATCH(B1509,Articles!$B:$B,0)),""))</f>
        <v/>
      </c>
      <c r="E1509" s="9" t="str">
        <f>IF(OR(C1509="",D1509=""),"",C1509*D1509)</f>
        <v/>
      </c>
      <c r="F1509" s="4"/>
      <c r="G1509" s="4"/>
      <c r="H1509" s="9" t="str">
        <f>IF(OR(B1509="",C1509=""),"",C1509*IFERROR(INDEX(Articles!$D:$D,MATCH(B1509,Articles!$B:$B,0)),0))</f>
        <v/>
      </c>
      <c r="I1509" s="9" t="str">
        <f>IF(OR(E1509="",H1509=""),"",E1509-H1509)</f>
        <v/>
      </c>
      <c r="J1509" s="4"/>
    </row>
    <row r="1510">
      <c r="A1510" s="7"/>
      <c r="B1510" s="4"/>
      <c r="C1510" s="6"/>
      <c r="D1510" s="5" t="str">
        <f>IF(B1510="","",IFERROR(INDEX(Articles!$E:$E,MATCH(B1510,Articles!$B:$B,0)),""))</f>
        <v/>
      </c>
      <c r="E1510" s="9" t="str">
        <f>IF(OR(C1510="",D1510=""),"",C1510*D1510)</f>
        <v/>
      </c>
      <c r="F1510" s="4"/>
      <c r="G1510" s="4"/>
      <c r="H1510" s="9" t="str">
        <f>IF(OR(B1510="",C1510=""),"",C1510*IFERROR(INDEX(Articles!$D:$D,MATCH(B1510,Articles!$B:$B,0)),0))</f>
        <v/>
      </c>
      <c r="I1510" s="9" t="str">
        <f>IF(OR(E1510="",H1510=""),"",E1510-H1510)</f>
        <v/>
      </c>
      <c r="J1510" s="4"/>
    </row>
    <row r="1511">
      <c r="A1511" s="7"/>
      <c r="B1511" s="4"/>
      <c r="C1511" s="6"/>
      <c r="D1511" s="5" t="str">
        <f>IF(B1511="","",IFERROR(INDEX(Articles!$E:$E,MATCH(B1511,Articles!$B:$B,0)),""))</f>
        <v/>
      </c>
      <c r="E1511" s="9" t="str">
        <f>IF(OR(C1511="",D1511=""),"",C1511*D1511)</f>
        <v/>
      </c>
      <c r="F1511" s="4"/>
      <c r="G1511" s="4"/>
      <c r="H1511" s="9" t="str">
        <f>IF(OR(B1511="",C1511=""),"",C1511*IFERROR(INDEX(Articles!$D:$D,MATCH(B1511,Articles!$B:$B,0)),0))</f>
        <v/>
      </c>
      <c r="I1511" s="9" t="str">
        <f>IF(OR(E1511="",H1511=""),"",E1511-H1511)</f>
        <v/>
      </c>
      <c r="J1511" s="4"/>
    </row>
    <row r="1512">
      <c r="A1512" s="7"/>
      <c r="B1512" s="4"/>
      <c r="C1512" s="6"/>
      <c r="D1512" s="5" t="str">
        <f>IF(B1512="","",IFERROR(INDEX(Articles!$E:$E,MATCH(B1512,Articles!$B:$B,0)),""))</f>
        <v/>
      </c>
      <c r="E1512" s="9" t="str">
        <f>IF(OR(C1512="",D1512=""),"",C1512*D1512)</f>
        <v/>
      </c>
      <c r="F1512" s="4"/>
      <c r="G1512" s="4"/>
      <c r="H1512" s="9" t="str">
        <f>IF(OR(B1512="",C1512=""),"",C1512*IFERROR(INDEX(Articles!$D:$D,MATCH(B1512,Articles!$B:$B,0)),0))</f>
        <v/>
      </c>
      <c r="I1512" s="9" t="str">
        <f>IF(OR(E1512="",H1512=""),"",E1512-H1512)</f>
        <v/>
      </c>
      <c r="J1512" s="4"/>
    </row>
    <row r="1513">
      <c r="A1513" s="7"/>
      <c r="B1513" s="4"/>
      <c r="C1513" s="6"/>
      <c r="D1513" s="5" t="str">
        <f>IF(B1513="","",IFERROR(INDEX(Articles!$E:$E,MATCH(B1513,Articles!$B:$B,0)),""))</f>
        <v/>
      </c>
      <c r="E1513" s="9" t="str">
        <f>IF(OR(C1513="",D1513=""),"",C1513*D1513)</f>
        <v/>
      </c>
      <c r="F1513" s="4"/>
      <c r="G1513" s="4"/>
      <c r="H1513" s="9" t="str">
        <f>IF(OR(B1513="",C1513=""),"",C1513*IFERROR(INDEX(Articles!$D:$D,MATCH(B1513,Articles!$B:$B,0)),0))</f>
        <v/>
      </c>
      <c r="I1513" s="9" t="str">
        <f>IF(OR(E1513="",H1513=""),"",E1513-H1513)</f>
        <v/>
      </c>
      <c r="J1513" s="4"/>
    </row>
    <row r="1514">
      <c r="A1514" s="7"/>
      <c r="B1514" s="4"/>
      <c r="C1514" s="6"/>
      <c r="D1514" s="5" t="str">
        <f>IF(B1514="","",IFERROR(INDEX(Articles!$E:$E,MATCH(B1514,Articles!$B:$B,0)),""))</f>
        <v/>
      </c>
      <c r="E1514" s="9" t="str">
        <f>IF(OR(C1514="",D1514=""),"",C1514*D1514)</f>
        <v/>
      </c>
      <c r="F1514" s="4"/>
      <c r="G1514" s="4"/>
      <c r="H1514" s="9" t="str">
        <f>IF(OR(B1514="",C1514=""),"",C1514*IFERROR(INDEX(Articles!$D:$D,MATCH(B1514,Articles!$B:$B,0)),0))</f>
        <v/>
      </c>
      <c r="I1514" s="9" t="str">
        <f>IF(OR(E1514="",H1514=""),"",E1514-H1514)</f>
        <v/>
      </c>
      <c r="J1514" s="4"/>
    </row>
    <row r="1515">
      <c r="A1515" s="7"/>
      <c r="B1515" s="4"/>
      <c r="C1515" s="6"/>
      <c r="D1515" s="5" t="str">
        <f>IF(B1515="","",IFERROR(INDEX(Articles!$E:$E,MATCH(B1515,Articles!$B:$B,0)),""))</f>
        <v/>
      </c>
      <c r="E1515" s="9" t="str">
        <f>IF(OR(C1515="",D1515=""),"",C1515*D1515)</f>
        <v/>
      </c>
      <c r="F1515" s="4"/>
      <c r="G1515" s="4"/>
      <c r="H1515" s="9" t="str">
        <f>IF(OR(B1515="",C1515=""),"",C1515*IFERROR(INDEX(Articles!$D:$D,MATCH(B1515,Articles!$B:$B,0)),0))</f>
        <v/>
      </c>
      <c r="I1515" s="9" t="str">
        <f>IF(OR(E1515="",H1515=""),"",E1515-H1515)</f>
        <v/>
      </c>
      <c r="J1515" s="4"/>
    </row>
    <row r="1516">
      <c r="A1516" s="7"/>
      <c r="B1516" s="4"/>
      <c r="C1516" s="6"/>
      <c r="D1516" s="5" t="str">
        <f>IF(B1516="","",IFERROR(INDEX(Articles!$E:$E,MATCH(B1516,Articles!$B:$B,0)),""))</f>
        <v/>
      </c>
      <c r="E1516" s="9" t="str">
        <f>IF(OR(C1516="",D1516=""),"",C1516*D1516)</f>
        <v/>
      </c>
      <c r="F1516" s="4"/>
      <c r="G1516" s="4"/>
      <c r="H1516" s="9" t="str">
        <f>IF(OR(B1516="",C1516=""),"",C1516*IFERROR(INDEX(Articles!$D:$D,MATCH(B1516,Articles!$B:$B,0)),0))</f>
        <v/>
      </c>
      <c r="I1516" s="9" t="str">
        <f>IF(OR(E1516="",H1516=""),"",E1516-H1516)</f>
        <v/>
      </c>
      <c r="J1516" s="4"/>
    </row>
    <row r="1517">
      <c r="A1517" s="7"/>
      <c r="B1517" s="4"/>
      <c r="C1517" s="6"/>
      <c r="D1517" s="5" t="str">
        <f>IF(B1517="","",IFERROR(INDEX(Articles!$E:$E,MATCH(B1517,Articles!$B:$B,0)),""))</f>
        <v/>
      </c>
      <c r="E1517" s="9" t="str">
        <f>IF(OR(C1517="",D1517=""),"",C1517*D1517)</f>
        <v/>
      </c>
      <c r="F1517" s="4"/>
      <c r="G1517" s="4"/>
      <c r="H1517" s="9" t="str">
        <f>IF(OR(B1517="",C1517=""),"",C1517*IFERROR(INDEX(Articles!$D:$D,MATCH(B1517,Articles!$B:$B,0)),0))</f>
        <v/>
      </c>
      <c r="I1517" s="9" t="str">
        <f>IF(OR(E1517="",H1517=""),"",E1517-H1517)</f>
        <v/>
      </c>
      <c r="J1517" s="4"/>
    </row>
    <row r="1518">
      <c r="A1518" s="7"/>
      <c r="B1518" s="4"/>
      <c r="C1518" s="6"/>
      <c r="D1518" s="5" t="str">
        <f>IF(B1518="","",IFERROR(INDEX(Articles!$E:$E,MATCH(B1518,Articles!$B:$B,0)),""))</f>
        <v/>
      </c>
      <c r="E1518" s="9" t="str">
        <f>IF(OR(C1518="",D1518=""),"",C1518*D1518)</f>
        <v/>
      </c>
      <c r="F1518" s="4"/>
      <c r="G1518" s="4"/>
      <c r="H1518" s="9" t="str">
        <f>IF(OR(B1518="",C1518=""),"",C1518*IFERROR(INDEX(Articles!$D:$D,MATCH(B1518,Articles!$B:$B,0)),0))</f>
        <v/>
      </c>
      <c r="I1518" s="9" t="str">
        <f>IF(OR(E1518="",H1518=""),"",E1518-H1518)</f>
        <v/>
      </c>
      <c r="J1518" s="4"/>
    </row>
    <row r="1519">
      <c r="A1519" s="7"/>
      <c r="B1519" s="4"/>
      <c r="C1519" s="6"/>
      <c r="D1519" s="5" t="str">
        <f>IF(B1519="","",IFERROR(INDEX(Articles!$E:$E,MATCH(B1519,Articles!$B:$B,0)),""))</f>
        <v/>
      </c>
      <c r="E1519" s="9" t="str">
        <f>IF(OR(C1519="",D1519=""),"",C1519*D1519)</f>
        <v/>
      </c>
      <c r="F1519" s="4"/>
      <c r="G1519" s="4"/>
      <c r="H1519" s="9" t="str">
        <f>IF(OR(B1519="",C1519=""),"",C1519*IFERROR(INDEX(Articles!$D:$D,MATCH(B1519,Articles!$B:$B,0)),0))</f>
        <v/>
      </c>
      <c r="I1519" s="9" t="str">
        <f>IF(OR(E1519="",H1519=""),"",E1519-H1519)</f>
        <v/>
      </c>
      <c r="J1519" s="4"/>
    </row>
    <row r="1520">
      <c r="A1520" s="7"/>
      <c r="B1520" s="4"/>
      <c r="C1520" s="6"/>
      <c r="D1520" s="5" t="str">
        <f>IF(B1520="","",IFERROR(INDEX(Articles!$E:$E,MATCH(B1520,Articles!$B:$B,0)),""))</f>
        <v/>
      </c>
      <c r="E1520" s="9" t="str">
        <f>IF(OR(C1520="",D1520=""),"",C1520*D1520)</f>
        <v/>
      </c>
      <c r="F1520" s="4"/>
      <c r="G1520" s="4"/>
      <c r="H1520" s="9" t="str">
        <f>IF(OR(B1520="",C1520=""),"",C1520*IFERROR(INDEX(Articles!$D:$D,MATCH(B1520,Articles!$B:$B,0)),0))</f>
        <v/>
      </c>
      <c r="I1520" s="9" t="str">
        <f>IF(OR(E1520="",H1520=""),"",E1520-H1520)</f>
        <v/>
      </c>
      <c r="J1520" s="4"/>
    </row>
    <row r="1521">
      <c r="A1521" s="7"/>
      <c r="B1521" s="4"/>
      <c r="C1521" s="6"/>
      <c r="D1521" s="5" t="str">
        <f>IF(B1521="","",IFERROR(INDEX(Articles!$E:$E,MATCH(B1521,Articles!$B:$B,0)),""))</f>
        <v/>
      </c>
      <c r="E1521" s="9" t="str">
        <f>IF(OR(C1521="",D1521=""),"",C1521*D1521)</f>
        <v/>
      </c>
      <c r="F1521" s="4"/>
      <c r="G1521" s="4"/>
      <c r="H1521" s="9" t="str">
        <f>IF(OR(B1521="",C1521=""),"",C1521*IFERROR(INDEX(Articles!$D:$D,MATCH(B1521,Articles!$B:$B,0)),0))</f>
        <v/>
      </c>
      <c r="I1521" s="9" t="str">
        <f>IF(OR(E1521="",H1521=""),"",E1521-H1521)</f>
        <v/>
      </c>
      <c r="J1521" s="4"/>
    </row>
    <row r="1522">
      <c r="A1522" s="7"/>
      <c r="B1522" s="4"/>
      <c r="C1522" s="6"/>
      <c r="D1522" s="5" t="str">
        <f>IF(B1522="","",IFERROR(INDEX(Articles!$E:$E,MATCH(B1522,Articles!$B:$B,0)),""))</f>
        <v/>
      </c>
      <c r="E1522" s="9" t="str">
        <f>IF(OR(C1522="",D1522=""),"",C1522*D1522)</f>
        <v/>
      </c>
      <c r="F1522" s="4"/>
      <c r="G1522" s="4"/>
      <c r="H1522" s="9" t="str">
        <f>IF(OR(B1522="",C1522=""),"",C1522*IFERROR(INDEX(Articles!$D:$D,MATCH(B1522,Articles!$B:$B,0)),0))</f>
        <v/>
      </c>
      <c r="I1522" s="9" t="str">
        <f>IF(OR(E1522="",H1522=""),"",E1522-H1522)</f>
        <v/>
      </c>
      <c r="J1522" s="4"/>
    </row>
    <row r="1523">
      <c r="A1523" s="7"/>
      <c r="B1523" s="4"/>
      <c r="C1523" s="6"/>
      <c r="D1523" s="5" t="str">
        <f>IF(B1523="","",IFERROR(INDEX(Articles!$E:$E,MATCH(B1523,Articles!$B:$B,0)),""))</f>
        <v/>
      </c>
      <c r="E1523" s="9" t="str">
        <f>IF(OR(C1523="",D1523=""),"",C1523*D1523)</f>
        <v/>
      </c>
      <c r="F1523" s="4"/>
      <c r="G1523" s="4"/>
      <c r="H1523" s="9" t="str">
        <f>IF(OR(B1523="",C1523=""),"",C1523*IFERROR(INDEX(Articles!$D:$D,MATCH(B1523,Articles!$B:$B,0)),0))</f>
        <v/>
      </c>
      <c r="I1523" s="9" t="str">
        <f>IF(OR(E1523="",H1523=""),"",E1523-H1523)</f>
        <v/>
      </c>
      <c r="J1523" s="4"/>
    </row>
    <row r="1524">
      <c r="A1524" s="7"/>
      <c r="B1524" s="4"/>
      <c r="C1524" s="6"/>
      <c r="D1524" s="5" t="str">
        <f>IF(B1524="","",IFERROR(INDEX(Articles!$E:$E,MATCH(B1524,Articles!$B:$B,0)),""))</f>
        <v/>
      </c>
      <c r="E1524" s="9" t="str">
        <f>IF(OR(C1524="",D1524=""),"",C1524*D1524)</f>
        <v/>
      </c>
      <c r="F1524" s="4"/>
      <c r="G1524" s="4"/>
      <c r="H1524" s="9" t="str">
        <f>IF(OR(B1524="",C1524=""),"",C1524*IFERROR(INDEX(Articles!$D:$D,MATCH(B1524,Articles!$B:$B,0)),0))</f>
        <v/>
      </c>
      <c r="I1524" s="9" t="str">
        <f>IF(OR(E1524="",H1524=""),"",E1524-H1524)</f>
        <v/>
      </c>
      <c r="J1524" s="4"/>
    </row>
    <row r="1525">
      <c r="A1525" s="7"/>
      <c r="B1525" s="4"/>
      <c r="C1525" s="6"/>
      <c r="D1525" s="5" t="str">
        <f>IF(B1525="","",IFERROR(INDEX(Articles!$E:$E,MATCH(B1525,Articles!$B:$B,0)),""))</f>
        <v/>
      </c>
      <c r="E1525" s="9" t="str">
        <f>IF(OR(C1525="",D1525=""),"",C1525*D1525)</f>
        <v/>
      </c>
      <c r="F1525" s="4"/>
      <c r="G1525" s="4"/>
      <c r="H1525" s="9" t="str">
        <f>IF(OR(B1525="",C1525=""),"",C1525*IFERROR(INDEX(Articles!$D:$D,MATCH(B1525,Articles!$B:$B,0)),0))</f>
        <v/>
      </c>
      <c r="I1525" s="9" t="str">
        <f>IF(OR(E1525="",H1525=""),"",E1525-H1525)</f>
        <v/>
      </c>
      <c r="J1525" s="4"/>
    </row>
    <row r="1526">
      <c r="A1526" s="7"/>
      <c r="B1526" s="4"/>
      <c r="C1526" s="6"/>
      <c r="D1526" s="5" t="str">
        <f>IF(B1526="","",IFERROR(INDEX(Articles!$E:$E,MATCH(B1526,Articles!$B:$B,0)),""))</f>
        <v/>
      </c>
      <c r="E1526" s="9" t="str">
        <f>IF(OR(C1526="",D1526=""),"",C1526*D1526)</f>
        <v/>
      </c>
      <c r="F1526" s="4"/>
      <c r="G1526" s="4"/>
      <c r="H1526" s="9" t="str">
        <f>IF(OR(B1526="",C1526=""),"",C1526*IFERROR(INDEX(Articles!$D:$D,MATCH(B1526,Articles!$B:$B,0)),0))</f>
        <v/>
      </c>
      <c r="I1526" s="9" t="str">
        <f>IF(OR(E1526="",H1526=""),"",E1526-H1526)</f>
        <v/>
      </c>
      <c r="J1526" s="4"/>
    </row>
    <row r="1527">
      <c r="A1527" s="7"/>
      <c r="B1527" s="4"/>
      <c r="C1527" s="6"/>
      <c r="D1527" s="5" t="str">
        <f>IF(B1527="","",IFERROR(INDEX(Articles!$E:$E,MATCH(B1527,Articles!$B:$B,0)),""))</f>
        <v/>
      </c>
      <c r="E1527" s="9" t="str">
        <f>IF(OR(C1527="",D1527=""),"",C1527*D1527)</f>
        <v/>
      </c>
      <c r="F1527" s="4"/>
      <c r="G1527" s="4"/>
      <c r="H1527" s="9" t="str">
        <f>IF(OR(B1527="",C1527=""),"",C1527*IFERROR(INDEX(Articles!$D:$D,MATCH(B1527,Articles!$B:$B,0)),0))</f>
        <v/>
      </c>
      <c r="I1527" s="9" t="str">
        <f>IF(OR(E1527="",H1527=""),"",E1527-H1527)</f>
        <v/>
      </c>
      <c r="J1527" s="4"/>
    </row>
    <row r="1528">
      <c r="A1528" s="7"/>
      <c r="B1528" s="4"/>
      <c r="C1528" s="6"/>
      <c r="D1528" s="5" t="str">
        <f>IF(B1528="","",IFERROR(INDEX(Articles!$E:$E,MATCH(B1528,Articles!$B:$B,0)),""))</f>
        <v/>
      </c>
      <c r="E1528" s="9" t="str">
        <f>IF(OR(C1528="",D1528=""),"",C1528*D1528)</f>
        <v/>
      </c>
      <c r="F1528" s="4"/>
      <c r="G1528" s="4"/>
      <c r="H1528" s="9" t="str">
        <f>IF(OR(B1528="",C1528=""),"",C1528*IFERROR(INDEX(Articles!$D:$D,MATCH(B1528,Articles!$B:$B,0)),0))</f>
        <v/>
      </c>
      <c r="I1528" s="9" t="str">
        <f>IF(OR(E1528="",H1528=""),"",E1528-H1528)</f>
        <v/>
      </c>
      <c r="J1528" s="4"/>
    </row>
    <row r="1529">
      <c r="A1529" s="7"/>
      <c r="B1529" s="4"/>
      <c r="C1529" s="6"/>
      <c r="D1529" s="5" t="str">
        <f>IF(B1529="","",IFERROR(INDEX(Articles!$E:$E,MATCH(B1529,Articles!$B:$B,0)),""))</f>
        <v/>
      </c>
      <c r="E1529" s="9" t="str">
        <f>IF(OR(C1529="",D1529=""),"",C1529*D1529)</f>
        <v/>
      </c>
      <c r="F1529" s="4"/>
      <c r="G1529" s="4"/>
      <c r="H1529" s="9" t="str">
        <f>IF(OR(B1529="",C1529=""),"",C1529*IFERROR(INDEX(Articles!$D:$D,MATCH(B1529,Articles!$B:$B,0)),0))</f>
        <v/>
      </c>
      <c r="I1529" s="9" t="str">
        <f>IF(OR(E1529="",H1529=""),"",E1529-H1529)</f>
        <v/>
      </c>
      <c r="J1529" s="4"/>
    </row>
    <row r="1530">
      <c r="A1530" s="7"/>
      <c r="B1530" s="4"/>
      <c r="C1530" s="6"/>
      <c r="D1530" s="5" t="str">
        <f>IF(B1530="","",IFERROR(INDEX(Articles!$E:$E,MATCH(B1530,Articles!$B:$B,0)),""))</f>
        <v/>
      </c>
      <c r="E1530" s="9" t="str">
        <f>IF(OR(C1530="",D1530=""),"",C1530*D1530)</f>
        <v/>
      </c>
      <c r="F1530" s="4"/>
      <c r="G1530" s="4"/>
      <c r="H1530" s="9" t="str">
        <f>IF(OR(B1530="",C1530=""),"",C1530*IFERROR(INDEX(Articles!$D:$D,MATCH(B1530,Articles!$B:$B,0)),0))</f>
        <v/>
      </c>
      <c r="I1530" s="9" t="str">
        <f>IF(OR(E1530="",H1530=""),"",E1530-H1530)</f>
        <v/>
      </c>
      <c r="J1530" s="4"/>
    </row>
    <row r="1531">
      <c r="A1531" s="7"/>
      <c r="B1531" s="4"/>
      <c r="C1531" s="6"/>
      <c r="D1531" s="5" t="str">
        <f>IF(B1531="","",IFERROR(INDEX(Articles!$E:$E,MATCH(B1531,Articles!$B:$B,0)),""))</f>
        <v/>
      </c>
      <c r="E1531" s="9" t="str">
        <f>IF(OR(C1531="",D1531=""),"",C1531*D1531)</f>
        <v/>
      </c>
      <c r="F1531" s="4"/>
      <c r="G1531" s="4"/>
      <c r="H1531" s="9" t="str">
        <f>IF(OR(B1531="",C1531=""),"",C1531*IFERROR(INDEX(Articles!$D:$D,MATCH(B1531,Articles!$B:$B,0)),0))</f>
        <v/>
      </c>
      <c r="I1531" s="9" t="str">
        <f>IF(OR(E1531="",H1531=""),"",E1531-H1531)</f>
        <v/>
      </c>
      <c r="J1531" s="4"/>
    </row>
    <row r="1532">
      <c r="A1532" s="7"/>
      <c r="B1532" s="4"/>
      <c r="C1532" s="6"/>
      <c r="D1532" s="5" t="str">
        <f>IF(B1532="","",IFERROR(INDEX(Articles!$E:$E,MATCH(B1532,Articles!$B:$B,0)),""))</f>
        <v/>
      </c>
      <c r="E1532" s="9" t="str">
        <f>IF(OR(C1532="",D1532=""),"",C1532*D1532)</f>
        <v/>
      </c>
      <c r="F1532" s="4"/>
      <c r="G1532" s="4"/>
      <c r="H1532" s="9" t="str">
        <f>IF(OR(B1532="",C1532=""),"",C1532*IFERROR(INDEX(Articles!$D:$D,MATCH(B1532,Articles!$B:$B,0)),0))</f>
        <v/>
      </c>
      <c r="I1532" s="9" t="str">
        <f>IF(OR(E1532="",H1532=""),"",E1532-H1532)</f>
        <v/>
      </c>
      <c r="J1532" s="4"/>
    </row>
    <row r="1533">
      <c r="A1533" s="7"/>
      <c r="B1533" s="4"/>
      <c r="C1533" s="6"/>
      <c r="D1533" s="5" t="str">
        <f>IF(B1533="","",IFERROR(INDEX(Articles!$E:$E,MATCH(B1533,Articles!$B:$B,0)),""))</f>
        <v/>
      </c>
      <c r="E1533" s="9" t="str">
        <f>IF(OR(C1533="",D1533=""),"",C1533*D1533)</f>
        <v/>
      </c>
      <c r="F1533" s="4"/>
      <c r="G1533" s="4"/>
      <c r="H1533" s="9" t="str">
        <f>IF(OR(B1533="",C1533=""),"",C1533*IFERROR(INDEX(Articles!$D:$D,MATCH(B1533,Articles!$B:$B,0)),0))</f>
        <v/>
      </c>
      <c r="I1533" s="9" t="str">
        <f>IF(OR(E1533="",H1533=""),"",E1533-H1533)</f>
        <v/>
      </c>
      <c r="J1533" s="4"/>
    </row>
    <row r="1534">
      <c r="A1534" s="7"/>
      <c r="B1534" s="4"/>
      <c r="C1534" s="6"/>
      <c r="D1534" s="5" t="str">
        <f>IF(B1534="","",IFERROR(INDEX(Articles!$E:$E,MATCH(B1534,Articles!$B:$B,0)),""))</f>
        <v/>
      </c>
      <c r="E1534" s="9" t="str">
        <f>IF(OR(C1534="",D1534=""),"",C1534*D1534)</f>
        <v/>
      </c>
      <c r="F1534" s="4"/>
      <c r="G1534" s="4"/>
      <c r="H1534" s="9" t="str">
        <f>IF(OR(B1534="",C1534=""),"",C1534*IFERROR(INDEX(Articles!$D:$D,MATCH(B1534,Articles!$B:$B,0)),0))</f>
        <v/>
      </c>
      <c r="I1534" s="9" t="str">
        <f>IF(OR(E1534="",H1534=""),"",E1534-H1534)</f>
        <v/>
      </c>
      <c r="J1534" s="4"/>
    </row>
    <row r="1535">
      <c r="A1535" s="7"/>
      <c r="B1535" s="4"/>
      <c r="C1535" s="6"/>
      <c r="D1535" s="5" t="str">
        <f>IF(B1535="","",IFERROR(INDEX(Articles!$E:$E,MATCH(B1535,Articles!$B:$B,0)),""))</f>
        <v/>
      </c>
      <c r="E1535" s="9" t="str">
        <f>IF(OR(C1535="",D1535=""),"",C1535*D1535)</f>
        <v/>
      </c>
      <c r="F1535" s="4"/>
      <c r="G1535" s="4"/>
      <c r="H1535" s="9" t="str">
        <f>IF(OR(B1535="",C1535=""),"",C1535*IFERROR(INDEX(Articles!$D:$D,MATCH(B1535,Articles!$B:$B,0)),0))</f>
        <v/>
      </c>
      <c r="I1535" s="9" t="str">
        <f>IF(OR(E1535="",H1535=""),"",E1535-H1535)</f>
        <v/>
      </c>
      <c r="J1535" s="4"/>
    </row>
    <row r="1536">
      <c r="A1536" s="7"/>
      <c r="B1536" s="4"/>
      <c r="C1536" s="6"/>
      <c r="D1536" s="5" t="str">
        <f>IF(B1536="","",IFERROR(INDEX(Articles!$E:$E,MATCH(B1536,Articles!$B:$B,0)),""))</f>
        <v/>
      </c>
      <c r="E1536" s="9" t="str">
        <f>IF(OR(C1536="",D1536=""),"",C1536*D1536)</f>
        <v/>
      </c>
      <c r="F1536" s="4"/>
      <c r="G1536" s="4"/>
      <c r="H1536" s="9" t="str">
        <f>IF(OR(B1536="",C1536=""),"",C1536*IFERROR(INDEX(Articles!$D:$D,MATCH(B1536,Articles!$B:$B,0)),0))</f>
        <v/>
      </c>
      <c r="I1536" s="9" t="str">
        <f>IF(OR(E1536="",H1536=""),"",E1536-H1536)</f>
        <v/>
      </c>
      <c r="J1536" s="4"/>
    </row>
    <row r="1537">
      <c r="A1537" s="7"/>
      <c r="B1537" s="4"/>
      <c r="C1537" s="6"/>
      <c r="D1537" s="5" t="str">
        <f>IF(B1537="","",IFERROR(INDEX(Articles!$E:$E,MATCH(B1537,Articles!$B:$B,0)),""))</f>
        <v/>
      </c>
      <c r="E1537" s="9" t="str">
        <f>IF(OR(C1537="",D1537=""),"",C1537*D1537)</f>
        <v/>
      </c>
      <c r="F1537" s="4"/>
      <c r="G1537" s="4"/>
      <c r="H1537" s="9" t="str">
        <f>IF(OR(B1537="",C1537=""),"",C1537*IFERROR(INDEX(Articles!$D:$D,MATCH(B1537,Articles!$B:$B,0)),0))</f>
        <v/>
      </c>
      <c r="I1537" s="9" t="str">
        <f>IF(OR(E1537="",H1537=""),"",E1537-H1537)</f>
        <v/>
      </c>
      <c r="J1537" s="4"/>
    </row>
    <row r="1538">
      <c r="A1538" s="7"/>
      <c r="B1538" s="4"/>
      <c r="C1538" s="6"/>
      <c r="D1538" s="5" t="str">
        <f>IF(B1538="","",IFERROR(INDEX(Articles!$E:$E,MATCH(B1538,Articles!$B:$B,0)),""))</f>
        <v/>
      </c>
      <c r="E1538" s="9" t="str">
        <f>IF(OR(C1538="",D1538=""),"",C1538*D1538)</f>
        <v/>
      </c>
      <c r="F1538" s="4"/>
      <c r="G1538" s="4"/>
      <c r="H1538" s="9" t="str">
        <f>IF(OR(B1538="",C1538=""),"",C1538*IFERROR(INDEX(Articles!$D:$D,MATCH(B1538,Articles!$B:$B,0)),0))</f>
        <v/>
      </c>
      <c r="I1538" s="9" t="str">
        <f>IF(OR(E1538="",H1538=""),"",E1538-H1538)</f>
        <v/>
      </c>
      <c r="J1538" s="4"/>
    </row>
    <row r="1539">
      <c r="A1539" s="7"/>
      <c r="B1539" s="4"/>
      <c r="C1539" s="6"/>
      <c r="D1539" s="5" t="str">
        <f>IF(B1539="","",IFERROR(INDEX(Articles!$E:$E,MATCH(B1539,Articles!$B:$B,0)),""))</f>
        <v/>
      </c>
      <c r="E1539" s="9" t="str">
        <f>IF(OR(C1539="",D1539=""),"",C1539*D1539)</f>
        <v/>
      </c>
      <c r="F1539" s="4"/>
      <c r="G1539" s="4"/>
      <c r="H1539" s="9" t="str">
        <f>IF(OR(B1539="",C1539=""),"",C1539*IFERROR(INDEX(Articles!$D:$D,MATCH(B1539,Articles!$B:$B,0)),0))</f>
        <v/>
      </c>
      <c r="I1539" s="9" t="str">
        <f>IF(OR(E1539="",H1539=""),"",E1539-H1539)</f>
        <v/>
      </c>
      <c r="J1539" s="4"/>
    </row>
    <row r="1540">
      <c r="A1540" s="7"/>
      <c r="B1540" s="4"/>
      <c r="C1540" s="6"/>
      <c r="D1540" s="5" t="str">
        <f>IF(B1540="","",IFERROR(INDEX(Articles!$E:$E,MATCH(B1540,Articles!$B:$B,0)),""))</f>
        <v/>
      </c>
      <c r="E1540" s="9" t="str">
        <f>IF(OR(C1540="",D1540=""),"",C1540*D1540)</f>
        <v/>
      </c>
      <c r="F1540" s="4"/>
      <c r="G1540" s="4"/>
      <c r="H1540" s="9" t="str">
        <f>IF(OR(B1540="",C1540=""),"",C1540*IFERROR(INDEX(Articles!$D:$D,MATCH(B1540,Articles!$B:$B,0)),0))</f>
        <v/>
      </c>
      <c r="I1540" s="9" t="str">
        <f>IF(OR(E1540="",H1540=""),"",E1540-H1540)</f>
        <v/>
      </c>
      <c r="J1540" s="4"/>
    </row>
    <row r="1541">
      <c r="A1541" s="7"/>
      <c r="B1541" s="4"/>
      <c r="C1541" s="6"/>
      <c r="D1541" s="5" t="str">
        <f>IF(B1541="","",IFERROR(INDEX(Articles!$E:$E,MATCH(B1541,Articles!$B:$B,0)),""))</f>
        <v/>
      </c>
      <c r="E1541" s="9" t="str">
        <f>IF(OR(C1541="",D1541=""),"",C1541*D1541)</f>
        <v/>
      </c>
      <c r="F1541" s="4"/>
      <c r="G1541" s="4"/>
      <c r="H1541" s="9" t="str">
        <f>IF(OR(B1541="",C1541=""),"",C1541*IFERROR(INDEX(Articles!$D:$D,MATCH(B1541,Articles!$B:$B,0)),0))</f>
        <v/>
      </c>
      <c r="I1541" s="9" t="str">
        <f>IF(OR(E1541="",H1541=""),"",E1541-H1541)</f>
        <v/>
      </c>
      <c r="J1541" s="4"/>
    </row>
    <row r="1542">
      <c r="A1542" s="7"/>
      <c r="B1542" s="4"/>
      <c r="C1542" s="6"/>
      <c r="D1542" s="5" t="str">
        <f>IF(B1542="","",IFERROR(INDEX(Articles!$E:$E,MATCH(B1542,Articles!$B:$B,0)),""))</f>
        <v/>
      </c>
      <c r="E1542" s="9" t="str">
        <f>IF(OR(C1542="",D1542=""),"",C1542*D1542)</f>
        <v/>
      </c>
      <c r="F1542" s="4"/>
      <c r="G1542" s="4"/>
      <c r="H1542" s="9" t="str">
        <f>IF(OR(B1542="",C1542=""),"",C1542*IFERROR(INDEX(Articles!$D:$D,MATCH(B1542,Articles!$B:$B,0)),0))</f>
        <v/>
      </c>
      <c r="I1542" s="9" t="str">
        <f>IF(OR(E1542="",H1542=""),"",E1542-H1542)</f>
        <v/>
      </c>
      <c r="J1542" s="4"/>
    </row>
    <row r="1543">
      <c r="A1543" s="7"/>
      <c r="B1543" s="4"/>
      <c r="C1543" s="6"/>
      <c r="D1543" s="5" t="str">
        <f>IF(B1543="","",IFERROR(INDEX(Articles!$E:$E,MATCH(B1543,Articles!$B:$B,0)),""))</f>
        <v/>
      </c>
      <c r="E1543" s="9" t="str">
        <f>IF(OR(C1543="",D1543=""),"",C1543*D1543)</f>
        <v/>
      </c>
      <c r="F1543" s="4"/>
      <c r="G1543" s="4"/>
      <c r="H1543" s="9" t="str">
        <f>IF(OR(B1543="",C1543=""),"",C1543*IFERROR(INDEX(Articles!$D:$D,MATCH(B1543,Articles!$B:$B,0)),0))</f>
        <v/>
      </c>
      <c r="I1543" s="9" t="str">
        <f>IF(OR(E1543="",H1543=""),"",E1543-H1543)</f>
        <v/>
      </c>
      <c r="J1543" s="4"/>
    </row>
    <row r="1544">
      <c r="A1544" s="7"/>
      <c r="B1544" s="4"/>
      <c r="C1544" s="6"/>
      <c r="D1544" s="5" t="str">
        <f>IF(B1544="","",IFERROR(INDEX(Articles!$E:$E,MATCH(B1544,Articles!$B:$B,0)),""))</f>
        <v/>
      </c>
      <c r="E1544" s="9" t="str">
        <f>IF(OR(C1544="",D1544=""),"",C1544*D1544)</f>
        <v/>
      </c>
      <c r="F1544" s="4"/>
      <c r="G1544" s="4"/>
      <c r="H1544" s="9" t="str">
        <f>IF(OR(B1544="",C1544=""),"",C1544*IFERROR(INDEX(Articles!$D:$D,MATCH(B1544,Articles!$B:$B,0)),0))</f>
        <v/>
      </c>
      <c r="I1544" s="9" t="str">
        <f>IF(OR(E1544="",H1544=""),"",E1544-H1544)</f>
        <v/>
      </c>
      <c r="J1544" s="4"/>
    </row>
    <row r="1545">
      <c r="A1545" s="7"/>
      <c r="B1545" s="4"/>
      <c r="C1545" s="6"/>
      <c r="D1545" s="5" t="str">
        <f>IF(B1545="","",IFERROR(INDEX(Articles!$E:$E,MATCH(B1545,Articles!$B:$B,0)),""))</f>
        <v/>
      </c>
      <c r="E1545" s="9" t="str">
        <f>IF(OR(C1545="",D1545=""),"",C1545*D1545)</f>
        <v/>
      </c>
      <c r="F1545" s="4"/>
      <c r="G1545" s="4"/>
      <c r="H1545" s="9" t="str">
        <f>IF(OR(B1545="",C1545=""),"",C1545*IFERROR(INDEX(Articles!$D:$D,MATCH(B1545,Articles!$B:$B,0)),0))</f>
        <v/>
      </c>
      <c r="I1545" s="9" t="str">
        <f>IF(OR(E1545="",H1545=""),"",E1545-H1545)</f>
        <v/>
      </c>
      <c r="J1545" s="4"/>
    </row>
    <row r="1546">
      <c r="A1546" s="7"/>
      <c r="B1546" s="4"/>
      <c r="C1546" s="6"/>
      <c r="D1546" s="5" t="str">
        <f>IF(B1546="","",IFERROR(INDEX(Articles!$E:$E,MATCH(B1546,Articles!$B:$B,0)),""))</f>
        <v/>
      </c>
      <c r="E1546" s="9" t="str">
        <f>IF(OR(C1546="",D1546=""),"",C1546*D1546)</f>
        <v/>
      </c>
      <c r="F1546" s="4"/>
      <c r="G1546" s="4"/>
      <c r="H1546" s="9" t="str">
        <f>IF(OR(B1546="",C1546=""),"",C1546*IFERROR(INDEX(Articles!$D:$D,MATCH(B1546,Articles!$B:$B,0)),0))</f>
        <v/>
      </c>
      <c r="I1546" s="9" t="str">
        <f>IF(OR(E1546="",H1546=""),"",E1546-H1546)</f>
        <v/>
      </c>
      <c r="J1546" s="4"/>
    </row>
    <row r="1547">
      <c r="A1547" s="7"/>
      <c r="B1547" s="4"/>
      <c r="C1547" s="6"/>
      <c r="D1547" s="5" t="str">
        <f>IF(B1547="","",IFERROR(INDEX(Articles!$E:$E,MATCH(B1547,Articles!$B:$B,0)),""))</f>
        <v/>
      </c>
      <c r="E1547" s="9" t="str">
        <f>IF(OR(C1547="",D1547=""),"",C1547*D1547)</f>
        <v/>
      </c>
      <c r="F1547" s="4"/>
      <c r="G1547" s="4"/>
      <c r="H1547" s="9" t="str">
        <f>IF(OR(B1547="",C1547=""),"",C1547*IFERROR(INDEX(Articles!$D:$D,MATCH(B1547,Articles!$B:$B,0)),0))</f>
        <v/>
      </c>
      <c r="I1547" s="9" t="str">
        <f>IF(OR(E1547="",H1547=""),"",E1547-H1547)</f>
        <v/>
      </c>
      <c r="J1547" s="4"/>
    </row>
    <row r="1548">
      <c r="A1548" s="7"/>
      <c r="B1548" s="4"/>
      <c r="C1548" s="6"/>
      <c r="D1548" s="5" t="str">
        <f>IF(B1548="","",IFERROR(INDEX(Articles!$E:$E,MATCH(B1548,Articles!$B:$B,0)),""))</f>
        <v/>
      </c>
      <c r="E1548" s="9" t="str">
        <f>IF(OR(C1548="",D1548=""),"",C1548*D1548)</f>
        <v/>
      </c>
      <c r="F1548" s="4"/>
      <c r="G1548" s="4"/>
      <c r="H1548" s="9" t="str">
        <f>IF(OR(B1548="",C1548=""),"",C1548*IFERROR(INDEX(Articles!$D:$D,MATCH(B1548,Articles!$B:$B,0)),0))</f>
        <v/>
      </c>
      <c r="I1548" s="9" t="str">
        <f>IF(OR(E1548="",H1548=""),"",E1548-H1548)</f>
        <v/>
      </c>
      <c r="J1548" s="4"/>
    </row>
    <row r="1549">
      <c r="A1549" s="7"/>
      <c r="B1549" s="4"/>
      <c r="C1549" s="6"/>
      <c r="D1549" s="5" t="str">
        <f>IF(B1549="","",IFERROR(INDEX(Articles!$E:$E,MATCH(B1549,Articles!$B:$B,0)),""))</f>
        <v/>
      </c>
      <c r="E1549" s="9" t="str">
        <f>IF(OR(C1549="",D1549=""),"",C1549*D1549)</f>
        <v/>
      </c>
      <c r="F1549" s="4"/>
      <c r="G1549" s="4"/>
      <c r="H1549" s="9" t="str">
        <f>IF(OR(B1549="",C1549=""),"",C1549*IFERROR(INDEX(Articles!$D:$D,MATCH(B1549,Articles!$B:$B,0)),0))</f>
        <v/>
      </c>
      <c r="I1549" s="9" t="str">
        <f>IF(OR(E1549="",H1549=""),"",E1549-H1549)</f>
        <v/>
      </c>
      <c r="J1549" s="4"/>
    </row>
    <row r="1550">
      <c r="A1550" s="7"/>
      <c r="B1550" s="4"/>
      <c r="C1550" s="6"/>
      <c r="D1550" s="5" t="str">
        <f>IF(B1550="","",IFERROR(INDEX(Articles!$E:$E,MATCH(B1550,Articles!$B:$B,0)),""))</f>
        <v/>
      </c>
      <c r="E1550" s="9" t="str">
        <f>IF(OR(C1550="",D1550=""),"",C1550*D1550)</f>
        <v/>
      </c>
      <c r="F1550" s="4"/>
      <c r="G1550" s="4"/>
      <c r="H1550" s="9" t="str">
        <f>IF(OR(B1550="",C1550=""),"",C1550*IFERROR(INDEX(Articles!$D:$D,MATCH(B1550,Articles!$B:$B,0)),0))</f>
        <v/>
      </c>
      <c r="I1550" s="9" t="str">
        <f>IF(OR(E1550="",H1550=""),"",E1550-H1550)</f>
        <v/>
      </c>
      <c r="J1550" s="4"/>
    </row>
    <row r="1551">
      <c r="A1551" s="7"/>
      <c r="B1551" s="4"/>
      <c r="C1551" s="6"/>
      <c r="D1551" s="5" t="str">
        <f>IF(B1551="","",IFERROR(INDEX(Articles!$E:$E,MATCH(B1551,Articles!$B:$B,0)),""))</f>
        <v/>
      </c>
      <c r="E1551" s="9" t="str">
        <f>IF(OR(C1551="",D1551=""),"",C1551*D1551)</f>
        <v/>
      </c>
      <c r="F1551" s="4"/>
      <c r="G1551" s="4"/>
      <c r="H1551" s="9" t="str">
        <f>IF(OR(B1551="",C1551=""),"",C1551*IFERROR(INDEX(Articles!$D:$D,MATCH(B1551,Articles!$B:$B,0)),0))</f>
        <v/>
      </c>
      <c r="I1551" s="9" t="str">
        <f>IF(OR(E1551="",H1551=""),"",E1551-H1551)</f>
        <v/>
      </c>
      <c r="J1551" s="4"/>
    </row>
    <row r="1552">
      <c r="A1552" s="7"/>
      <c r="B1552" s="4"/>
      <c r="C1552" s="6"/>
      <c r="D1552" s="5" t="str">
        <f>IF(B1552="","",IFERROR(INDEX(Articles!$E:$E,MATCH(B1552,Articles!$B:$B,0)),""))</f>
        <v/>
      </c>
      <c r="E1552" s="9" t="str">
        <f>IF(OR(C1552="",D1552=""),"",C1552*D1552)</f>
        <v/>
      </c>
      <c r="F1552" s="4"/>
      <c r="G1552" s="4"/>
      <c r="H1552" s="9" t="str">
        <f>IF(OR(B1552="",C1552=""),"",C1552*IFERROR(INDEX(Articles!$D:$D,MATCH(B1552,Articles!$B:$B,0)),0))</f>
        <v/>
      </c>
      <c r="I1552" s="9" t="str">
        <f>IF(OR(E1552="",H1552=""),"",E1552-H1552)</f>
        <v/>
      </c>
      <c r="J1552" s="4"/>
    </row>
    <row r="1553">
      <c r="A1553" s="7"/>
      <c r="B1553" s="4"/>
      <c r="C1553" s="6"/>
      <c r="D1553" s="5" t="str">
        <f>IF(B1553="","",IFERROR(INDEX(Articles!$E:$E,MATCH(B1553,Articles!$B:$B,0)),""))</f>
        <v/>
      </c>
      <c r="E1553" s="9" t="str">
        <f>IF(OR(C1553="",D1553=""),"",C1553*D1553)</f>
        <v/>
      </c>
      <c r="F1553" s="4"/>
      <c r="G1553" s="4"/>
      <c r="H1553" s="9" t="str">
        <f>IF(OR(B1553="",C1553=""),"",C1553*IFERROR(INDEX(Articles!$D:$D,MATCH(B1553,Articles!$B:$B,0)),0))</f>
        <v/>
      </c>
      <c r="I1553" s="9" t="str">
        <f>IF(OR(E1553="",H1553=""),"",E1553-H1553)</f>
        <v/>
      </c>
      <c r="J1553" s="4"/>
    </row>
    <row r="1554">
      <c r="A1554" s="7"/>
      <c r="B1554" s="4"/>
      <c r="C1554" s="6"/>
      <c r="D1554" s="5" t="str">
        <f>IF(B1554="","",IFERROR(INDEX(Articles!$E:$E,MATCH(B1554,Articles!$B:$B,0)),""))</f>
        <v/>
      </c>
      <c r="E1554" s="9" t="str">
        <f>IF(OR(C1554="",D1554=""),"",C1554*D1554)</f>
        <v/>
      </c>
      <c r="F1554" s="4"/>
      <c r="G1554" s="4"/>
      <c r="H1554" s="9" t="str">
        <f>IF(OR(B1554="",C1554=""),"",C1554*IFERROR(INDEX(Articles!$D:$D,MATCH(B1554,Articles!$B:$B,0)),0))</f>
        <v/>
      </c>
      <c r="I1554" s="9" t="str">
        <f>IF(OR(E1554="",H1554=""),"",E1554-H1554)</f>
        <v/>
      </c>
      <c r="J1554" s="4"/>
    </row>
    <row r="1555">
      <c r="A1555" s="7"/>
      <c r="B1555" s="4"/>
      <c r="C1555" s="6"/>
      <c r="D1555" s="5" t="str">
        <f>IF(B1555="","",IFERROR(INDEX(Articles!$E:$E,MATCH(B1555,Articles!$B:$B,0)),""))</f>
        <v/>
      </c>
      <c r="E1555" s="9" t="str">
        <f>IF(OR(C1555="",D1555=""),"",C1555*D1555)</f>
        <v/>
      </c>
      <c r="F1555" s="4"/>
      <c r="G1555" s="4"/>
      <c r="H1555" s="9" t="str">
        <f>IF(OR(B1555="",C1555=""),"",C1555*IFERROR(INDEX(Articles!$D:$D,MATCH(B1555,Articles!$B:$B,0)),0))</f>
        <v/>
      </c>
      <c r="I1555" s="9" t="str">
        <f>IF(OR(E1555="",H1555=""),"",E1555-H1555)</f>
        <v/>
      </c>
      <c r="J1555" s="4"/>
    </row>
    <row r="1556">
      <c r="A1556" s="7"/>
      <c r="B1556" s="4"/>
      <c r="C1556" s="6"/>
      <c r="D1556" s="5" t="str">
        <f>IF(B1556="","",IFERROR(INDEX(Articles!$E:$E,MATCH(B1556,Articles!$B:$B,0)),""))</f>
        <v/>
      </c>
      <c r="E1556" s="9" t="str">
        <f>IF(OR(C1556="",D1556=""),"",C1556*D1556)</f>
        <v/>
      </c>
      <c r="F1556" s="4"/>
      <c r="G1556" s="4"/>
      <c r="H1556" s="9" t="str">
        <f>IF(OR(B1556="",C1556=""),"",C1556*IFERROR(INDEX(Articles!$D:$D,MATCH(B1556,Articles!$B:$B,0)),0))</f>
        <v/>
      </c>
      <c r="I1556" s="9" t="str">
        <f>IF(OR(E1556="",H1556=""),"",E1556-H1556)</f>
        <v/>
      </c>
      <c r="J1556" s="4"/>
    </row>
    <row r="1557">
      <c r="A1557" s="7"/>
      <c r="B1557" s="4"/>
      <c r="C1557" s="6"/>
      <c r="D1557" s="5" t="str">
        <f>IF(B1557="","",IFERROR(INDEX(Articles!$E:$E,MATCH(B1557,Articles!$B:$B,0)),""))</f>
        <v/>
      </c>
      <c r="E1557" s="9" t="str">
        <f>IF(OR(C1557="",D1557=""),"",C1557*D1557)</f>
        <v/>
      </c>
      <c r="F1557" s="4"/>
      <c r="G1557" s="4"/>
      <c r="H1557" s="9" t="str">
        <f>IF(OR(B1557="",C1557=""),"",C1557*IFERROR(INDEX(Articles!$D:$D,MATCH(B1557,Articles!$B:$B,0)),0))</f>
        <v/>
      </c>
      <c r="I1557" s="9" t="str">
        <f>IF(OR(E1557="",H1557=""),"",E1557-H1557)</f>
        <v/>
      </c>
      <c r="J1557" s="4"/>
    </row>
    <row r="1558">
      <c r="A1558" s="7"/>
      <c r="B1558" s="4"/>
      <c r="C1558" s="6"/>
      <c r="D1558" s="5" t="str">
        <f>IF(B1558="","",IFERROR(INDEX(Articles!$E:$E,MATCH(B1558,Articles!$B:$B,0)),""))</f>
        <v/>
      </c>
      <c r="E1558" s="9" t="str">
        <f>IF(OR(C1558="",D1558=""),"",C1558*D1558)</f>
        <v/>
      </c>
      <c r="F1558" s="4"/>
      <c r="G1558" s="4"/>
      <c r="H1558" s="9" t="str">
        <f>IF(OR(B1558="",C1558=""),"",C1558*IFERROR(INDEX(Articles!$D:$D,MATCH(B1558,Articles!$B:$B,0)),0))</f>
        <v/>
      </c>
      <c r="I1558" s="9" t="str">
        <f>IF(OR(E1558="",H1558=""),"",E1558-H1558)</f>
        <v/>
      </c>
      <c r="J1558" s="4"/>
    </row>
    <row r="1559">
      <c r="A1559" s="7"/>
      <c r="B1559" s="4"/>
      <c r="C1559" s="6"/>
      <c r="D1559" s="5" t="str">
        <f>IF(B1559="","",IFERROR(INDEX(Articles!$E:$E,MATCH(B1559,Articles!$B:$B,0)),""))</f>
        <v/>
      </c>
      <c r="E1559" s="9" t="str">
        <f>IF(OR(C1559="",D1559=""),"",C1559*D1559)</f>
        <v/>
      </c>
      <c r="F1559" s="4"/>
      <c r="G1559" s="4"/>
      <c r="H1559" s="9" t="str">
        <f>IF(OR(B1559="",C1559=""),"",C1559*IFERROR(INDEX(Articles!$D:$D,MATCH(B1559,Articles!$B:$B,0)),0))</f>
        <v/>
      </c>
      <c r="I1559" s="9" t="str">
        <f>IF(OR(E1559="",H1559=""),"",E1559-H1559)</f>
        <v/>
      </c>
      <c r="J1559" s="4"/>
    </row>
    <row r="1560">
      <c r="A1560" s="7"/>
      <c r="B1560" s="4"/>
      <c r="C1560" s="6"/>
      <c r="D1560" s="5" t="str">
        <f>IF(B1560="","",IFERROR(INDEX(Articles!$E:$E,MATCH(B1560,Articles!$B:$B,0)),""))</f>
        <v/>
      </c>
      <c r="E1560" s="9" t="str">
        <f>IF(OR(C1560="",D1560=""),"",C1560*D1560)</f>
        <v/>
      </c>
      <c r="F1560" s="4"/>
      <c r="G1560" s="4"/>
      <c r="H1560" s="9" t="str">
        <f>IF(OR(B1560="",C1560=""),"",C1560*IFERROR(INDEX(Articles!$D:$D,MATCH(B1560,Articles!$B:$B,0)),0))</f>
        <v/>
      </c>
      <c r="I1560" s="9" t="str">
        <f>IF(OR(E1560="",H1560=""),"",E1560-H1560)</f>
        <v/>
      </c>
      <c r="J1560" s="4"/>
    </row>
    <row r="1561">
      <c r="A1561" s="7"/>
      <c r="B1561" s="4"/>
      <c r="C1561" s="6"/>
      <c r="D1561" s="5" t="str">
        <f>IF(B1561="","",IFERROR(INDEX(Articles!$E:$E,MATCH(B1561,Articles!$B:$B,0)),""))</f>
        <v/>
      </c>
      <c r="E1561" s="9" t="str">
        <f>IF(OR(C1561="",D1561=""),"",C1561*D1561)</f>
        <v/>
      </c>
      <c r="F1561" s="4"/>
      <c r="G1561" s="4"/>
      <c r="H1561" s="9" t="str">
        <f>IF(OR(B1561="",C1561=""),"",C1561*IFERROR(INDEX(Articles!$D:$D,MATCH(B1561,Articles!$B:$B,0)),0))</f>
        <v/>
      </c>
      <c r="I1561" s="9" t="str">
        <f>IF(OR(E1561="",H1561=""),"",E1561-H1561)</f>
        <v/>
      </c>
      <c r="J1561" s="4"/>
    </row>
    <row r="1562">
      <c r="A1562" s="7"/>
      <c r="B1562" s="4"/>
      <c r="C1562" s="6"/>
      <c r="D1562" s="5" t="str">
        <f>IF(B1562="","",IFERROR(INDEX(Articles!$E:$E,MATCH(B1562,Articles!$B:$B,0)),""))</f>
        <v/>
      </c>
      <c r="E1562" s="9" t="str">
        <f>IF(OR(C1562="",D1562=""),"",C1562*D1562)</f>
        <v/>
      </c>
      <c r="F1562" s="4"/>
      <c r="G1562" s="4"/>
      <c r="H1562" s="9" t="str">
        <f>IF(OR(B1562="",C1562=""),"",C1562*IFERROR(INDEX(Articles!$D:$D,MATCH(B1562,Articles!$B:$B,0)),0))</f>
        <v/>
      </c>
      <c r="I1562" s="9" t="str">
        <f>IF(OR(E1562="",H1562=""),"",E1562-H1562)</f>
        <v/>
      </c>
      <c r="J1562" s="4"/>
    </row>
    <row r="1563">
      <c r="A1563" s="7"/>
      <c r="B1563" s="4"/>
      <c r="C1563" s="6"/>
      <c r="D1563" s="5" t="str">
        <f>IF(B1563="","",IFERROR(INDEX(Articles!$E:$E,MATCH(B1563,Articles!$B:$B,0)),""))</f>
        <v/>
      </c>
      <c r="E1563" s="9" t="str">
        <f>IF(OR(C1563="",D1563=""),"",C1563*D1563)</f>
        <v/>
      </c>
      <c r="F1563" s="4"/>
      <c r="G1563" s="4"/>
      <c r="H1563" s="9" t="str">
        <f>IF(OR(B1563="",C1563=""),"",C1563*IFERROR(INDEX(Articles!$D:$D,MATCH(B1563,Articles!$B:$B,0)),0))</f>
        <v/>
      </c>
      <c r="I1563" s="9" t="str">
        <f>IF(OR(E1563="",H1563=""),"",E1563-H1563)</f>
        <v/>
      </c>
      <c r="J1563" s="4"/>
    </row>
    <row r="1564">
      <c r="A1564" s="7"/>
      <c r="B1564" s="4"/>
      <c r="C1564" s="6"/>
      <c r="D1564" s="5" t="str">
        <f>IF(B1564="","",IFERROR(INDEX(Articles!$E:$E,MATCH(B1564,Articles!$B:$B,0)),""))</f>
        <v/>
      </c>
      <c r="E1564" s="9" t="str">
        <f>IF(OR(C1564="",D1564=""),"",C1564*D1564)</f>
        <v/>
      </c>
      <c r="F1564" s="4"/>
      <c r="G1564" s="4"/>
      <c r="H1564" s="9" t="str">
        <f>IF(OR(B1564="",C1564=""),"",C1564*IFERROR(INDEX(Articles!$D:$D,MATCH(B1564,Articles!$B:$B,0)),0))</f>
        <v/>
      </c>
      <c r="I1564" s="9" t="str">
        <f>IF(OR(E1564="",H1564=""),"",E1564-H1564)</f>
        <v/>
      </c>
      <c r="J1564" s="4"/>
    </row>
    <row r="1565">
      <c r="A1565" s="7"/>
      <c r="B1565" s="4"/>
      <c r="C1565" s="6"/>
      <c r="D1565" s="5" t="str">
        <f>IF(B1565="","",IFERROR(INDEX(Articles!$E:$E,MATCH(B1565,Articles!$B:$B,0)),""))</f>
        <v/>
      </c>
      <c r="E1565" s="9" t="str">
        <f>IF(OR(C1565="",D1565=""),"",C1565*D1565)</f>
        <v/>
      </c>
      <c r="F1565" s="4"/>
      <c r="G1565" s="4"/>
      <c r="H1565" s="9" t="str">
        <f>IF(OR(B1565="",C1565=""),"",C1565*IFERROR(INDEX(Articles!$D:$D,MATCH(B1565,Articles!$B:$B,0)),0))</f>
        <v/>
      </c>
      <c r="I1565" s="9" t="str">
        <f>IF(OR(E1565="",H1565=""),"",E1565-H1565)</f>
        <v/>
      </c>
      <c r="J1565" s="4"/>
    </row>
    <row r="1566">
      <c r="A1566" s="7"/>
      <c r="B1566" s="4"/>
      <c r="C1566" s="6"/>
      <c r="D1566" s="5" t="str">
        <f>IF(B1566="","",IFERROR(INDEX(Articles!$E:$E,MATCH(B1566,Articles!$B:$B,0)),""))</f>
        <v/>
      </c>
      <c r="E1566" s="9" t="str">
        <f>IF(OR(C1566="",D1566=""),"",C1566*D1566)</f>
        <v/>
      </c>
      <c r="F1566" s="4"/>
      <c r="G1566" s="4"/>
      <c r="H1566" s="9" t="str">
        <f>IF(OR(B1566="",C1566=""),"",C1566*IFERROR(INDEX(Articles!$D:$D,MATCH(B1566,Articles!$B:$B,0)),0))</f>
        <v/>
      </c>
      <c r="I1566" s="9" t="str">
        <f>IF(OR(E1566="",H1566=""),"",E1566-H1566)</f>
        <v/>
      </c>
      <c r="J1566" s="4"/>
    </row>
    <row r="1567">
      <c r="A1567" s="7"/>
      <c r="B1567" s="4"/>
      <c r="C1567" s="6"/>
      <c r="D1567" s="5" t="str">
        <f>IF(B1567="","",IFERROR(INDEX(Articles!$E:$E,MATCH(B1567,Articles!$B:$B,0)),""))</f>
        <v/>
      </c>
      <c r="E1567" s="9" t="str">
        <f>IF(OR(C1567="",D1567=""),"",C1567*D1567)</f>
        <v/>
      </c>
      <c r="F1567" s="4"/>
      <c r="G1567" s="4"/>
      <c r="H1567" s="9" t="str">
        <f>IF(OR(B1567="",C1567=""),"",C1567*IFERROR(INDEX(Articles!$D:$D,MATCH(B1567,Articles!$B:$B,0)),0))</f>
        <v/>
      </c>
      <c r="I1567" s="9" t="str">
        <f>IF(OR(E1567="",H1567=""),"",E1567-H1567)</f>
        <v/>
      </c>
      <c r="J1567" s="4"/>
    </row>
    <row r="1568">
      <c r="A1568" s="7"/>
      <c r="B1568" s="4"/>
      <c r="C1568" s="6"/>
      <c r="D1568" s="5" t="str">
        <f>IF(B1568="","",IFERROR(INDEX(Articles!$E:$E,MATCH(B1568,Articles!$B:$B,0)),""))</f>
        <v/>
      </c>
      <c r="E1568" s="9" t="str">
        <f>IF(OR(C1568="",D1568=""),"",C1568*D1568)</f>
        <v/>
      </c>
      <c r="F1568" s="4"/>
      <c r="G1568" s="4"/>
      <c r="H1568" s="9" t="str">
        <f>IF(OR(B1568="",C1568=""),"",C1568*IFERROR(INDEX(Articles!$D:$D,MATCH(B1568,Articles!$B:$B,0)),0))</f>
        <v/>
      </c>
      <c r="I1568" s="9" t="str">
        <f>IF(OR(E1568="",H1568=""),"",E1568-H1568)</f>
        <v/>
      </c>
      <c r="J1568" s="4"/>
    </row>
    <row r="1569">
      <c r="A1569" s="7"/>
      <c r="B1569" s="4"/>
      <c r="C1569" s="6"/>
      <c r="D1569" s="5" t="str">
        <f>IF(B1569="","",IFERROR(INDEX(Articles!$E:$E,MATCH(B1569,Articles!$B:$B,0)),""))</f>
        <v/>
      </c>
      <c r="E1569" s="9" t="str">
        <f>IF(OR(C1569="",D1569=""),"",C1569*D1569)</f>
        <v/>
      </c>
      <c r="F1569" s="4"/>
      <c r="G1569" s="4"/>
      <c r="H1569" s="9" t="str">
        <f>IF(OR(B1569="",C1569=""),"",C1569*IFERROR(INDEX(Articles!$D:$D,MATCH(B1569,Articles!$B:$B,0)),0))</f>
        <v/>
      </c>
      <c r="I1569" s="9" t="str">
        <f>IF(OR(E1569="",H1569=""),"",E1569-H1569)</f>
        <v/>
      </c>
      <c r="J1569" s="4"/>
    </row>
    <row r="1570">
      <c r="A1570" s="7"/>
      <c r="B1570" s="4"/>
      <c r="C1570" s="6"/>
      <c r="D1570" s="5" t="str">
        <f>IF(B1570="","",IFERROR(INDEX(Articles!$E:$E,MATCH(B1570,Articles!$B:$B,0)),""))</f>
        <v/>
      </c>
      <c r="E1570" s="9" t="str">
        <f>IF(OR(C1570="",D1570=""),"",C1570*D1570)</f>
        <v/>
      </c>
      <c r="F1570" s="4"/>
      <c r="G1570" s="4"/>
      <c r="H1570" s="9" t="str">
        <f>IF(OR(B1570="",C1570=""),"",C1570*IFERROR(INDEX(Articles!$D:$D,MATCH(B1570,Articles!$B:$B,0)),0))</f>
        <v/>
      </c>
      <c r="I1570" s="9" t="str">
        <f>IF(OR(E1570="",H1570=""),"",E1570-H1570)</f>
        <v/>
      </c>
      <c r="J1570" s="4"/>
    </row>
    <row r="1571">
      <c r="A1571" s="7"/>
      <c r="B1571" s="4"/>
      <c r="C1571" s="6"/>
      <c r="D1571" s="5" t="str">
        <f>IF(B1571="","",IFERROR(INDEX(Articles!$E:$E,MATCH(B1571,Articles!$B:$B,0)),""))</f>
        <v/>
      </c>
      <c r="E1571" s="9" t="str">
        <f>IF(OR(C1571="",D1571=""),"",C1571*D1571)</f>
        <v/>
      </c>
      <c r="F1571" s="4"/>
      <c r="G1571" s="4"/>
      <c r="H1571" s="9" t="str">
        <f>IF(OR(B1571="",C1571=""),"",C1571*IFERROR(INDEX(Articles!$D:$D,MATCH(B1571,Articles!$B:$B,0)),0))</f>
        <v/>
      </c>
      <c r="I1571" s="9" t="str">
        <f>IF(OR(E1571="",H1571=""),"",E1571-H1571)</f>
        <v/>
      </c>
      <c r="J1571" s="4"/>
    </row>
    <row r="1572">
      <c r="A1572" s="7"/>
      <c r="B1572" s="4"/>
      <c r="C1572" s="6"/>
      <c r="D1572" s="5" t="str">
        <f>IF(B1572="","",IFERROR(INDEX(Articles!$E:$E,MATCH(B1572,Articles!$B:$B,0)),""))</f>
        <v/>
      </c>
      <c r="E1572" s="9" t="str">
        <f>IF(OR(C1572="",D1572=""),"",C1572*D1572)</f>
        <v/>
      </c>
      <c r="F1572" s="4"/>
      <c r="G1572" s="4"/>
      <c r="H1572" s="9" t="str">
        <f>IF(OR(B1572="",C1572=""),"",C1572*IFERROR(INDEX(Articles!$D:$D,MATCH(B1572,Articles!$B:$B,0)),0))</f>
        <v/>
      </c>
      <c r="I1572" s="9" t="str">
        <f>IF(OR(E1572="",H1572=""),"",E1572-H1572)</f>
        <v/>
      </c>
      <c r="J1572" s="4"/>
    </row>
    <row r="1573">
      <c r="A1573" s="7"/>
      <c r="B1573" s="4"/>
      <c r="C1573" s="6"/>
      <c r="D1573" s="5" t="str">
        <f>IF(B1573="","",IFERROR(INDEX(Articles!$E:$E,MATCH(B1573,Articles!$B:$B,0)),""))</f>
        <v/>
      </c>
      <c r="E1573" s="9" t="str">
        <f>IF(OR(C1573="",D1573=""),"",C1573*D1573)</f>
        <v/>
      </c>
      <c r="F1573" s="4"/>
      <c r="G1573" s="4"/>
      <c r="H1573" s="9" t="str">
        <f>IF(OR(B1573="",C1573=""),"",C1573*IFERROR(INDEX(Articles!$D:$D,MATCH(B1573,Articles!$B:$B,0)),0))</f>
        <v/>
      </c>
      <c r="I1573" s="9" t="str">
        <f>IF(OR(E1573="",H1573=""),"",E1573-H1573)</f>
        <v/>
      </c>
      <c r="J1573" s="4"/>
    </row>
    <row r="1574">
      <c r="A1574" s="7"/>
      <c r="B1574" s="4"/>
      <c r="C1574" s="6"/>
      <c r="D1574" s="5" t="str">
        <f>IF(B1574="","",IFERROR(INDEX(Articles!$E:$E,MATCH(B1574,Articles!$B:$B,0)),""))</f>
        <v/>
      </c>
      <c r="E1574" s="9" t="str">
        <f>IF(OR(C1574="",D1574=""),"",C1574*D1574)</f>
        <v/>
      </c>
      <c r="F1574" s="4"/>
      <c r="G1574" s="4"/>
      <c r="H1574" s="9" t="str">
        <f>IF(OR(B1574="",C1574=""),"",C1574*IFERROR(INDEX(Articles!$D:$D,MATCH(B1574,Articles!$B:$B,0)),0))</f>
        <v/>
      </c>
      <c r="I1574" s="9" t="str">
        <f>IF(OR(E1574="",H1574=""),"",E1574-H1574)</f>
        <v/>
      </c>
      <c r="J1574" s="4"/>
    </row>
    <row r="1575">
      <c r="A1575" s="7"/>
      <c r="B1575" s="4"/>
      <c r="C1575" s="6"/>
      <c r="D1575" s="5" t="str">
        <f>IF(B1575="","",IFERROR(INDEX(Articles!$E:$E,MATCH(B1575,Articles!$B:$B,0)),""))</f>
        <v/>
      </c>
      <c r="E1575" s="9" t="str">
        <f>IF(OR(C1575="",D1575=""),"",C1575*D1575)</f>
        <v/>
      </c>
      <c r="F1575" s="4"/>
      <c r="G1575" s="4"/>
      <c r="H1575" s="9" t="str">
        <f>IF(OR(B1575="",C1575=""),"",C1575*IFERROR(INDEX(Articles!$D:$D,MATCH(B1575,Articles!$B:$B,0)),0))</f>
        <v/>
      </c>
      <c r="I1575" s="9" t="str">
        <f>IF(OR(E1575="",H1575=""),"",E1575-H1575)</f>
        <v/>
      </c>
      <c r="J1575" s="4"/>
    </row>
    <row r="1576">
      <c r="A1576" s="7"/>
      <c r="B1576" s="4"/>
      <c r="C1576" s="6"/>
      <c r="D1576" s="5" t="str">
        <f>IF(B1576="","",IFERROR(INDEX(Articles!$E:$E,MATCH(B1576,Articles!$B:$B,0)),""))</f>
        <v/>
      </c>
      <c r="E1576" s="9" t="str">
        <f>IF(OR(C1576="",D1576=""),"",C1576*D1576)</f>
        <v/>
      </c>
      <c r="F1576" s="4"/>
      <c r="G1576" s="4"/>
      <c r="H1576" s="9" t="str">
        <f>IF(OR(B1576="",C1576=""),"",C1576*IFERROR(INDEX(Articles!$D:$D,MATCH(B1576,Articles!$B:$B,0)),0))</f>
        <v/>
      </c>
      <c r="I1576" s="9" t="str">
        <f>IF(OR(E1576="",H1576=""),"",E1576-H1576)</f>
        <v/>
      </c>
      <c r="J1576" s="4"/>
    </row>
    <row r="1577">
      <c r="A1577" s="7"/>
      <c r="B1577" s="4"/>
      <c r="C1577" s="6"/>
      <c r="D1577" s="5" t="str">
        <f>IF(B1577="","",IFERROR(INDEX(Articles!$E:$E,MATCH(B1577,Articles!$B:$B,0)),""))</f>
        <v/>
      </c>
      <c r="E1577" s="9" t="str">
        <f>IF(OR(C1577="",D1577=""),"",C1577*D1577)</f>
        <v/>
      </c>
      <c r="F1577" s="4"/>
      <c r="G1577" s="4"/>
      <c r="H1577" s="9" t="str">
        <f>IF(OR(B1577="",C1577=""),"",C1577*IFERROR(INDEX(Articles!$D:$D,MATCH(B1577,Articles!$B:$B,0)),0))</f>
        <v/>
      </c>
      <c r="I1577" s="9" t="str">
        <f>IF(OR(E1577="",H1577=""),"",E1577-H1577)</f>
        <v/>
      </c>
      <c r="J1577" s="4"/>
    </row>
    <row r="1578">
      <c r="A1578" s="7"/>
      <c r="B1578" s="4"/>
      <c r="C1578" s="6"/>
      <c r="D1578" s="5" t="str">
        <f>IF(B1578="","",IFERROR(INDEX(Articles!$E:$E,MATCH(B1578,Articles!$B:$B,0)),""))</f>
        <v/>
      </c>
      <c r="E1578" s="9" t="str">
        <f>IF(OR(C1578="",D1578=""),"",C1578*D1578)</f>
        <v/>
      </c>
      <c r="F1578" s="4"/>
      <c r="G1578" s="4"/>
      <c r="H1578" s="9" t="str">
        <f>IF(OR(B1578="",C1578=""),"",C1578*IFERROR(INDEX(Articles!$D:$D,MATCH(B1578,Articles!$B:$B,0)),0))</f>
        <v/>
      </c>
      <c r="I1578" s="9" t="str">
        <f>IF(OR(E1578="",H1578=""),"",E1578-H1578)</f>
        <v/>
      </c>
      <c r="J1578" s="4"/>
    </row>
    <row r="1579">
      <c r="A1579" s="7"/>
      <c r="B1579" s="4"/>
      <c r="C1579" s="6"/>
      <c r="D1579" s="5" t="str">
        <f>IF(B1579="","",IFERROR(INDEX(Articles!$E:$E,MATCH(B1579,Articles!$B:$B,0)),""))</f>
        <v/>
      </c>
      <c r="E1579" s="9" t="str">
        <f>IF(OR(C1579="",D1579=""),"",C1579*D1579)</f>
        <v/>
      </c>
      <c r="F1579" s="4"/>
      <c r="G1579" s="4"/>
      <c r="H1579" s="9" t="str">
        <f>IF(OR(B1579="",C1579=""),"",C1579*IFERROR(INDEX(Articles!$D:$D,MATCH(B1579,Articles!$B:$B,0)),0))</f>
        <v/>
      </c>
      <c r="I1579" s="9" t="str">
        <f>IF(OR(E1579="",H1579=""),"",E1579-H1579)</f>
        <v/>
      </c>
      <c r="J1579" s="4"/>
    </row>
    <row r="1580">
      <c r="A1580" s="7"/>
      <c r="B1580" s="4"/>
      <c r="C1580" s="6"/>
      <c r="D1580" s="5" t="str">
        <f>IF(B1580="","",IFERROR(INDEX(Articles!$E:$E,MATCH(B1580,Articles!$B:$B,0)),""))</f>
        <v/>
      </c>
      <c r="E1580" s="9" t="str">
        <f>IF(OR(C1580="",D1580=""),"",C1580*D1580)</f>
        <v/>
      </c>
      <c r="F1580" s="4"/>
      <c r="G1580" s="4"/>
      <c r="H1580" s="9" t="str">
        <f>IF(OR(B1580="",C1580=""),"",C1580*IFERROR(INDEX(Articles!$D:$D,MATCH(B1580,Articles!$B:$B,0)),0))</f>
        <v/>
      </c>
      <c r="I1580" s="9" t="str">
        <f>IF(OR(E1580="",H1580=""),"",E1580-H1580)</f>
        <v/>
      </c>
      <c r="J1580" s="4"/>
    </row>
    <row r="1581">
      <c r="A1581" s="7"/>
      <c r="B1581" s="4"/>
      <c r="C1581" s="6"/>
      <c r="D1581" s="5" t="str">
        <f>IF(B1581="","",IFERROR(INDEX(Articles!$E:$E,MATCH(B1581,Articles!$B:$B,0)),""))</f>
        <v/>
      </c>
      <c r="E1581" s="9" t="str">
        <f>IF(OR(C1581="",D1581=""),"",C1581*D1581)</f>
        <v/>
      </c>
      <c r="F1581" s="4"/>
      <c r="G1581" s="4"/>
      <c r="H1581" s="9" t="str">
        <f>IF(OR(B1581="",C1581=""),"",C1581*IFERROR(INDEX(Articles!$D:$D,MATCH(B1581,Articles!$B:$B,0)),0))</f>
        <v/>
      </c>
      <c r="I1581" s="9" t="str">
        <f>IF(OR(E1581="",H1581=""),"",E1581-H1581)</f>
        <v/>
      </c>
      <c r="J1581" s="4"/>
    </row>
    <row r="1582">
      <c r="A1582" s="7"/>
      <c r="B1582" s="4"/>
      <c r="C1582" s="6"/>
      <c r="D1582" s="5" t="str">
        <f>IF(B1582="","",IFERROR(INDEX(Articles!$E:$E,MATCH(B1582,Articles!$B:$B,0)),""))</f>
        <v/>
      </c>
      <c r="E1582" s="9" t="str">
        <f>IF(OR(C1582="",D1582=""),"",C1582*D1582)</f>
        <v/>
      </c>
      <c r="F1582" s="4"/>
      <c r="G1582" s="4"/>
      <c r="H1582" s="9" t="str">
        <f>IF(OR(B1582="",C1582=""),"",C1582*IFERROR(INDEX(Articles!$D:$D,MATCH(B1582,Articles!$B:$B,0)),0))</f>
        <v/>
      </c>
      <c r="I1582" s="9" t="str">
        <f>IF(OR(E1582="",H1582=""),"",E1582-H1582)</f>
        <v/>
      </c>
      <c r="J1582" s="4"/>
    </row>
    <row r="1583">
      <c r="A1583" s="7"/>
      <c r="B1583" s="4"/>
      <c r="C1583" s="6"/>
      <c r="D1583" s="5" t="str">
        <f>IF(B1583="","",IFERROR(INDEX(Articles!$E:$E,MATCH(B1583,Articles!$B:$B,0)),""))</f>
        <v/>
      </c>
      <c r="E1583" s="9" t="str">
        <f>IF(OR(C1583="",D1583=""),"",C1583*D1583)</f>
        <v/>
      </c>
      <c r="F1583" s="4"/>
      <c r="G1583" s="4"/>
      <c r="H1583" s="9" t="str">
        <f>IF(OR(B1583="",C1583=""),"",C1583*IFERROR(INDEX(Articles!$D:$D,MATCH(B1583,Articles!$B:$B,0)),0))</f>
        <v/>
      </c>
      <c r="I1583" s="9" t="str">
        <f>IF(OR(E1583="",H1583=""),"",E1583-H1583)</f>
        <v/>
      </c>
      <c r="J1583" s="4"/>
    </row>
    <row r="1584">
      <c r="A1584" s="7"/>
      <c r="B1584" s="4"/>
      <c r="C1584" s="6"/>
      <c r="D1584" s="5" t="str">
        <f>IF(B1584="","",IFERROR(INDEX(Articles!$E:$E,MATCH(B1584,Articles!$B:$B,0)),""))</f>
        <v/>
      </c>
      <c r="E1584" s="9" t="str">
        <f>IF(OR(C1584="",D1584=""),"",C1584*D1584)</f>
        <v/>
      </c>
      <c r="F1584" s="4"/>
      <c r="G1584" s="4"/>
      <c r="H1584" s="9" t="str">
        <f>IF(OR(B1584="",C1584=""),"",C1584*IFERROR(INDEX(Articles!$D:$D,MATCH(B1584,Articles!$B:$B,0)),0))</f>
        <v/>
      </c>
      <c r="I1584" s="9" t="str">
        <f>IF(OR(E1584="",H1584=""),"",E1584-H1584)</f>
        <v/>
      </c>
      <c r="J1584" s="4"/>
    </row>
    <row r="1585">
      <c r="A1585" s="7"/>
      <c r="B1585" s="4"/>
      <c r="C1585" s="6"/>
      <c r="D1585" s="5" t="str">
        <f>IF(B1585="","",IFERROR(INDEX(Articles!$E:$E,MATCH(B1585,Articles!$B:$B,0)),""))</f>
        <v/>
      </c>
      <c r="E1585" s="9" t="str">
        <f>IF(OR(C1585="",D1585=""),"",C1585*D1585)</f>
        <v/>
      </c>
      <c r="F1585" s="4"/>
      <c r="G1585" s="4"/>
      <c r="H1585" s="9" t="str">
        <f>IF(OR(B1585="",C1585=""),"",C1585*IFERROR(INDEX(Articles!$D:$D,MATCH(B1585,Articles!$B:$B,0)),0))</f>
        <v/>
      </c>
      <c r="I1585" s="9" t="str">
        <f>IF(OR(E1585="",H1585=""),"",E1585-H1585)</f>
        <v/>
      </c>
      <c r="J1585" s="4"/>
    </row>
    <row r="1586">
      <c r="A1586" s="7"/>
      <c r="B1586" s="4"/>
      <c r="C1586" s="6"/>
      <c r="D1586" s="5" t="str">
        <f>IF(B1586="","",IFERROR(INDEX(Articles!$E:$E,MATCH(B1586,Articles!$B:$B,0)),""))</f>
        <v/>
      </c>
      <c r="E1586" s="9" t="str">
        <f>IF(OR(C1586="",D1586=""),"",C1586*D1586)</f>
        <v/>
      </c>
      <c r="F1586" s="4"/>
      <c r="G1586" s="4"/>
      <c r="H1586" s="9" t="str">
        <f>IF(OR(B1586="",C1586=""),"",C1586*IFERROR(INDEX(Articles!$D:$D,MATCH(B1586,Articles!$B:$B,0)),0))</f>
        <v/>
      </c>
      <c r="I1586" s="9" t="str">
        <f>IF(OR(E1586="",H1586=""),"",E1586-H1586)</f>
        <v/>
      </c>
      <c r="J1586" s="4"/>
    </row>
    <row r="1587">
      <c r="A1587" s="7"/>
      <c r="B1587" s="4"/>
      <c r="C1587" s="6"/>
      <c r="D1587" s="5" t="str">
        <f>IF(B1587="","",IFERROR(INDEX(Articles!$E:$E,MATCH(B1587,Articles!$B:$B,0)),""))</f>
        <v/>
      </c>
      <c r="E1587" s="9" t="str">
        <f>IF(OR(C1587="",D1587=""),"",C1587*D1587)</f>
        <v/>
      </c>
      <c r="F1587" s="4"/>
      <c r="G1587" s="4"/>
      <c r="H1587" s="9" t="str">
        <f>IF(OR(B1587="",C1587=""),"",C1587*IFERROR(INDEX(Articles!$D:$D,MATCH(B1587,Articles!$B:$B,0)),0))</f>
        <v/>
      </c>
      <c r="I1587" s="9" t="str">
        <f>IF(OR(E1587="",H1587=""),"",E1587-H1587)</f>
        <v/>
      </c>
      <c r="J1587" s="4"/>
    </row>
    <row r="1588">
      <c r="A1588" s="7"/>
      <c r="B1588" s="4"/>
      <c r="C1588" s="6"/>
      <c r="D1588" s="5" t="str">
        <f>IF(B1588="","",IFERROR(INDEX(Articles!$E:$E,MATCH(B1588,Articles!$B:$B,0)),""))</f>
        <v/>
      </c>
      <c r="E1588" s="9" t="str">
        <f>IF(OR(C1588="",D1588=""),"",C1588*D1588)</f>
        <v/>
      </c>
      <c r="F1588" s="4"/>
      <c r="G1588" s="4"/>
      <c r="H1588" s="9" t="str">
        <f>IF(OR(B1588="",C1588=""),"",C1588*IFERROR(INDEX(Articles!$D:$D,MATCH(B1588,Articles!$B:$B,0)),0))</f>
        <v/>
      </c>
      <c r="I1588" s="9" t="str">
        <f>IF(OR(E1588="",H1588=""),"",E1588-H1588)</f>
        <v/>
      </c>
      <c r="J1588" s="4"/>
    </row>
    <row r="1589">
      <c r="A1589" s="7"/>
      <c r="B1589" s="4"/>
      <c r="C1589" s="6"/>
      <c r="D1589" s="5" t="str">
        <f>IF(B1589="","",IFERROR(INDEX(Articles!$E:$E,MATCH(B1589,Articles!$B:$B,0)),""))</f>
        <v/>
      </c>
      <c r="E1589" s="9" t="str">
        <f>IF(OR(C1589="",D1589=""),"",C1589*D1589)</f>
        <v/>
      </c>
      <c r="F1589" s="4"/>
      <c r="G1589" s="4"/>
      <c r="H1589" s="9" t="str">
        <f>IF(OR(B1589="",C1589=""),"",C1589*IFERROR(INDEX(Articles!$D:$D,MATCH(B1589,Articles!$B:$B,0)),0))</f>
        <v/>
      </c>
      <c r="I1589" s="9" t="str">
        <f>IF(OR(E1589="",H1589=""),"",E1589-H1589)</f>
        <v/>
      </c>
      <c r="J1589" s="4"/>
    </row>
    <row r="1590">
      <c r="A1590" s="7"/>
      <c r="B1590" s="4"/>
      <c r="C1590" s="6"/>
      <c r="D1590" s="5" t="str">
        <f>IF(B1590="","",IFERROR(INDEX(Articles!$E:$E,MATCH(B1590,Articles!$B:$B,0)),""))</f>
        <v/>
      </c>
      <c r="E1590" s="9" t="str">
        <f>IF(OR(C1590="",D1590=""),"",C1590*D1590)</f>
        <v/>
      </c>
      <c r="F1590" s="4"/>
      <c r="G1590" s="4"/>
      <c r="H1590" s="9" t="str">
        <f>IF(OR(B1590="",C1590=""),"",C1590*IFERROR(INDEX(Articles!$D:$D,MATCH(B1590,Articles!$B:$B,0)),0))</f>
        <v/>
      </c>
      <c r="I1590" s="9" t="str">
        <f>IF(OR(E1590="",H1590=""),"",E1590-H1590)</f>
        <v/>
      </c>
      <c r="J1590" s="4"/>
    </row>
    <row r="1591">
      <c r="A1591" s="7"/>
      <c r="B1591" s="4"/>
      <c r="C1591" s="6"/>
      <c r="D1591" s="5" t="str">
        <f>IF(B1591="","",IFERROR(INDEX(Articles!$E:$E,MATCH(B1591,Articles!$B:$B,0)),""))</f>
        <v/>
      </c>
      <c r="E1591" s="9" t="str">
        <f>IF(OR(C1591="",D1591=""),"",C1591*D1591)</f>
        <v/>
      </c>
      <c r="F1591" s="4"/>
      <c r="G1591" s="4"/>
      <c r="H1591" s="9" t="str">
        <f>IF(OR(B1591="",C1591=""),"",C1591*IFERROR(INDEX(Articles!$D:$D,MATCH(B1591,Articles!$B:$B,0)),0))</f>
        <v/>
      </c>
      <c r="I1591" s="9" t="str">
        <f>IF(OR(E1591="",H1591=""),"",E1591-H1591)</f>
        <v/>
      </c>
      <c r="J1591" s="4"/>
    </row>
    <row r="1592">
      <c r="A1592" s="7"/>
      <c r="B1592" s="4"/>
      <c r="C1592" s="6"/>
      <c r="D1592" s="5" t="str">
        <f>IF(B1592="","",IFERROR(INDEX(Articles!$E:$E,MATCH(B1592,Articles!$B:$B,0)),""))</f>
        <v/>
      </c>
      <c r="E1592" s="9" t="str">
        <f>IF(OR(C1592="",D1592=""),"",C1592*D1592)</f>
        <v/>
      </c>
      <c r="F1592" s="4"/>
      <c r="G1592" s="4"/>
      <c r="H1592" s="9" t="str">
        <f>IF(OR(B1592="",C1592=""),"",C1592*IFERROR(INDEX(Articles!$D:$D,MATCH(B1592,Articles!$B:$B,0)),0))</f>
        <v/>
      </c>
      <c r="I1592" s="9" t="str">
        <f>IF(OR(E1592="",H1592=""),"",E1592-H1592)</f>
        <v/>
      </c>
      <c r="J1592" s="4"/>
    </row>
    <row r="1593">
      <c r="A1593" s="7"/>
      <c r="B1593" s="4"/>
      <c r="C1593" s="6"/>
      <c r="D1593" s="5" t="str">
        <f>IF(B1593="","",IFERROR(INDEX(Articles!$E:$E,MATCH(B1593,Articles!$B:$B,0)),""))</f>
        <v/>
      </c>
      <c r="E1593" s="9" t="str">
        <f>IF(OR(C1593="",D1593=""),"",C1593*D1593)</f>
        <v/>
      </c>
      <c r="F1593" s="4"/>
      <c r="G1593" s="4"/>
      <c r="H1593" s="9" t="str">
        <f>IF(OR(B1593="",C1593=""),"",C1593*IFERROR(INDEX(Articles!$D:$D,MATCH(B1593,Articles!$B:$B,0)),0))</f>
        <v/>
      </c>
      <c r="I1593" s="9" t="str">
        <f>IF(OR(E1593="",H1593=""),"",E1593-H1593)</f>
        <v/>
      </c>
      <c r="J1593" s="4"/>
    </row>
    <row r="1594">
      <c r="A1594" s="7"/>
      <c r="B1594" s="4"/>
      <c r="C1594" s="6"/>
      <c r="D1594" s="5" t="str">
        <f>IF(B1594="","",IFERROR(INDEX(Articles!$E:$E,MATCH(B1594,Articles!$B:$B,0)),""))</f>
        <v/>
      </c>
      <c r="E1594" s="9" t="str">
        <f>IF(OR(C1594="",D1594=""),"",C1594*D1594)</f>
        <v/>
      </c>
      <c r="F1594" s="4"/>
      <c r="G1594" s="4"/>
      <c r="H1594" s="9" t="str">
        <f>IF(OR(B1594="",C1594=""),"",C1594*IFERROR(INDEX(Articles!$D:$D,MATCH(B1594,Articles!$B:$B,0)),0))</f>
        <v/>
      </c>
      <c r="I1594" s="9" t="str">
        <f>IF(OR(E1594="",H1594=""),"",E1594-H1594)</f>
        <v/>
      </c>
      <c r="J1594" s="4"/>
    </row>
    <row r="1595">
      <c r="A1595" s="7"/>
      <c r="B1595" s="4"/>
      <c r="C1595" s="6"/>
      <c r="D1595" s="5" t="str">
        <f>IF(B1595="","",IFERROR(INDEX(Articles!$E:$E,MATCH(B1595,Articles!$B:$B,0)),""))</f>
        <v/>
      </c>
      <c r="E1595" s="9" t="str">
        <f>IF(OR(C1595="",D1595=""),"",C1595*D1595)</f>
        <v/>
      </c>
      <c r="F1595" s="4"/>
      <c r="G1595" s="4"/>
      <c r="H1595" s="9" t="str">
        <f>IF(OR(B1595="",C1595=""),"",C1595*IFERROR(INDEX(Articles!$D:$D,MATCH(B1595,Articles!$B:$B,0)),0))</f>
        <v/>
      </c>
      <c r="I1595" s="9" t="str">
        <f>IF(OR(E1595="",H1595=""),"",E1595-H1595)</f>
        <v/>
      </c>
      <c r="J1595" s="4"/>
    </row>
    <row r="1596">
      <c r="A1596" s="7"/>
      <c r="B1596" s="4"/>
      <c r="C1596" s="6"/>
      <c r="D1596" s="5" t="str">
        <f>IF(B1596="","",IFERROR(INDEX(Articles!$E:$E,MATCH(B1596,Articles!$B:$B,0)),""))</f>
        <v/>
      </c>
      <c r="E1596" s="9" t="str">
        <f>IF(OR(C1596="",D1596=""),"",C1596*D1596)</f>
        <v/>
      </c>
      <c r="F1596" s="4"/>
      <c r="G1596" s="4"/>
      <c r="H1596" s="9" t="str">
        <f>IF(OR(B1596="",C1596=""),"",C1596*IFERROR(INDEX(Articles!$D:$D,MATCH(B1596,Articles!$B:$B,0)),0))</f>
        <v/>
      </c>
      <c r="I1596" s="9" t="str">
        <f>IF(OR(E1596="",H1596=""),"",E1596-H1596)</f>
        <v/>
      </c>
      <c r="J1596" s="4"/>
    </row>
    <row r="1597">
      <c r="A1597" s="7"/>
      <c r="B1597" s="4"/>
      <c r="C1597" s="6"/>
      <c r="D1597" s="5" t="str">
        <f>IF(B1597="","",IFERROR(INDEX(Articles!$E:$E,MATCH(B1597,Articles!$B:$B,0)),""))</f>
        <v/>
      </c>
      <c r="E1597" s="9" t="str">
        <f>IF(OR(C1597="",D1597=""),"",C1597*D1597)</f>
        <v/>
      </c>
      <c r="F1597" s="4"/>
      <c r="G1597" s="4"/>
      <c r="H1597" s="9" t="str">
        <f>IF(OR(B1597="",C1597=""),"",C1597*IFERROR(INDEX(Articles!$D:$D,MATCH(B1597,Articles!$B:$B,0)),0))</f>
        <v/>
      </c>
      <c r="I1597" s="9" t="str">
        <f>IF(OR(E1597="",H1597=""),"",E1597-H1597)</f>
        <v/>
      </c>
      <c r="J1597" s="4"/>
    </row>
    <row r="1598">
      <c r="A1598" s="7"/>
      <c r="B1598" s="4"/>
      <c r="C1598" s="6"/>
      <c r="D1598" s="5" t="str">
        <f>IF(B1598="","",IFERROR(INDEX(Articles!$E:$E,MATCH(B1598,Articles!$B:$B,0)),""))</f>
        <v/>
      </c>
      <c r="E1598" s="9" t="str">
        <f>IF(OR(C1598="",D1598=""),"",C1598*D1598)</f>
        <v/>
      </c>
      <c r="F1598" s="4"/>
      <c r="G1598" s="4"/>
      <c r="H1598" s="9" t="str">
        <f>IF(OR(B1598="",C1598=""),"",C1598*IFERROR(INDEX(Articles!$D:$D,MATCH(B1598,Articles!$B:$B,0)),0))</f>
        <v/>
      </c>
      <c r="I1598" s="9" t="str">
        <f>IF(OR(E1598="",H1598=""),"",E1598-H1598)</f>
        <v/>
      </c>
      <c r="J1598" s="4"/>
    </row>
    <row r="1599">
      <c r="A1599" s="7"/>
      <c r="B1599" s="4"/>
      <c r="C1599" s="6"/>
      <c r="D1599" s="5" t="str">
        <f>IF(B1599="","",IFERROR(INDEX(Articles!$E:$E,MATCH(B1599,Articles!$B:$B,0)),""))</f>
        <v/>
      </c>
      <c r="E1599" s="9" t="str">
        <f>IF(OR(C1599="",D1599=""),"",C1599*D1599)</f>
        <v/>
      </c>
      <c r="F1599" s="4"/>
      <c r="G1599" s="4"/>
      <c r="H1599" s="9" t="str">
        <f>IF(OR(B1599="",C1599=""),"",C1599*IFERROR(INDEX(Articles!$D:$D,MATCH(B1599,Articles!$B:$B,0)),0))</f>
        <v/>
      </c>
      <c r="I1599" s="9" t="str">
        <f>IF(OR(E1599="",H1599=""),"",E1599-H1599)</f>
        <v/>
      </c>
      <c r="J1599" s="4"/>
    </row>
    <row r="1600">
      <c r="A1600" s="7"/>
      <c r="B1600" s="4"/>
      <c r="C1600" s="6"/>
      <c r="D1600" s="5" t="str">
        <f>IF(B1600="","",IFERROR(INDEX(Articles!$E:$E,MATCH(B1600,Articles!$B:$B,0)),""))</f>
        <v/>
      </c>
      <c r="E1600" s="9" t="str">
        <f>IF(OR(C1600="",D1600=""),"",C1600*D1600)</f>
        <v/>
      </c>
      <c r="F1600" s="4"/>
      <c r="G1600" s="4"/>
      <c r="H1600" s="9" t="str">
        <f>IF(OR(B1600="",C1600=""),"",C1600*IFERROR(INDEX(Articles!$D:$D,MATCH(B1600,Articles!$B:$B,0)),0))</f>
        <v/>
      </c>
      <c r="I1600" s="9" t="str">
        <f>IF(OR(E1600="",H1600=""),"",E1600-H1600)</f>
        <v/>
      </c>
      <c r="J1600" s="4"/>
    </row>
    <row r="1601">
      <c r="A1601" s="7"/>
      <c r="B1601" s="4"/>
      <c r="C1601" s="6"/>
      <c r="D1601" s="5" t="str">
        <f>IF(B1601="","",IFERROR(INDEX(Articles!$E:$E,MATCH(B1601,Articles!$B:$B,0)),""))</f>
        <v/>
      </c>
      <c r="E1601" s="9" t="str">
        <f>IF(OR(C1601="",D1601=""),"",C1601*D1601)</f>
        <v/>
      </c>
      <c r="F1601" s="4"/>
      <c r="G1601" s="4"/>
      <c r="H1601" s="9" t="str">
        <f>IF(OR(B1601="",C1601=""),"",C1601*IFERROR(INDEX(Articles!$D:$D,MATCH(B1601,Articles!$B:$B,0)),0))</f>
        <v/>
      </c>
      <c r="I1601" s="9" t="str">
        <f>IF(OR(E1601="",H1601=""),"",E1601-H1601)</f>
        <v/>
      </c>
      <c r="J1601" s="4"/>
    </row>
    <row r="1602">
      <c r="A1602" s="7"/>
      <c r="B1602" s="4"/>
      <c r="C1602" s="6"/>
      <c r="D1602" s="5" t="str">
        <f>IF(B1602="","",IFERROR(INDEX(Articles!$E:$E,MATCH(B1602,Articles!$B:$B,0)),""))</f>
        <v/>
      </c>
      <c r="E1602" s="9" t="str">
        <f>IF(OR(C1602="",D1602=""),"",C1602*D1602)</f>
        <v/>
      </c>
      <c r="F1602" s="4"/>
      <c r="G1602" s="4"/>
      <c r="H1602" s="9" t="str">
        <f>IF(OR(B1602="",C1602=""),"",C1602*IFERROR(INDEX(Articles!$D:$D,MATCH(B1602,Articles!$B:$B,0)),0))</f>
        <v/>
      </c>
      <c r="I1602" s="9" t="str">
        <f>IF(OR(E1602="",H1602=""),"",E1602-H1602)</f>
        <v/>
      </c>
      <c r="J1602" s="4"/>
    </row>
    <row r="1603">
      <c r="A1603" s="7"/>
      <c r="B1603" s="4"/>
      <c r="C1603" s="6"/>
      <c r="D1603" s="5" t="str">
        <f>IF(B1603="","",IFERROR(INDEX(Articles!$E:$E,MATCH(B1603,Articles!$B:$B,0)),""))</f>
        <v/>
      </c>
      <c r="E1603" s="9" t="str">
        <f>IF(OR(C1603="",D1603=""),"",C1603*D1603)</f>
        <v/>
      </c>
      <c r="F1603" s="4"/>
      <c r="G1603" s="4"/>
      <c r="H1603" s="9" t="str">
        <f>IF(OR(B1603="",C1603=""),"",C1603*IFERROR(INDEX(Articles!$D:$D,MATCH(B1603,Articles!$B:$B,0)),0))</f>
        <v/>
      </c>
      <c r="I1603" s="9" t="str">
        <f>IF(OR(E1603="",H1603=""),"",E1603-H1603)</f>
        <v/>
      </c>
      <c r="J1603" s="4"/>
    </row>
    <row r="1604">
      <c r="A1604" s="7"/>
      <c r="B1604" s="4"/>
      <c r="C1604" s="6"/>
      <c r="D1604" s="5" t="str">
        <f>IF(B1604="","",IFERROR(INDEX(Articles!$E:$E,MATCH(B1604,Articles!$B:$B,0)),""))</f>
        <v/>
      </c>
      <c r="E1604" s="9" t="str">
        <f>IF(OR(C1604="",D1604=""),"",C1604*D1604)</f>
        <v/>
      </c>
      <c r="F1604" s="4"/>
      <c r="G1604" s="4"/>
      <c r="H1604" s="9" t="str">
        <f>IF(OR(B1604="",C1604=""),"",C1604*IFERROR(INDEX(Articles!$D:$D,MATCH(B1604,Articles!$B:$B,0)),0))</f>
        <v/>
      </c>
      <c r="I1604" s="9" t="str">
        <f>IF(OR(E1604="",H1604=""),"",E1604-H1604)</f>
        <v/>
      </c>
      <c r="J1604" s="4"/>
    </row>
    <row r="1605">
      <c r="A1605" s="7"/>
      <c r="B1605" s="4"/>
      <c r="C1605" s="6"/>
      <c r="D1605" s="5" t="str">
        <f>IF(B1605="","",IFERROR(INDEX(Articles!$E:$E,MATCH(B1605,Articles!$B:$B,0)),""))</f>
        <v/>
      </c>
      <c r="E1605" s="9" t="str">
        <f>IF(OR(C1605="",D1605=""),"",C1605*D1605)</f>
        <v/>
      </c>
      <c r="F1605" s="4"/>
      <c r="G1605" s="4"/>
      <c r="H1605" s="9" t="str">
        <f>IF(OR(B1605="",C1605=""),"",C1605*IFERROR(INDEX(Articles!$D:$D,MATCH(B1605,Articles!$B:$B,0)),0))</f>
        <v/>
      </c>
      <c r="I1605" s="9" t="str">
        <f>IF(OR(E1605="",H1605=""),"",E1605-H1605)</f>
        <v/>
      </c>
      <c r="J1605" s="4"/>
    </row>
    <row r="1606">
      <c r="A1606" s="7"/>
      <c r="B1606" s="4"/>
      <c r="C1606" s="6"/>
      <c r="D1606" s="5" t="str">
        <f>IF(B1606="","",IFERROR(INDEX(Articles!$E:$E,MATCH(B1606,Articles!$B:$B,0)),""))</f>
        <v/>
      </c>
      <c r="E1606" s="9" t="str">
        <f>IF(OR(C1606="",D1606=""),"",C1606*D1606)</f>
        <v/>
      </c>
      <c r="F1606" s="4"/>
      <c r="G1606" s="4"/>
      <c r="H1606" s="9" t="str">
        <f>IF(OR(B1606="",C1606=""),"",C1606*IFERROR(INDEX(Articles!$D:$D,MATCH(B1606,Articles!$B:$B,0)),0))</f>
        <v/>
      </c>
      <c r="I1606" s="9" t="str">
        <f>IF(OR(E1606="",H1606=""),"",E1606-H1606)</f>
        <v/>
      </c>
      <c r="J1606" s="4"/>
    </row>
    <row r="1607">
      <c r="A1607" s="7"/>
      <c r="B1607" s="4"/>
      <c r="C1607" s="6"/>
      <c r="D1607" s="5" t="str">
        <f>IF(B1607="","",IFERROR(INDEX(Articles!$E:$E,MATCH(B1607,Articles!$B:$B,0)),""))</f>
        <v/>
      </c>
      <c r="E1607" s="9" t="str">
        <f>IF(OR(C1607="",D1607=""),"",C1607*D1607)</f>
        <v/>
      </c>
      <c r="F1607" s="4"/>
      <c r="G1607" s="4"/>
      <c r="H1607" s="9" t="str">
        <f>IF(OR(B1607="",C1607=""),"",C1607*IFERROR(INDEX(Articles!$D:$D,MATCH(B1607,Articles!$B:$B,0)),0))</f>
        <v/>
      </c>
      <c r="I1607" s="9" t="str">
        <f>IF(OR(E1607="",H1607=""),"",E1607-H1607)</f>
        <v/>
      </c>
      <c r="J1607" s="4"/>
    </row>
    <row r="1608">
      <c r="A1608" s="7"/>
      <c r="B1608" s="4"/>
      <c r="C1608" s="6"/>
      <c r="D1608" s="5" t="str">
        <f>IF(B1608="","",IFERROR(INDEX(Articles!$E:$E,MATCH(B1608,Articles!$B:$B,0)),""))</f>
        <v/>
      </c>
      <c r="E1608" s="9" t="str">
        <f>IF(OR(C1608="",D1608=""),"",C1608*D1608)</f>
        <v/>
      </c>
      <c r="F1608" s="4"/>
      <c r="G1608" s="4"/>
      <c r="H1608" s="9" t="str">
        <f>IF(OR(B1608="",C1608=""),"",C1608*IFERROR(INDEX(Articles!$D:$D,MATCH(B1608,Articles!$B:$B,0)),0))</f>
        <v/>
      </c>
      <c r="I1608" s="9" t="str">
        <f>IF(OR(E1608="",H1608=""),"",E1608-H1608)</f>
        <v/>
      </c>
      <c r="J1608" s="4"/>
    </row>
    <row r="1609">
      <c r="A1609" s="7"/>
      <c r="B1609" s="4"/>
      <c r="C1609" s="6"/>
      <c r="D1609" s="5" t="str">
        <f>IF(B1609="","",IFERROR(INDEX(Articles!$E:$E,MATCH(B1609,Articles!$B:$B,0)),""))</f>
        <v/>
      </c>
      <c r="E1609" s="9" t="str">
        <f>IF(OR(C1609="",D1609=""),"",C1609*D1609)</f>
        <v/>
      </c>
      <c r="F1609" s="4"/>
      <c r="G1609" s="4"/>
      <c r="H1609" s="9" t="str">
        <f>IF(OR(B1609="",C1609=""),"",C1609*IFERROR(INDEX(Articles!$D:$D,MATCH(B1609,Articles!$B:$B,0)),0))</f>
        <v/>
      </c>
      <c r="I1609" s="9" t="str">
        <f>IF(OR(E1609="",H1609=""),"",E1609-H1609)</f>
        <v/>
      </c>
      <c r="J1609" s="4"/>
    </row>
    <row r="1610">
      <c r="A1610" s="7"/>
      <c r="B1610" s="4"/>
      <c r="C1610" s="6"/>
      <c r="D1610" s="5" t="str">
        <f>IF(B1610="","",IFERROR(INDEX(Articles!$E:$E,MATCH(B1610,Articles!$B:$B,0)),""))</f>
        <v/>
      </c>
      <c r="E1610" s="9" t="str">
        <f>IF(OR(C1610="",D1610=""),"",C1610*D1610)</f>
        <v/>
      </c>
      <c r="F1610" s="4"/>
      <c r="G1610" s="4"/>
      <c r="H1610" s="9" t="str">
        <f>IF(OR(B1610="",C1610=""),"",C1610*IFERROR(INDEX(Articles!$D:$D,MATCH(B1610,Articles!$B:$B,0)),0))</f>
        <v/>
      </c>
      <c r="I1610" s="9" t="str">
        <f>IF(OR(E1610="",H1610=""),"",E1610-H1610)</f>
        <v/>
      </c>
      <c r="J1610" s="4"/>
    </row>
    <row r="1611">
      <c r="A1611" s="7"/>
      <c r="B1611" s="4"/>
      <c r="C1611" s="6"/>
      <c r="D1611" s="5" t="str">
        <f>IF(B1611="","",IFERROR(INDEX(Articles!$E:$E,MATCH(B1611,Articles!$B:$B,0)),""))</f>
        <v/>
      </c>
      <c r="E1611" s="9" t="str">
        <f>IF(OR(C1611="",D1611=""),"",C1611*D1611)</f>
        <v/>
      </c>
      <c r="F1611" s="4"/>
      <c r="G1611" s="4"/>
      <c r="H1611" s="9" t="str">
        <f>IF(OR(B1611="",C1611=""),"",C1611*IFERROR(INDEX(Articles!$D:$D,MATCH(B1611,Articles!$B:$B,0)),0))</f>
        <v/>
      </c>
      <c r="I1611" s="9" t="str">
        <f>IF(OR(E1611="",H1611=""),"",E1611-H1611)</f>
        <v/>
      </c>
      <c r="J1611" s="4"/>
    </row>
    <row r="1612">
      <c r="A1612" s="7"/>
      <c r="B1612" s="4"/>
      <c r="C1612" s="6"/>
      <c r="D1612" s="5" t="str">
        <f>IF(B1612="","",IFERROR(INDEX(Articles!$E:$E,MATCH(B1612,Articles!$B:$B,0)),""))</f>
        <v/>
      </c>
      <c r="E1612" s="9" t="str">
        <f>IF(OR(C1612="",D1612=""),"",C1612*D1612)</f>
        <v/>
      </c>
      <c r="F1612" s="4"/>
      <c r="G1612" s="4"/>
      <c r="H1612" s="9" t="str">
        <f>IF(OR(B1612="",C1612=""),"",C1612*IFERROR(INDEX(Articles!$D:$D,MATCH(B1612,Articles!$B:$B,0)),0))</f>
        <v/>
      </c>
      <c r="I1612" s="9" t="str">
        <f>IF(OR(E1612="",H1612=""),"",E1612-H1612)</f>
        <v/>
      </c>
      <c r="J1612" s="4"/>
    </row>
    <row r="1613">
      <c r="A1613" s="7"/>
      <c r="B1613" s="4"/>
      <c r="C1613" s="6"/>
      <c r="D1613" s="5" t="str">
        <f>IF(B1613="","",IFERROR(INDEX(Articles!$E:$E,MATCH(B1613,Articles!$B:$B,0)),""))</f>
        <v/>
      </c>
      <c r="E1613" s="9" t="str">
        <f>IF(OR(C1613="",D1613=""),"",C1613*D1613)</f>
        <v/>
      </c>
      <c r="F1613" s="4"/>
      <c r="G1613" s="4"/>
      <c r="H1613" s="9" t="str">
        <f>IF(OR(B1613="",C1613=""),"",C1613*IFERROR(INDEX(Articles!$D:$D,MATCH(B1613,Articles!$B:$B,0)),0))</f>
        <v/>
      </c>
      <c r="I1613" s="9" t="str">
        <f>IF(OR(E1613="",H1613=""),"",E1613-H1613)</f>
        <v/>
      </c>
      <c r="J1613" s="4"/>
    </row>
    <row r="1614">
      <c r="A1614" s="7"/>
      <c r="B1614" s="4"/>
      <c r="C1614" s="6"/>
      <c r="D1614" s="5" t="str">
        <f>IF(B1614="","",IFERROR(INDEX(Articles!$E:$E,MATCH(B1614,Articles!$B:$B,0)),""))</f>
        <v/>
      </c>
      <c r="E1614" s="9" t="str">
        <f>IF(OR(C1614="",D1614=""),"",C1614*D1614)</f>
        <v/>
      </c>
      <c r="F1614" s="4"/>
      <c r="G1614" s="4"/>
      <c r="H1614" s="9" t="str">
        <f>IF(OR(B1614="",C1614=""),"",C1614*IFERROR(INDEX(Articles!$D:$D,MATCH(B1614,Articles!$B:$B,0)),0))</f>
        <v/>
      </c>
      <c r="I1614" s="9" t="str">
        <f>IF(OR(E1614="",H1614=""),"",E1614-H1614)</f>
        <v/>
      </c>
      <c r="J1614" s="4"/>
    </row>
    <row r="1615">
      <c r="A1615" s="7"/>
      <c r="B1615" s="4"/>
      <c r="C1615" s="6"/>
      <c r="D1615" s="5" t="str">
        <f>IF(B1615="","",IFERROR(INDEX(Articles!$E:$E,MATCH(B1615,Articles!$B:$B,0)),""))</f>
        <v/>
      </c>
      <c r="E1615" s="9" t="str">
        <f>IF(OR(C1615="",D1615=""),"",C1615*D1615)</f>
        <v/>
      </c>
      <c r="F1615" s="4"/>
      <c r="G1615" s="4"/>
      <c r="H1615" s="9" t="str">
        <f>IF(OR(B1615="",C1615=""),"",C1615*IFERROR(INDEX(Articles!$D:$D,MATCH(B1615,Articles!$B:$B,0)),0))</f>
        <v/>
      </c>
      <c r="I1615" s="9" t="str">
        <f>IF(OR(E1615="",H1615=""),"",E1615-H1615)</f>
        <v/>
      </c>
      <c r="J1615" s="4"/>
    </row>
    <row r="1616">
      <c r="A1616" s="7"/>
      <c r="B1616" s="4"/>
      <c r="C1616" s="6"/>
      <c r="D1616" s="5" t="str">
        <f>IF(B1616="","",IFERROR(INDEX(Articles!$E:$E,MATCH(B1616,Articles!$B:$B,0)),""))</f>
        <v/>
      </c>
      <c r="E1616" s="9" t="str">
        <f>IF(OR(C1616="",D1616=""),"",C1616*D1616)</f>
        <v/>
      </c>
      <c r="F1616" s="4"/>
      <c r="G1616" s="4"/>
      <c r="H1616" s="9" t="str">
        <f>IF(OR(B1616="",C1616=""),"",C1616*IFERROR(INDEX(Articles!$D:$D,MATCH(B1616,Articles!$B:$B,0)),0))</f>
        <v/>
      </c>
      <c r="I1616" s="9" t="str">
        <f>IF(OR(E1616="",H1616=""),"",E1616-H1616)</f>
        <v/>
      </c>
      <c r="J1616" s="4"/>
    </row>
    <row r="1617">
      <c r="A1617" s="7"/>
      <c r="B1617" s="4"/>
      <c r="C1617" s="6"/>
      <c r="D1617" s="5" t="str">
        <f>IF(B1617="","",IFERROR(INDEX(Articles!$E:$E,MATCH(B1617,Articles!$B:$B,0)),""))</f>
        <v/>
      </c>
      <c r="E1617" s="9" t="str">
        <f>IF(OR(C1617="",D1617=""),"",C1617*D1617)</f>
        <v/>
      </c>
      <c r="F1617" s="4"/>
      <c r="G1617" s="4"/>
      <c r="H1617" s="9" t="str">
        <f>IF(OR(B1617="",C1617=""),"",C1617*IFERROR(INDEX(Articles!$D:$D,MATCH(B1617,Articles!$B:$B,0)),0))</f>
        <v/>
      </c>
      <c r="I1617" s="9" t="str">
        <f>IF(OR(E1617="",H1617=""),"",E1617-H1617)</f>
        <v/>
      </c>
      <c r="J1617" s="4"/>
    </row>
    <row r="1618">
      <c r="A1618" s="7"/>
      <c r="B1618" s="4"/>
      <c r="C1618" s="6"/>
      <c r="D1618" s="5" t="str">
        <f>IF(B1618="","",IFERROR(INDEX(Articles!$E:$E,MATCH(B1618,Articles!$B:$B,0)),""))</f>
        <v/>
      </c>
      <c r="E1618" s="9" t="str">
        <f>IF(OR(C1618="",D1618=""),"",C1618*D1618)</f>
        <v/>
      </c>
      <c r="F1618" s="4"/>
      <c r="G1618" s="4"/>
      <c r="H1618" s="9" t="str">
        <f>IF(OR(B1618="",C1618=""),"",C1618*IFERROR(INDEX(Articles!$D:$D,MATCH(B1618,Articles!$B:$B,0)),0))</f>
        <v/>
      </c>
      <c r="I1618" s="9" t="str">
        <f>IF(OR(E1618="",H1618=""),"",E1618-H1618)</f>
        <v/>
      </c>
      <c r="J1618" s="4"/>
    </row>
    <row r="1619">
      <c r="A1619" s="7"/>
      <c r="B1619" s="4"/>
      <c r="C1619" s="6"/>
      <c r="D1619" s="5" t="str">
        <f>IF(B1619="","",IFERROR(INDEX(Articles!$E:$E,MATCH(B1619,Articles!$B:$B,0)),""))</f>
        <v/>
      </c>
      <c r="E1619" s="9" t="str">
        <f>IF(OR(C1619="",D1619=""),"",C1619*D1619)</f>
        <v/>
      </c>
      <c r="F1619" s="4"/>
      <c r="G1619" s="4"/>
      <c r="H1619" s="9" t="str">
        <f>IF(OR(B1619="",C1619=""),"",C1619*IFERROR(INDEX(Articles!$D:$D,MATCH(B1619,Articles!$B:$B,0)),0))</f>
        <v/>
      </c>
      <c r="I1619" s="9" t="str">
        <f>IF(OR(E1619="",H1619=""),"",E1619-H1619)</f>
        <v/>
      </c>
      <c r="J1619" s="4"/>
    </row>
    <row r="1620">
      <c r="A1620" s="7"/>
      <c r="B1620" s="4"/>
      <c r="C1620" s="6"/>
      <c r="D1620" s="5" t="str">
        <f>IF(B1620="","",IFERROR(INDEX(Articles!$E:$E,MATCH(B1620,Articles!$B:$B,0)),""))</f>
        <v/>
      </c>
      <c r="E1620" s="9" t="str">
        <f>IF(OR(C1620="",D1620=""),"",C1620*D1620)</f>
        <v/>
      </c>
      <c r="F1620" s="4"/>
      <c r="G1620" s="4"/>
      <c r="H1620" s="9" t="str">
        <f>IF(OR(B1620="",C1620=""),"",C1620*IFERROR(INDEX(Articles!$D:$D,MATCH(B1620,Articles!$B:$B,0)),0))</f>
        <v/>
      </c>
      <c r="I1620" s="9" t="str">
        <f>IF(OR(E1620="",H1620=""),"",E1620-H1620)</f>
        <v/>
      </c>
      <c r="J1620" s="4"/>
    </row>
    <row r="1621">
      <c r="A1621" s="7"/>
      <c r="B1621" s="4"/>
      <c r="C1621" s="6"/>
      <c r="D1621" s="5" t="str">
        <f>IF(B1621="","",IFERROR(INDEX(Articles!$E:$E,MATCH(B1621,Articles!$B:$B,0)),""))</f>
        <v/>
      </c>
      <c r="E1621" s="9" t="str">
        <f>IF(OR(C1621="",D1621=""),"",C1621*D1621)</f>
        <v/>
      </c>
      <c r="F1621" s="4"/>
      <c r="G1621" s="4"/>
      <c r="H1621" s="9" t="str">
        <f>IF(OR(B1621="",C1621=""),"",C1621*IFERROR(INDEX(Articles!$D:$D,MATCH(B1621,Articles!$B:$B,0)),0))</f>
        <v/>
      </c>
      <c r="I1621" s="9" t="str">
        <f>IF(OR(E1621="",H1621=""),"",E1621-H1621)</f>
        <v/>
      </c>
      <c r="J1621" s="4"/>
    </row>
    <row r="1622">
      <c r="A1622" s="7"/>
      <c r="B1622" s="4"/>
      <c r="C1622" s="6"/>
      <c r="D1622" s="5" t="str">
        <f>IF(B1622="","",IFERROR(INDEX(Articles!$E:$E,MATCH(B1622,Articles!$B:$B,0)),""))</f>
        <v/>
      </c>
      <c r="E1622" s="9" t="str">
        <f>IF(OR(C1622="",D1622=""),"",C1622*D1622)</f>
        <v/>
      </c>
      <c r="F1622" s="4"/>
      <c r="G1622" s="4"/>
      <c r="H1622" s="9" t="str">
        <f>IF(OR(B1622="",C1622=""),"",C1622*IFERROR(INDEX(Articles!$D:$D,MATCH(B1622,Articles!$B:$B,0)),0))</f>
        <v/>
      </c>
      <c r="I1622" s="9" t="str">
        <f>IF(OR(E1622="",H1622=""),"",E1622-H1622)</f>
        <v/>
      </c>
      <c r="J1622" s="4"/>
    </row>
    <row r="1623">
      <c r="A1623" s="7"/>
      <c r="B1623" s="4"/>
      <c r="C1623" s="6"/>
      <c r="D1623" s="5" t="str">
        <f>IF(B1623="","",IFERROR(INDEX(Articles!$E:$E,MATCH(B1623,Articles!$B:$B,0)),""))</f>
        <v/>
      </c>
      <c r="E1623" s="9" t="str">
        <f>IF(OR(C1623="",D1623=""),"",C1623*D1623)</f>
        <v/>
      </c>
      <c r="F1623" s="4"/>
      <c r="G1623" s="4"/>
      <c r="H1623" s="9" t="str">
        <f>IF(OR(B1623="",C1623=""),"",C1623*IFERROR(INDEX(Articles!$D:$D,MATCH(B1623,Articles!$B:$B,0)),0))</f>
        <v/>
      </c>
      <c r="I1623" s="9" t="str">
        <f>IF(OR(E1623="",H1623=""),"",E1623-H1623)</f>
        <v/>
      </c>
      <c r="J1623" s="4"/>
    </row>
    <row r="1624">
      <c r="A1624" s="7"/>
      <c r="B1624" s="4"/>
      <c r="C1624" s="6"/>
      <c r="D1624" s="5" t="str">
        <f>IF(B1624="","",IFERROR(INDEX(Articles!$E:$E,MATCH(B1624,Articles!$B:$B,0)),""))</f>
        <v/>
      </c>
      <c r="E1624" s="9" t="str">
        <f>IF(OR(C1624="",D1624=""),"",C1624*D1624)</f>
        <v/>
      </c>
      <c r="F1624" s="4"/>
      <c r="G1624" s="4"/>
      <c r="H1624" s="9" t="str">
        <f>IF(OR(B1624="",C1624=""),"",C1624*IFERROR(INDEX(Articles!$D:$D,MATCH(B1624,Articles!$B:$B,0)),0))</f>
        <v/>
      </c>
      <c r="I1624" s="9" t="str">
        <f>IF(OR(E1624="",H1624=""),"",E1624-H1624)</f>
        <v/>
      </c>
      <c r="J1624" s="4"/>
    </row>
    <row r="1625">
      <c r="A1625" s="7"/>
      <c r="B1625" s="4"/>
      <c r="C1625" s="6"/>
      <c r="D1625" s="5" t="str">
        <f>IF(B1625="","",IFERROR(INDEX(Articles!$E:$E,MATCH(B1625,Articles!$B:$B,0)),""))</f>
        <v/>
      </c>
      <c r="E1625" s="9" t="str">
        <f>IF(OR(C1625="",D1625=""),"",C1625*D1625)</f>
        <v/>
      </c>
      <c r="F1625" s="4"/>
      <c r="G1625" s="4"/>
      <c r="H1625" s="9" t="str">
        <f>IF(OR(B1625="",C1625=""),"",C1625*IFERROR(INDEX(Articles!$D:$D,MATCH(B1625,Articles!$B:$B,0)),0))</f>
        <v/>
      </c>
      <c r="I1625" s="9" t="str">
        <f>IF(OR(E1625="",H1625=""),"",E1625-H1625)</f>
        <v/>
      </c>
      <c r="J1625" s="4"/>
    </row>
    <row r="1626">
      <c r="A1626" s="7"/>
      <c r="B1626" s="4"/>
      <c r="C1626" s="6"/>
      <c r="D1626" s="5" t="str">
        <f>IF(B1626="","",IFERROR(INDEX(Articles!$E:$E,MATCH(B1626,Articles!$B:$B,0)),""))</f>
        <v/>
      </c>
      <c r="E1626" s="9" t="str">
        <f>IF(OR(C1626="",D1626=""),"",C1626*D1626)</f>
        <v/>
      </c>
      <c r="F1626" s="4"/>
      <c r="G1626" s="4"/>
      <c r="H1626" s="9" t="str">
        <f>IF(OR(B1626="",C1626=""),"",C1626*IFERROR(INDEX(Articles!$D:$D,MATCH(B1626,Articles!$B:$B,0)),0))</f>
        <v/>
      </c>
      <c r="I1626" s="9" t="str">
        <f>IF(OR(E1626="",H1626=""),"",E1626-H1626)</f>
        <v/>
      </c>
      <c r="J1626" s="4"/>
    </row>
    <row r="1627">
      <c r="A1627" s="7"/>
      <c r="B1627" s="4"/>
      <c r="C1627" s="6"/>
      <c r="D1627" s="5" t="str">
        <f>IF(B1627="","",IFERROR(INDEX(Articles!$E:$E,MATCH(B1627,Articles!$B:$B,0)),""))</f>
        <v/>
      </c>
      <c r="E1627" s="9" t="str">
        <f>IF(OR(C1627="",D1627=""),"",C1627*D1627)</f>
        <v/>
      </c>
      <c r="F1627" s="4"/>
      <c r="G1627" s="4"/>
      <c r="H1627" s="9" t="str">
        <f>IF(OR(B1627="",C1627=""),"",C1627*IFERROR(INDEX(Articles!$D:$D,MATCH(B1627,Articles!$B:$B,0)),0))</f>
        <v/>
      </c>
      <c r="I1627" s="9" t="str">
        <f>IF(OR(E1627="",H1627=""),"",E1627-H1627)</f>
        <v/>
      </c>
      <c r="J1627" s="4"/>
    </row>
    <row r="1628">
      <c r="A1628" s="7"/>
      <c r="B1628" s="4"/>
      <c r="C1628" s="6"/>
      <c r="D1628" s="5" t="str">
        <f>IF(B1628="","",IFERROR(INDEX(Articles!$E:$E,MATCH(B1628,Articles!$B:$B,0)),""))</f>
        <v/>
      </c>
      <c r="E1628" s="9" t="str">
        <f>IF(OR(C1628="",D1628=""),"",C1628*D1628)</f>
        <v/>
      </c>
      <c r="F1628" s="4"/>
      <c r="G1628" s="4"/>
      <c r="H1628" s="9" t="str">
        <f>IF(OR(B1628="",C1628=""),"",C1628*IFERROR(INDEX(Articles!$D:$D,MATCH(B1628,Articles!$B:$B,0)),0))</f>
        <v/>
      </c>
      <c r="I1628" s="9" t="str">
        <f>IF(OR(E1628="",H1628=""),"",E1628-H1628)</f>
        <v/>
      </c>
      <c r="J1628" s="4"/>
    </row>
    <row r="1629">
      <c r="A1629" s="7"/>
      <c r="B1629" s="4"/>
      <c r="C1629" s="6"/>
      <c r="D1629" s="5" t="str">
        <f>IF(B1629="","",IFERROR(INDEX(Articles!$E:$E,MATCH(B1629,Articles!$B:$B,0)),""))</f>
        <v/>
      </c>
      <c r="E1629" s="9" t="str">
        <f>IF(OR(C1629="",D1629=""),"",C1629*D1629)</f>
        <v/>
      </c>
      <c r="F1629" s="4"/>
      <c r="G1629" s="4"/>
      <c r="H1629" s="9" t="str">
        <f>IF(OR(B1629="",C1629=""),"",C1629*IFERROR(INDEX(Articles!$D:$D,MATCH(B1629,Articles!$B:$B,0)),0))</f>
        <v/>
      </c>
      <c r="I1629" s="9" t="str">
        <f>IF(OR(E1629="",H1629=""),"",E1629-H1629)</f>
        <v/>
      </c>
      <c r="J1629" s="4"/>
    </row>
    <row r="1630">
      <c r="A1630" s="7"/>
      <c r="B1630" s="4"/>
      <c r="C1630" s="6"/>
      <c r="D1630" s="5" t="str">
        <f>IF(B1630="","",IFERROR(INDEX(Articles!$E:$E,MATCH(B1630,Articles!$B:$B,0)),""))</f>
        <v/>
      </c>
      <c r="E1630" s="9" t="str">
        <f>IF(OR(C1630="",D1630=""),"",C1630*D1630)</f>
        <v/>
      </c>
      <c r="F1630" s="4"/>
      <c r="G1630" s="4"/>
      <c r="H1630" s="9" t="str">
        <f>IF(OR(B1630="",C1630=""),"",C1630*IFERROR(INDEX(Articles!$D:$D,MATCH(B1630,Articles!$B:$B,0)),0))</f>
        <v/>
      </c>
      <c r="I1630" s="9" t="str">
        <f>IF(OR(E1630="",H1630=""),"",E1630-H1630)</f>
        <v/>
      </c>
      <c r="J1630" s="4"/>
    </row>
    <row r="1631">
      <c r="A1631" s="7"/>
      <c r="B1631" s="4"/>
      <c r="C1631" s="6"/>
      <c r="D1631" s="5" t="str">
        <f>IF(B1631="","",IFERROR(INDEX(Articles!$E:$E,MATCH(B1631,Articles!$B:$B,0)),""))</f>
        <v/>
      </c>
      <c r="E1631" s="9" t="str">
        <f>IF(OR(C1631="",D1631=""),"",C1631*D1631)</f>
        <v/>
      </c>
      <c r="F1631" s="4"/>
      <c r="G1631" s="4"/>
      <c r="H1631" s="9" t="str">
        <f>IF(OR(B1631="",C1631=""),"",C1631*IFERROR(INDEX(Articles!$D:$D,MATCH(B1631,Articles!$B:$B,0)),0))</f>
        <v/>
      </c>
      <c r="I1631" s="9" t="str">
        <f>IF(OR(E1631="",H1631=""),"",E1631-H1631)</f>
        <v/>
      </c>
      <c r="J1631" s="4"/>
    </row>
    <row r="1632">
      <c r="A1632" s="7"/>
      <c r="B1632" s="4"/>
      <c r="C1632" s="6"/>
      <c r="D1632" s="5" t="str">
        <f>IF(B1632="","",IFERROR(INDEX(Articles!$E:$E,MATCH(B1632,Articles!$B:$B,0)),""))</f>
        <v/>
      </c>
      <c r="E1632" s="9" t="str">
        <f>IF(OR(C1632="",D1632=""),"",C1632*D1632)</f>
        <v/>
      </c>
      <c r="F1632" s="4"/>
      <c r="G1632" s="4"/>
      <c r="H1632" s="9" t="str">
        <f>IF(OR(B1632="",C1632=""),"",C1632*IFERROR(INDEX(Articles!$D:$D,MATCH(B1632,Articles!$B:$B,0)),0))</f>
        <v/>
      </c>
      <c r="I1632" s="9" t="str">
        <f>IF(OR(E1632="",H1632=""),"",E1632-H1632)</f>
        <v/>
      </c>
      <c r="J1632" s="4"/>
    </row>
    <row r="1633">
      <c r="A1633" s="7"/>
      <c r="B1633" s="4"/>
      <c r="C1633" s="6"/>
      <c r="D1633" s="5" t="str">
        <f>IF(B1633="","",IFERROR(INDEX(Articles!$E:$E,MATCH(B1633,Articles!$B:$B,0)),""))</f>
        <v/>
      </c>
      <c r="E1633" s="9" t="str">
        <f>IF(OR(C1633="",D1633=""),"",C1633*D1633)</f>
        <v/>
      </c>
      <c r="F1633" s="4"/>
      <c r="G1633" s="4"/>
      <c r="H1633" s="9" t="str">
        <f>IF(OR(B1633="",C1633=""),"",C1633*IFERROR(INDEX(Articles!$D:$D,MATCH(B1633,Articles!$B:$B,0)),0))</f>
        <v/>
      </c>
      <c r="I1633" s="9" t="str">
        <f>IF(OR(E1633="",H1633=""),"",E1633-H1633)</f>
        <v/>
      </c>
      <c r="J1633" s="4"/>
    </row>
    <row r="1634">
      <c r="A1634" s="7"/>
      <c r="B1634" s="4"/>
      <c r="C1634" s="6"/>
      <c r="D1634" s="5" t="str">
        <f>IF(B1634="","",IFERROR(INDEX(Articles!$E:$E,MATCH(B1634,Articles!$B:$B,0)),""))</f>
        <v/>
      </c>
      <c r="E1634" s="9" t="str">
        <f>IF(OR(C1634="",D1634=""),"",C1634*D1634)</f>
        <v/>
      </c>
      <c r="F1634" s="4"/>
      <c r="G1634" s="4"/>
      <c r="H1634" s="9" t="str">
        <f>IF(OR(B1634="",C1634=""),"",C1634*IFERROR(INDEX(Articles!$D:$D,MATCH(B1634,Articles!$B:$B,0)),0))</f>
        <v/>
      </c>
      <c r="I1634" s="9" t="str">
        <f>IF(OR(E1634="",H1634=""),"",E1634-H1634)</f>
        <v/>
      </c>
      <c r="J1634" s="4"/>
    </row>
    <row r="1635">
      <c r="A1635" s="7"/>
      <c r="B1635" s="4"/>
      <c r="C1635" s="6"/>
      <c r="D1635" s="5" t="str">
        <f>IF(B1635="","",IFERROR(INDEX(Articles!$E:$E,MATCH(B1635,Articles!$B:$B,0)),""))</f>
        <v/>
      </c>
      <c r="E1635" s="9" t="str">
        <f>IF(OR(C1635="",D1635=""),"",C1635*D1635)</f>
        <v/>
      </c>
      <c r="F1635" s="4"/>
      <c r="G1635" s="4"/>
      <c r="H1635" s="9" t="str">
        <f>IF(OR(B1635="",C1635=""),"",C1635*IFERROR(INDEX(Articles!$D:$D,MATCH(B1635,Articles!$B:$B,0)),0))</f>
        <v/>
      </c>
      <c r="I1635" s="9" t="str">
        <f>IF(OR(E1635="",H1635=""),"",E1635-H1635)</f>
        <v/>
      </c>
      <c r="J1635" s="4"/>
    </row>
    <row r="1636">
      <c r="A1636" s="7"/>
      <c r="B1636" s="4"/>
      <c r="C1636" s="6"/>
      <c r="D1636" s="5" t="str">
        <f>IF(B1636="","",IFERROR(INDEX(Articles!$E:$E,MATCH(B1636,Articles!$B:$B,0)),""))</f>
        <v/>
      </c>
      <c r="E1636" s="9" t="str">
        <f>IF(OR(C1636="",D1636=""),"",C1636*D1636)</f>
        <v/>
      </c>
      <c r="F1636" s="4"/>
      <c r="G1636" s="4"/>
      <c r="H1636" s="9" t="str">
        <f>IF(OR(B1636="",C1636=""),"",C1636*IFERROR(INDEX(Articles!$D:$D,MATCH(B1636,Articles!$B:$B,0)),0))</f>
        <v/>
      </c>
      <c r="I1636" s="9" t="str">
        <f>IF(OR(E1636="",H1636=""),"",E1636-H1636)</f>
        <v/>
      </c>
      <c r="J1636" s="4"/>
    </row>
    <row r="1637">
      <c r="A1637" s="7"/>
      <c r="B1637" s="4"/>
      <c r="C1637" s="6"/>
      <c r="D1637" s="5" t="str">
        <f>IF(B1637="","",IFERROR(INDEX(Articles!$E:$E,MATCH(B1637,Articles!$B:$B,0)),""))</f>
        <v/>
      </c>
      <c r="E1637" s="9" t="str">
        <f>IF(OR(C1637="",D1637=""),"",C1637*D1637)</f>
        <v/>
      </c>
      <c r="F1637" s="4"/>
      <c r="G1637" s="4"/>
      <c r="H1637" s="9" t="str">
        <f>IF(OR(B1637="",C1637=""),"",C1637*IFERROR(INDEX(Articles!$D:$D,MATCH(B1637,Articles!$B:$B,0)),0))</f>
        <v/>
      </c>
      <c r="I1637" s="9" t="str">
        <f>IF(OR(E1637="",H1637=""),"",E1637-H1637)</f>
        <v/>
      </c>
      <c r="J1637" s="4"/>
    </row>
    <row r="1638">
      <c r="A1638" s="7"/>
      <c r="B1638" s="4"/>
      <c r="C1638" s="6"/>
      <c r="D1638" s="5" t="str">
        <f>IF(B1638="","",IFERROR(INDEX(Articles!$E:$E,MATCH(B1638,Articles!$B:$B,0)),""))</f>
        <v/>
      </c>
      <c r="E1638" s="9" t="str">
        <f>IF(OR(C1638="",D1638=""),"",C1638*D1638)</f>
        <v/>
      </c>
      <c r="F1638" s="4"/>
      <c r="G1638" s="4"/>
      <c r="H1638" s="9" t="str">
        <f>IF(OR(B1638="",C1638=""),"",C1638*IFERROR(INDEX(Articles!$D:$D,MATCH(B1638,Articles!$B:$B,0)),0))</f>
        <v/>
      </c>
      <c r="I1638" s="9" t="str">
        <f>IF(OR(E1638="",H1638=""),"",E1638-H1638)</f>
        <v/>
      </c>
      <c r="J1638" s="4"/>
    </row>
    <row r="1639">
      <c r="A1639" s="7"/>
      <c r="B1639" s="4"/>
      <c r="C1639" s="6"/>
      <c r="D1639" s="5" t="str">
        <f>IF(B1639="","",IFERROR(INDEX(Articles!$E:$E,MATCH(B1639,Articles!$B:$B,0)),""))</f>
        <v/>
      </c>
      <c r="E1639" s="9" t="str">
        <f>IF(OR(C1639="",D1639=""),"",C1639*D1639)</f>
        <v/>
      </c>
      <c r="F1639" s="4"/>
      <c r="G1639" s="4"/>
      <c r="H1639" s="9" t="str">
        <f>IF(OR(B1639="",C1639=""),"",C1639*IFERROR(INDEX(Articles!$D:$D,MATCH(B1639,Articles!$B:$B,0)),0))</f>
        <v/>
      </c>
      <c r="I1639" s="9" t="str">
        <f>IF(OR(E1639="",H1639=""),"",E1639-H1639)</f>
        <v/>
      </c>
      <c r="J1639" s="4"/>
    </row>
    <row r="1640">
      <c r="A1640" s="7"/>
      <c r="B1640" s="4"/>
      <c r="C1640" s="6"/>
      <c r="D1640" s="5" t="str">
        <f>IF(B1640="","",IFERROR(INDEX(Articles!$E:$E,MATCH(B1640,Articles!$B:$B,0)),""))</f>
        <v/>
      </c>
      <c r="E1640" s="9" t="str">
        <f>IF(OR(C1640="",D1640=""),"",C1640*D1640)</f>
        <v/>
      </c>
      <c r="F1640" s="4"/>
      <c r="G1640" s="4"/>
      <c r="H1640" s="9" t="str">
        <f>IF(OR(B1640="",C1640=""),"",C1640*IFERROR(INDEX(Articles!$D:$D,MATCH(B1640,Articles!$B:$B,0)),0))</f>
        <v/>
      </c>
      <c r="I1640" s="9" t="str">
        <f>IF(OR(E1640="",H1640=""),"",E1640-H1640)</f>
        <v/>
      </c>
      <c r="J1640" s="4"/>
    </row>
    <row r="1641">
      <c r="A1641" s="7"/>
      <c r="B1641" s="4"/>
      <c r="C1641" s="6"/>
      <c r="D1641" s="5" t="str">
        <f>IF(B1641="","",IFERROR(INDEX(Articles!$E:$E,MATCH(B1641,Articles!$B:$B,0)),""))</f>
        <v/>
      </c>
      <c r="E1641" s="9" t="str">
        <f>IF(OR(C1641="",D1641=""),"",C1641*D1641)</f>
        <v/>
      </c>
      <c r="F1641" s="4"/>
      <c r="G1641" s="4"/>
      <c r="H1641" s="9" t="str">
        <f>IF(OR(B1641="",C1641=""),"",C1641*IFERROR(INDEX(Articles!$D:$D,MATCH(B1641,Articles!$B:$B,0)),0))</f>
        <v/>
      </c>
      <c r="I1641" s="9" t="str">
        <f>IF(OR(E1641="",H1641=""),"",E1641-H1641)</f>
        <v/>
      </c>
      <c r="J1641" s="4"/>
    </row>
    <row r="1642">
      <c r="A1642" s="7"/>
      <c r="B1642" s="4"/>
      <c r="C1642" s="6"/>
      <c r="D1642" s="5" t="str">
        <f>IF(B1642="","",IFERROR(INDEX(Articles!$E:$E,MATCH(B1642,Articles!$B:$B,0)),""))</f>
        <v/>
      </c>
      <c r="E1642" s="9" t="str">
        <f>IF(OR(C1642="",D1642=""),"",C1642*D1642)</f>
        <v/>
      </c>
      <c r="F1642" s="4"/>
      <c r="G1642" s="4"/>
      <c r="H1642" s="9" t="str">
        <f>IF(OR(B1642="",C1642=""),"",C1642*IFERROR(INDEX(Articles!$D:$D,MATCH(B1642,Articles!$B:$B,0)),0))</f>
        <v/>
      </c>
      <c r="I1642" s="9" t="str">
        <f>IF(OR(E1642="",H1642=""),"",E1642-H1642)</f>
        <v/>
      </c>
      <c r="J1642" s="4"/>
    </row>
    <row r="1643">
      <c r="A1643" s="7"/>
      <c r="B1643" s="4"/>
      <c r="C1643" s="6"/>
      <c r="D1643" s="5" t="str">
        <f>IF(B1643="","",IFERROR(INDEX(Articles!$E:$E,MATCH(B1643,Articles!$B:$B,0)),""))</f>
        <v/>
      </c>
      <c r="E1643" s="9" t="str">
        <f>IF(OR(C1643="",D1643=""),"",C1643*D1643)</f>
        <v/>
      </c>
      <c r="F1643" s="4"/>
      <c r="G1643" s="4"/>
      <c r="H1643" s="9" t="str">
        <f>IF(OR(B1643="",C1643=""),"",C1643*IFERROR(INDEX(Articles!$D:$D,MATCH(B1643,Articles!$B:$B,0)),0))</f>
        <v/>
      </c>
      <c r="I1643" s="9" t="str">
        <f>IF(OR(E1643="",H1643=""),"",E1643-H1643)</f>
        <v/>
      </c>
      <c r="J1643" s="4"/>
    </row>
    <row r="1644">
      <c r="A1644" s="7"/>
      <c r="B1644" s="4"/>
      <c r="C1644" s="6"/>
      <c r="D1644" s="5" t="str">
        <f>IF(B1644="","",IFERROR(INDEX(Articles!$E:$E,MATCH(B1644,Articles!$B:$B,0)),""))</f>
        <v/>
      </c>
      <c r="E1644" s="9" t="str">
        <f>IF(OR(C1644="",D1644=""),"",C1644*D1644)</f>
        <v/>
      </c>
      <c r="F1644" s="4"/>
      <c r="G1644" s="4"/>
      <c r="H1644" s="9" t="str">
        <f>IF(OR(B1644="",C1644=""),"",C1644*IFERROR(INDEX(Articles!$D:$D,MATCH(B1644,Articles!$B:$B,0)),0))</f>
        <v/>
      </c>
      <c r="I1644" s="9" t="str">
        <f>IF(OR(E1644="",H1644=""),"",E1644-H1644)</f>
        <v/>
      </c>
      <c r="J1644" s="4"/>
    </row>
    <row r="1645">
      <c r="A1645" s="7"/>
      <c r="B1645" s="4"/>
      <c r="C1645" s="6"/>
      <c r="D1645" s="5" t="str">
        <f>IF(B1645="","",IFERROR(INDEX(Articles!$E:$E,MATCH(B1645,Articles!$B:$B,0)),""))</f>
        <v/>
      </c>
      <c r="E1645" s="9" t="str">
        <f>IF(OR(C1645="",D1645=""),"",C1645*D1645)</f>
        <v/>
      </c>
      <c r="F1645" s="4"/>
      <c r="G1645" s="4"/>
      <c r="H1645" s="9" t="str">
        <f>IF(OR(B1645="",C1645=""),"",C1645*IFERROR(INDEX(Articles!$D:$D,MATCH(B1645,Articles!$B:$B,0)),0))</f>
        <v/>
      </c>
      <c r="I1645" s="9" t="str">
        <f>IF(OR(E1645="",H1645=""),"",E1645-H1645)</f>
        <v/>
      </c>
      <c r="J1645" s="4"/>
    </row>
    <row r="1646">
      <c r="A1646" s="7"/>
      <c r="B1646" s="4"/>
      <c r="C1646" s="6"/>
      <c r="D1646" s="5" t="str">
        <f>IF(B1646="","",IFERROR(INDEX(Articles!$E:$E,MATCH(B1646,Articles!$B:$B,0)),""))</f>
        <v/>
      </c>
      <c r="E1646" s="9" t="str">
        <f>IF(OR(C1646="",D1646=""),"",C1646*D1646)</f>
        <v/>
      </c>
      <c r="F1646" s="4"/>
      <c r="G1646" s="4"/>
      <c r="H1646" s="9" t="str">
        <f>IF(OR(B1646="",C1646=""),"",C1646*IFERROR(INDEX(Articles!$D:$D,MATCH(B1646,Articles!$B:$B,0)),0))</f>
        <v/>
      </c>
      <c r="I1646" s="9" t="str">
        <f>IF(OR(E1646="",H1646=""),"",E1646-H1646)</f>
        <v/>
      </c>
      <c r="J1646" s="4"/>
    </row>
    <row r="1647">
      <c r="A1647" s="7"/>
      <c r="B1647" s="4"/>
      <c r="C1647" s="6"/>
      <c r="D1647" s="5" t="str">
        <f>IF(B1647="","",IFERROR(INDEX(Articles!$E:$E,MATCH(B1647,Articles!$B:$B,0)),""))</f>
        <v/>
      </c>
      <c r="E1647" s="9" t="str">
        <f>IF(OR(C1647="",D1647=""),"",C1647*D1647)</f>
        <v/>
      </c>
      <c r="F1647" s="4"/>
      <c r="G1647" s="4"/>
      <c r="H1647" s="9" t="str">
        <f>IF(OR(B1647="",C1647=""),"",C1647*IFERROR(INDEX(Articles!$D:$D,MATCH(B1647,Articles!$B:$B,0)),0))</f>
        <v/>
      </c>
      <c r="I1647" s="9" t="str">
        <f>IF(OR(E1647="",H1647=""),"",E1647-H1647)</f>
        <v/>
      </c>
      <c r="J1647" s="4"/>
    </row>
    <row r="1648">
      <c r="A1648" s="7"/>
      <c r="B1648" s="4"/>
      <c r="C1648" s="6"/>
      <c r="D1648" s="5" t="str">
        <f>IF(B1648="","",IFERROR(INDEX(Articles!$E:$E,MATCH(B1648,Articles!$B:$B,0)),""))</f>
        <v/>
      </c>
      <c r="E1648" s="9" t="str">
        <f>IF(OR(C1648="",D1648=""),"",C1648*D1648)</f>
        <v/>
      </c>
      <c r="F1648" s="4"/>
      <c r="G1648" s="4"/>
      <c r="H1648" s="9" t="str">
        <f>IF(OR(B1648="",C1648=""),"",C1648*IFERROR(INDEX(Articles!$D:$D,MATCH(B1648,Articles!$B:$B,0)),0))</f>
        <v/>
      </c>
      <c r="I1648" s="9" t="str">
        <f>IF(OR(E1648="",H1648=""),"",E1648-H1648)</f>
        <v/>
      </c>
      <c r="J1648" s="4"/>
    </row>
    <row r="1649">
      <c r="A1649" s="7"/>
      <c r="B1649" s="4"/>
      <c r="C1649" s="6"/>
      <c r="D1649" s="5" t="str">
        <f>IF(B1649="","",IFERROR(INDEX(Articles!$E:$E,MATCH(B1649,Articles!$B:$B,0)),""))</f>
        <v/>
      </c>
      <c r="E1649" s="9" t="str">
        <f>IF(OR(C1649="",D1649=""),"",C1649*D1649)</f>
        <v/>
      </c>
      <c r="F1649" s="4"/>
      <c r="G1649" s="4"/>
      <c r="H1649" s="9" t="str">
        <f>IF(OR(B1649="",C1649=""),"",C1649*IFERROR(INDEX(Articles!$D:$D,MATCH(B1649,Articles!$B:$B,0)),0))</f>
        <v/>
      </c>
      <c r="I1649" s="9" t="str">
        <f>IF(OR(E1649="",H1649=""),"",E1649-H1649)</f>
        <v/>
      </c>
      <c r="J1649" s="4"/>
    </row>
    <row r="1650">
      <c r="A1650" s="7"/>
      <c r="B1650" s="4"/>
      <c r="C1650" s="6"/>
      <c r="D1650" s="5" t="str">
        <f>IF(B1650="","",IFERROR(INDEX(Articles!$E:$E,MATCH(B1650,Articles!$B:$B,0)),""))</f>
        <v/>
      </c>
      <c r="E1650" s="9" t="str">
        <f>IF(OR(C1650="",D1650=""),"",C1650*D1650)</f>
        <v/>
      </c>
      <c r="F1650" s="4"/>
      <c r="G1650" s="4"/>
      <c r="H1650" s="9" t="str">
        <f>IF(OR(B1650="",C1650=""),"",C1650*IFERROR(INDEX(Articles!$D:$D,MATCH(B1650,Articles!$B:$B,0)),0))</f>
        <v/>
      </c>
      <c r="I1650" s="9" t="str">
        <f>IF(OR(E1650="",H1650=""),"",E1650-H1650)</f>
        <v/>
      </c>
      <c r="J1650" s="4"/>
    </row>
    <row r="1651">
      <c r="A1651" s="7"/>
      <c r="B1651" s="4"/>
      <c r="C1651" s="6"/>
      <c r="D1651" s="5" t="str">
        <f>IF(B1651="","",IFERROR(INDEX(Articles!$E:$E,MATCH(B1651,Articles!$B:$B,0)),""))</f>
        <v/>
      </c>
      <c r="E1651" s="9" t="str">
        <f>IF(OR(C1651="",D1651=""),"",C1651*D1651)</f>
        <v/>
      </c>
      <c r="F1651" s="4"/>
      <c r="G1651" s="4"/>
      <c r="H1651" s="9" t="str">
        <f>IF(OR(B1651="",C1651=""),"",C1651*IFERROR(INDEX(Articles!$D:$D,MATCH(B1651,Articles!$B:$B,0)),0))</f>
        <v/>
      </c>
      <c r="I1651" s="9" t="str">
        <f>IF(OR(E1651="",H1651=""),"",E1651-H1651)</f>
        <v/>
      </c>
      <c r="J1651" s="4"/>
    </row>
    <row r="1652">
      <c r="A1652" s="7"/>
      <c r="B1652" s="4"/>
      <c r="C1652" s="6"/>
      <c r="D1652" s="5" t="str">
        <f>IF(B1652="","",IFERROR(INDEX(Articles!$E:$E,MATCH(B1652,Articles!$B:$B,0)),""))</f>
        <v/>
      </c>
      <c r="E1652" s="9" t="str">
        <f>IF(OR(C1652="",D1652=""),"",C1652*D1652)</f>
        <v/>
      </c>
      <c r="F1652" s="4"/>
      <c r="G1652" s="4"/>
      <c r="H1652" s="9" t="str">
        <f>IF(OR(B1652="",C1652=""),"",C1652*IFERROR(INDEX(Articles!$D:$D,MATCH(B1652,Articles!$B:$B,0)),0))</f>
        <v/>
      </c>
      <c r="I1652" s="9" t="str">
        <f>IF(OR(E1652="",H1652=""),"",E1652-H1652)</f>
        <v/>
      </c>
      <c r="J1652" s="4"/>
    </row>
    <row r="1653">
      <c r="A1653" s="7"/>
      <c r="B1653" s="4"/>
      <c r="C1653" s="6"/>
      <c r="D1653" s="5" t="str">
        <f>IF(B1653="","",IFERROR(INDEX(Articles!$E:$E,MATCH(B1653,Articles!$B:$B,0)),""))</f>
        <v/>
      </c>
      <c r="E1653" s="9" t="str">
        <f>IF(OR(C1653="",D1653=""),"",C1653*D1653)</f>
        <v/>
      </c>
      <c r="F1653" s="4"/>
      <c r="G1653" s="4"/>
      <c r="H1653" s="9" t="str">
        <f>IF(OR(B1653="",C1653=""),"",C1653*IFERROR(INDEX(Articles!$D:$D,MATCH(B1653,Articles!$B:$B,0)),0))</f>
        <v/>
      </c>
      <c r="I1653" s="9" t="str">
        <f>IF(OR(E1653="",H1653=""),"",E1653-H1653)</f>
        <v/>
      </c>
      <c r="J1653" s="4"/>
    </row>
    <row r="1654">
      <c r="A1654" s="7"/>
      <c r="B1654" s="4"/>
      <c r="C1654" s="6"/>
      <c r="D1654" s="5" t="str">
        <f>IF(B1654="","",IFERROR(INDEX(Articles!$E:$E,MATCH(B1654,Articles!$B:$B,0)),""))</f>
        <v/>
      </c>
      <c r="E1654" s="9" t="str">
        <f>IF(OR(C1654="",D1654=""),"",C1654*D1654)</f>
        <v/>
      </c>
      <c r="F1654" s="4"/>
      <c r="G1654" s="4"/>
      <c r="H1654" s="9" t="str">
        <f>IF(OR(B1654="",C1654=""),"",C1654*IFERROR(INDEX(Articles!$D:$D,MATCH(B1654,Articles!$B:$B,0)),0))</f>
        <v/>
      </c>
      <c r="I1654" s="9" t="str">
        <f>IF(OR(E1654="",H1654=""),"",E1654-H1654)</f>
        <v/>
      </c>
      <c r="J1654" s="4"/>
    </row>
    <row r="1655">
      <c r="A1655" s="7"/>
      <c r="B1655" s="4"/>
      <c r="C1655" s="6"/>
      <c r="D1655" s="5" t="str">
        <f>IF(B1655="","",IFERROR(INDEX(Articles!$E:$E,MATCH(B1655,Articles!$B:$B,0)),""))</f>
        <v/>
      </c>
      <c r="E1655" s="9" t="str">
        <f>IF(OR(C1655="",D1655=""),"",C1655*D1655)</f>
        <v/>
      </c>
      <c r="F1655" s="4"/>
      <c r="G1655" s="4"/>
      <c r="H1655" s="9" t="str">
        <f>IF(OR(B1655="",C1655=""),"",C1655*IFERROR(INDEX(Articles!$D:$D,MATCH(B1655,Articles!$B:$B,0)),0))</f>
        <v/>
      </c>
      <c r="I1655" s="9" t="str">
        <f>IF(OR(E1655="",H1655=""),"",E1655-H1655)</f>
        <v/>
      </c>
      <c r="J1655" s="4"/>
    </row>
    <row r="1656">
      <c r="A1656" s="7"/>
      <c r="B1656" s="4"/>
      <c r="C1656" s="6"/>
      <c r="D1656" s="5" t="str">
        <f>IF(B1656="","",IFERROR(INDEX(Articles!$E:$E,MATCH(B1656,Articles!$B:$B,0)),""))</f>
        <v/>
      </c>
      <c r="E1656" s="9" t="str">
        <f>IF(OR(C1656="",D1656=""),"",C1656*D1656)</f>
        <v/>
      </c>
      <c r="F1656" s="4"/>
      <c r="G1656" s="4"/>
      <c r="H1656" s="9" t="str">
        <f>IF(OR(B1656="",C1656=""),"",C1656*IFERROR(INDEX(Articles!$D:$D,MATCH(B1656,Articles!$B:$B,0)),0))</f>
        <v/>
      </c>
      <c r="I1656" s="9" t="str">
        <f>IF(OR(E1656="",H1656=""),"",E1656-H1656)</f>
        <v/>
      </c>
      <c r="J1656" s="4"/>
    </row>
    <row r="1657">
      <c r="A1657" s="7"/>
      <c r="B1657" s="4"/>
      <c r="C1657" s="6"/>
      <c r="D1657" s="5" t="str">
        <f>IF(B1657="","",IFERROR(INDEX(Articles!$E:$E,MATCH(B1657,Articles!$B:$B,0)),""))</f>
        <v/>
      </c>
      <c r="E1657" s="9" t="str">
        <f>IF(OR(C1657="",D1657=""),"",C1657*D1657)</f>
        <v/>
      </c>
      <c r="F1657" s="4"/>
      <c r="G1657" s="4"/>
      <c r="H1657" s="9" t="str">
        <f>IF(OR(B1657="",C1657=""),"",C1657*IFERROR(INDEX(Articles!$D:$D,MATCH(B1657,Articles!$B:$B,0)),0))</f>
        <v/>
      </c>
      <c r="I1657" s="9" t="str">
        <f>IF(OR(E1657="",H1657=""),"",E1657-H1657)</f>
        <v/>
      </c>
      <c r="J1657" s="4"/>
    </row>
    <row r="1658">
      <c r="A1658" s="7"/>
      <c r="B1658" s="4"/>
      <c r="C1658" s="6"/>
      <c r="D1658" s="5" t="str">
        <f>IF(B1658="","",IFERROR(INDEX(Articles!$E:$E,MATCH(B1658,Articles!$B:$B,0)),""))</f>
        <v/>
      </c>
      <c r="E1658" s="9" t="str">
        <f>IF(OR(C1658="",D1658=""),"",C1658*D1658)</f>
        <v/>
      </c>
      <c r="F1658" s="4"/>
      <c r="G1658" s="4"/>
      <c r="H1658" s="9" t="str">
        <f>IF(OR(B1658="",C1658=""),"",C1658*IFERROR(INDEX(Articles!$D:$D,MATCH(B1658,Articles!$B:$B,0)),0))</f>
        <v/>
      </c>
      <c r="I1658" s="9" t="str">
        <f>IF(OR(E1658="",H1658=""),"",E1658-H1658)</f>
        <v/>
      </c>
      <c r="J1658" s="4"/>
    </row>
    <row r="1659">
      <c r="A1659" s="7"/>
      <c r="B1659" s="4"/>
      <c r="C1659" s="6"/>
      <c r="D1659" s="5" t="str">
        <f>IF(B1659="","",IFERROR(INDEX(Articles!$E:$E,MATCH(B1659,Articles!$B:$B,0)),""))</f>
        <v/>
      </c>
      <c r="E1659" s="9" t="str">
        <f>IF(OR(C1659="",D1659=""),"",C1659*D1659)</f>
        <v/>
      </c>
      <c r="F1659" s="4"/>
      <c r="G1659" s="4"/>
      <c r="H1659" s="9" t="str">
        <f>IF(OR(B1659="",C1659=""),"",C1659*IFERROR(INDEX(Articles!$D:$D,MATCH(B1659,Articles!$B:$B,0)),0))</f>
        <v/>
      </c>
      <c r="I1659" s="9" t="str">
        <f>IF(OR(E1659="",H1659=""),"",E1659-H1659)</f>
        <v/>
      </c>
      <c r="J1659" s="4"/>
    </row>
    <row r="1660">
      <c r="A1660" s="7"/>
      <c r="B1660" s="4"/>
      <c r="C1660" s="6"/>
      <c r="D1660" s="5" t="str">
        <f>IF(B1660="","",IFERROR(INDEX(Articles!$E:$E,MATCH(B1660,Articles!$B:$B,0)),""))</f>
        <v/>
      </c>
      <c r="E1660" s="9" t="str">
        <f>IF(OR(C1660="",D1660=""),"",C1660*D1660)</f>
        <v/>
      </c>
      <c r="F1660" s="4"/>
      <c r="G1660" s="4"/>
      <c r="H1660" s="9" t="str">
        <f>IF(OR(B1660="",C1660=""),"",C1660*IFERROR(INDEX(Articles!$D:$D,MATCH(B1660,Articles!$B:$B,0)),0))</f>
        <v/>
      </c>
      <c r="I1660" s="9" t="str">
        <f>IF(OR(E1660="",H1660=""),"",E1660-H1660)</f>
        <v/>
      </c>
      <c r="J1660" s="4"/>
    </row>
    <row r="1661">
      <c r="A1661" s="7"/>
      <c r="B1661" s="4"/>
      <c r="C1661" s="6"/>
      <c r="D1661" s="5" t="str">
        <f>IF(B1661="","",IFERROR(INDEX(Articles!$E:$E,MATCH(B1661,Articles!$B:$B,0)),""))</f>
        <v/>
      </c>
      <c r="E1661" s="9" t="str">
        <f>IF(OR(C1661="",D1661=""),"",C1661*D1661)</f>
        <v/>
      </c>
      <c r="F1661" s="4"/>
      <c r="G1661" s="4"/>
      <c r="H1661" s="9" t="str">
        <f>IF(OR(B1661="",C1661=""),"",C1661*IFERROR(INDEX(Articles!$D:$D,MATCH(B1661,Articles!$B:$B,0)),0))</f>
        <v/>
      </c>
      <c r="I1661" s="9" t="str">
        <f>IF(OR(E1661="",H1661=""),"",E1661-H1661)</f>
        <v/>
      </c>
      <c r="J1661" s="4"/>
    </row>
    <row r="1662">
      <c r="A1662" s="7"/>
      <c r="B1662" s="4"/>
      <c r="C1662" s="6"/>
      <c r="D1662" s="5" t="str">
        <f>IF(B1662="","",IFERROR(INDEX(Articles!$E:$E,MATCH(B1662,Articles!$B:$B,0)),""))</f>
        <v/>
      </c>
      <c r="E1662" s="9" t="str">
        <f>IF(OR(C1662="",D1662=""),"",C1662*D1662)</f>
        <v/>
      </c>
      <c r="F1662" s="4"/>
      <c r="G1662" s="4"/>
      <c r="H1662" s="9" t="str">
        <f>IF(OR(B1662="",C1662=""),"",C1662*IFERROR(INDEX(Articles!$D:$D,MATCH(B1662,Articles!$B:$B,0)),0))</f>
        <v/>
      </c>
      <c r="I1662" s="9" t="str">
        <f>IF(OR(E1662="",H1662=""),"",E1662-H1662)</f>
        <v/>
      </c>
      <c r="J1662" s="4"/>
    </row>
    <row r="1663">
      <c r="A1663" s="7"/>
      <c r="B1663" s="4"/>
      <c r="C1663" s="6"/>
      <c r="D1663" s="5" t="str">
        <f>IF(B1663="","",IFERROR(INDEX(Articles!$E:$E,MATCH(B1663,Articles!$B:$B,0)),""))</f>
        <v/>
      </c>
      <c r="E1663" s="9" t="str">
        <f>IF(OR(C1663="",D1663=""),"",C1663*D1663)</f>
        <v/>
      </c>
      <c r="F1663" s="4"/>
      <c r="G1663" s="4"/>
      <c r="H1663" s="9" t="str">
        <f>IF(OR(B1663="",C1663=""),"",C1663*IFERROR(INDEX(Articles!$D:$D,MATCH(B1663,Articles!$B:$B,0)),0))</f>
        <v/>
      </c>
      <c r="I1663" s="9" t="str">
        <f>IF(OR(E1663="",H1663=""),"",E1663-H1663)</f>
        <v/>
      </c>
      <c r="J1663" s="4"/>
    </row>
    <row r="1664">
      <c r="A1664" s="7"/>
      <c r="B1664" s="4"/>
      <c r="C1664" s="6"/>
      <c r="D1664" s="5" t="str">
        <f>IF(B1664="","",IFERROR(INDEX(Articles!$E:$E,MATCH(B1664,Articles!$B:$B,0)),""))</f>
        <v/>
      </c>
      <c r="E1664" s="9" t="str">
        <f>IF(OR(C1664="",D1664=""),"",C1664*D1664)</f>
        <v/>
      </c>
      <c r="F1664" s="4"/>
      <c r="G1664" s="4"/>
      <c r="H1664" s="9" t="str">
        <f>IF(OR(B1664="",C1664=""),"",C1664*IFERROR(INDEX(Articles!$D:$D,MATCH(B1664,Articles!$B:$B,0)),0))</f>
        <v/>
      </c>
      <c r="I1664" s="9" t="str">
        <f>IF(OR(E1664="",H1664=""),"",E1664-H1664)</f>
        <v/>
      </c>
      <c r="J1664" s="4"/>
    </row>
    <row r="1665">
      <c r="A1665" s="7"/>
      <c r="B1665" s="4"/>
      <c r="C1665" s="6"/>
      <c r="D1665" s="5" t="str">
        <f>IF(B1665="","",IFERROR(INDEX(Articles!$E:$E,MATCH(B1665,Articles!$B:$B,0)),""))</f>
        <v/>
      </c>
      <c r="E1665" s="9" t="str">
        <f>IF(OR(C1665="",D1665=""),"",C1665*D1665)</f>
        <v/>
      </c>
      <c r="F1665" s="4"/>
      <c r="G1665" s="4"/>
      <c r="H1665" s="9" t="str">
        <f>IF(OR(B1665="",C1665=""),"",C1665*IFERROR(INDEX(Articles!$D:$D,MATCH(B1665,Articles!$B:$B,0)),0))</f>
        <v/>
      </c>
      <c r="I1665" s="9" t="str">
        <f>IF(OR(E1665="",H1665=""),"",E1665-H1665)</f>
        <v/>
      </c>
      <c r="J1665" s="4"/>
    </row>
    <row r="1666">
      <c r="A1666" s="7"/>
      <c r="B1666" s="4"/>
      <c r="C1666" s="6"/>
      <c r="D1666" s="5" t="str">
        <f>IF(B1666="","",IFERROR(INDEX(Articles!$E:$E,MATCH(B1666,Articles!$B:$B,0)),""))</f>
        <v/>
      </c>
      <c r="E1666" s="9" t="str">
        <f>IF(OR(C1666="",D1666=""),"",C1666*D1666)</f>
        <v/>
      </c>
      <c r="F1666" s="4"/>
      <c r="G1666" s="4"/>
      <c r="H1666" s="9" t="str">
        <f>IF(OR(B1666="",C1666=""),"",C1666*IFERROR(INDEX(Articles!$D:$D,MATCH(B1666,Articles!$B:$B,0)),0))</f>
        <v/>
      </c>
      <c r="I1666" s="9" t="str">
        <f>IF(OR(E1666="",H1666=""),"",E1666-H1666)</f>
        <v/>
      </c>
      <c r="J1666" s="4"/>
    </row>
    <row r="1667">
      <c r="A1667" s="7"/>
      <c r="B1667" s="4"/>
      <c r="C1667" s="6"/>
      <c r="D1667" s="5" t="str">
        <f>IF(B1667="","",IFERROR(INDEX(Articles!$E:$E,MATCH(B1667,Articles!$B:$B,0)),""))</f>
        <v/>
      </c>
      <c r="E1667" s="9" t="str">
        <f>IF(OR(C1667="",D1667=""),"",C1667*D1667)</f>
        <v/>
      </c>
      <c r="F1667" s="4"/>
      <c r="G1667" s="4"/>
      <c r="H1667" s="9" t="str">
        <f>IF(OR(B1667="",C1667=""),"",C1667*IFERROR(INDEX(Articles!$D:$D,MATCH(B1667,Articles!$B:$B,0)),0))</f>
        <v/>
      </c>
      <c r="I1667" s="9" t="str">
        <f>IF(OR(E1667="",H1667=""),"",E1667-H1667)</f>
        <v/>
      </c>
      <c r="J1667" s="4"/>
    </row>
    <row r="1668">
      <c r="A1668" s="7"/>
      <c r="B1668" s="4"/>
      <c r="C1668" s="6"/>
      <c r="D1668" s="5" t="str">
        <f>IF(B1668="","",IFERROR(INDEX(Articles!$E:$E,MATCH(B1668,Articles!$B:$B,0)),""))</f>
        <v/>
      </c>
      <c r="E1668" s="9" t="str">
        <f>IF(OR(C1668="",D1668=""),"",C1668*D1668)</f>
        <v/>
      </c>
      <c r="F1668" s="4"/>
      <c r="G1668" s="4"/>
      <c r="H1668" s="9" t="str">
        <f>IF(OR(B1668="",C1668=""),"",C1668*IFERROR(INDEX(Articles!$D:$D,MATCH(B1668,Articles!$B:$B,0)),0))</f>
        <v/>
      </c>
      <c r="I1668" s="9" t="str">
        <f>IF(OR(E1668="",H1668=""),"",E1668-H1668)</f>
        <v/>
      </c>
      <c r="J1668" s="4"/>
    </row>
    <row r="1669">
      <c r="A1669" s="7"/>
      <c r="B1669" s="4"/>
      <c r="C1669" s="6"/>
      <c r="D1669" s="5" t="str">
        <f>IF(B1669="","",IFERROR(INDEX(Articles!$E:$E,MATCH(B1669,Articles!$B:$B,0)),""))</f>
        <v/>
      </c>
      <c r="E1669" s="9" t="str">
        <f>IF(OR(C1669="",D1669=""),"",C1669*D1669)</f>
        <v/>
      </c>
      <c r="F1669" s="4"/>
      <c r="G1669" s="4"/>
      <c r="H1669" s="9" t="str">
        <f>IF(OR(B1669="",C1669=""),"",C1669*IFERROR(INDEX(Articles!$D:$D,MATCH(B1669,Articles!$B:$B,0)),0))</f>
        <v/>
      </c>
      <c r="I1669" s="9" t="str">
        <f>IF(OR(E1669="",H1669=""),"",E1669-H1669)</f>
        <v/>
      </c>
      <c r="J1669" s="4"/>
    </row>
    <row r="1670">
      <c r="A1670" s="7"/>
      <c r="B1670" s="4"/>
      <c r="C1670" s="6"/>
      <c r="D1670" s="5" t="str">
        <f>IF(B1670="","",IFERROR(INDEX(Articles!$E:$E,MATCH(B1670,Articles!$B:$B,0)),""))</f>
        <v/>
      </c>
      <c r="E1670" s="9" t="str">
        <f>IF(OR(C1670="",D1670=""),"",C1670*D1670)</f>
        <v/>
      </c>
      <c r="F1670" s="4"/>
      <c r="G1670" s="4"/>
      <c r="H1670" s="9" t="str">
        <f>IF(OR(B1670="",C1670=""),"",C1670*IFERROR(INDEX(Articles!$D:$D,MATCH(B1670,Articles!$B:$B,0)),0))</f>
        <v/>
      </c>
      <c r="I1670" s="9" t="str">
        <f>IF(OR(E1670="",H1670=""),"",E1670-H1670)</f>
        <v/>
      </c>
      <c r="J1670" s="4"/>
    </row>
    <row r="1671">
      <c r="A1671" s="7"/>
      <c r="B1671" s="4"/>
      <c r="C1671" s="6"/>
      <c r="D1671" s="5" t="str">
        <f>IF(B1671="","",IFERROR(INDEX(Articles!$E:$E,MATCH(B1671,Articles!$B:$B,0)),""))</f>
        <v/>
      </c>
      <c r="E1671" s="9" t="str">
        <f>IF(OR(C1671="",D1671=""),"",C1671*D1671)</f>
        <v/>
      </c>
      <c r="F1671" s="4"/>
      <c r="G1671" s="4"/>
      <c r="H1671" s="9" t="str">
        <f>IF(OR(B1671="",C1671=""),"",C1671*IFERROR(INDEX(Articles!$D:$D,MATCH(B1671,Articles!$B:$B,0)),0))</f>
        <v/>
      </c>
      <c r="I1671" s="9" t="str">
        <f>IF(OR(E1671="",H1671=""),"",E1671-H1671)</f>
        <v/>
      </c>
      <c r="J1671" s="4"/>
    </row>
    <row r="1672">
      <c r="A1672" s="7"/>
      <c r="B1672" s="4"/>
      <c r="C1672" s="6"/>
      <c r="D1672" s="5" t="str">
        <f>IF(B1672="","",IFERROR(INDEX(Articles!$E:$E,MATCH(B1672,Articles!$B:$B,0)),""))</f>
        <v/>
      </c>
      <c r="E1672" s="9" t="str">
        <f>IF(OR(C1672="",D1672=""),"",C1672*D1672)</f>
        <v/>
      </c>
      <c r="F1672" s="4"/>
      <c r="G1672" s="4"/>
      <c r="H1672" s="9" t="str">
        <f>IF(OR(B1672="",C1672=""),"",C1672*IFERROR(INDEX(Articles!$D:$D,MATCH(B1672,Articles!$B:$B,0)),0))</f>
        <v/>
      </c>
      <c r="I1672" s="9" t="str">
        <f>IF(OR(E1672="",H1672=""),"",E1672-H1672)</f>
        <v/>
      </c>
      <c r="J1672" s="4"/>
    </row>
    <row r="1673">
      <c r="A1673" s="7"/>
      <c r="B1673" s="4"/>
      <c r="C1673" s="6"/>
      <c r="D1673" s="5" t="str">
        <f>IF(B1673="","",IFERROR(INDEX(Articles!$E:$E,MATCH(B1673,Articles!$B:$B,0)),""))</f>
        <v/>
      </c>
      <c r="E1673" s="9" t="str">
        <f>IF(OR(C1673="",D1673=""),"",C1673*D1673)</f>
        <v/>
      </c>
      <c r="F1673" s="4"/>
      <c r="G1673" s="4"/>
      <c r="H1673" s="9" t="str">
        <f>IF(OR(B1673="",C1673=""),"",C1673*IFERROR(INDEX(Articles!$D:$D,MATCH(B1673,Articles!$B:$B,0)),0))</f>
        <v/>
      </c>
      <c r="I1673" s="9" t="str">
        <f>IF(OR(E1673="",H1673=""),"",E1673-H1673)</f>
        <v/>
      </c>
      <c r="J1673" s="4"/>
    </row>
    <row r="1674">
      <c r="A1674" s="7"/>
      <c r="B1674" s="4"/>
      <c r="C1674" s="6"/>
      <c r="D1674" s="5" t="str">
        <f>IF(B1674="","",IFERROR(INDEX(Articles!$E:$E,MATCH(B1674,Articles!$B:$B,0)),""))</f>
        <v/>
      </c>
      <c r="E1674" s="9" t="str">
        <f>IF(OR(C1674="",D1674=""),"",C1674*D1674)</f>
        <v/>
      </c>
      <c r="F1674" s="4"/>
      <c r="G1674" s="4"/>
      <c r="H1674" s="9" t="str">
        <f>IF(OR(B1674="",C1674=""),"",C1674*IFERROR(INDEX(Articles!$D:$D,MATCH(B1674,Articles!$B:$B,0)),0))</f>
        <v/>
      </c>
      <c r="I1674" s="9" t="str">
        <f>IF(OR(E1674="",H1674=""),"",E1674-H1674)</f>
        <v/>
      </c>
      <c r="J1674" s="4"/>
    </row>
    <row r="1675">
      <c r="A1675" s="7"/>
      <c r="B1675" s="4"/>
      <c r="C1675" s="6"/>
      <c r="D1675" s="5" t="str">
        <f>IF(B1675="","",IFERROR(INDEX(Articles!$E:$E,MATCH(B1675,Articles!$B:$B,0)),""))</f>
        <v/>
      </c>
      <c r="E1675" s="9" t="str">
        <f>IF(OR(C1675="",D1675=""),"",C1675*D1675)</f>
        <v/>
      </c>
      <c r="F1675" s="4"/>
      <c r="G1675" s="4"/>
      <c r="H1675" s="9" t="str">
        <f>IF(OR(B1675="",C1675=""),"",C1675*IFERROR(INDEX(Articles!$D:$D,MATCH(B1675,Articles!$B:$B,0)),0))</f>
        <v/>
      </c>
      <c r="I1675" s="9" t="str">
        <f>IF(OR(E1675="",H1675=""),"",E1675-H1675)</f>
        <v/>
      </c>
      <c r="J1675" s="4"/>
    </row>
    <row r="1676">
      <c r="A1676" s="7"/>
      <c r="B1676" s="4"/>
      <c r="C1676" s="6"/>
      <c r="D1676" s="5" t="str">
        <f>IF(B1676="","",IFERROR(INDEX(Articles!$E:$E,MATCH(B1676,Articles!$B:$B,0)),""))</f>
        <v/>
      </c>
      <c r="E1676" s="9" t="str">
        <f>IF(OR(C1676="",D1676=""),"",C1676*D1676)</f>
        <v/>
      </c>
      <c r="F1676" s="4"/>
      <c r="G1676" s="4"/>
      <c r="H1676" s="9" t="str">
        <f>IF(OR(B1676="",C1676=""),"",C1676*IFERROR(INDEX(Articles!$D:$D,MATCH(B1676,Articles!$B:$B,0)),0))</f>
        <v/>
      </c>
      <c r="I1676" s="9" t="str">
        <f>IF(OR(E1676="",H1676=""),"",E1676-H1676)</f>
        <v/>
      </c>
      <c r="J1676" s="4"/>
    </row>
    <row r="1677">
      <c r="A1677" s="7"/>
      <c r="B1677" s="4"/>
      <c r="C1677" s="6"/>
      <c r="D1677" s="5" t="str">
        <f>IF(B1677="","",IFERROR(INDEX(Articles!$E:$E,MATCH(B1677,Articles!$B:$B,0)),""))</f>
        <v/>
      </c>
      <c r="E1677" s="9" t="str">
        <f>IF(OR(C1677="",D1677=""),"",C1677*D1677)</f>
        <v/>
      </c>
      <c r="F1677" s="4"/>
      <c r="G1677" s="4"/>
      <c r="H1677" s="9" t="str">
        <f>IF(OR(B1677="",C1677=""),"",C1677*IFERROR(INDEX(Articles!$D:$D,MATCH(B1677,Articles!$B:$B,0)),0))</f>
        <v/>
      </c>
      <c r="I1677" s="9" t="str">
        <f>IF(OR(E1677="",H1677=""),"",E1677-H1677)</f>
        <v/>
      </c>
      <c r="J1677" s="4"/>
    </row>
    <row r="1678">
      <c r="A1678" s="7"/>
      <c r="B1678" s="4"/>
      <c r="C1678" s="6"/>
      <c r="D1678" s="5" t="str">
        <f>IF(B1678="","",IFERROR(INDEX(Articles!$E:$E,MATCH(B1678,Articles!$B:$B,0)),""))</f>
        <v/>
      </c>
      <c r="E1678" s="9" t="str">
        <f>IF(OR(C1678="",D1678=""),"",C1678*D1678)</f>
        <v/>
      </c>
      <c r="F1678" s="4"/>
      <c r="G1678" s="4"/>
      <c r="H1678" s="9" t="str">
        <f>IF(OR(B1678="",C1678=""),"",C1678*IFERROR(INDEX(Articles!$D:$D,MATCH(B1678,Articles!$B:$B,0)),0))</f>
        <v/>
      </c>
      <c r="I1678" s="9" t="str">
        <f>IF(OR(E1678="",H1678=""),"",E1678-H1678)</f>
        <v/>
      </c>
      <c r="J1678" s="4"/>
    </row>
    <row r="1679">
      <c r="A1679" s="7"/>
      <c r="B1679" s="4"/>
      <c r="C1679" s="6"/>
      <c r="D1679" s="5" t="str">
        <f>IF(B1679="","",IFERROR(INDEX(Articles!$E:$E,MATCH(B1679,Articles!$B:$B,0)),""))</f>
        <v/>
      </c>
      <c r="E1679" s="9" t="str">
        <f>IF(OR(C1679="",D1679=""),"",C1679*D1679)</f>
        <v/>
      </c>
      <c r="F1679" s="4"/>
      <c r="G1679" s="4"/>
      <c r="H1679" s="9" t="str">
        <f>IF(OR(B1679="",C1679=""),"",C1679*IFERROR(INDEX(Articles!$D:$D,MATCH(B1679,Articles!$B:$B,0)),0))</f>
        <v/>
      </c>
      <c r="I1679" s="9" t="str">
        <f>IF(OR(E1679="",H1679=""),"",E1679-H1679)</f>
        <v/>
      </c>
      <c r="J1679" s="4"/>
    </row>
    <row r="1680">
      <c r="A1680" s="7"/>
      <c r="B1680" s="4"/>
      <c r="C1680" s="6"/>
      <c r="D1680" s="5" t="str">
        <f>IF(B1680="","",IFERROR(INDEX(Articles!$E:$E,MATCH(B1680,Articles!$B:$B,0)),""))</f>
        <v/>
      </c>
      <c r="E1680" s="9" t="str">
        <f>IF(OR(C1680="",D1680=""),"",C1680*D1680)</f>
        <v/>
      </c>
      <c r="F1680" s="4"/>
      <c r="G1680" s="4"/>
      <c r="H1680" s="9" t="str">
        <f>IF(OR(B1680="",C1680=""),"",C1680*IFERROR(INDEX(Articles!$D:$D,MATCH(B1680,Articles!$B:$B,0)),0))</f>
        <v/>
      </c>
      <c r="I1680" s="9" t="str">
        <f>IF(OR(E1680="",H1680=""),"",E1680-H1680)</f>
        <v/>
      </c>
      <c r="J1680" s="4"/>
    </row>
    <row r="1681">
      <c r="A1681" s="7"/>
      <c r="B1681" s="4"/>
      <c r="C1681" s="6"/>
      <c r="D1681" s="5" t="str">
        <f>IF(B1681="","",IFERROR(INDEX(Articles!$E:$E,MATCH(B1681,Articles!$B:$B,0)),""))</f>
        <v/>
      </c>
      <c r="E1681" s="9" t="str">
        <f>IF(OR(C1681="",D1681=""),"",C1681*D1681)</f>
        <v/>
      </c>
      <c r="F1681" s="4"/>
      <c r="G1681" s="4"/>
      <c r="H1681" s="9" t="str">
        <f>IF(OR(B1681="",C1681=""),"",C1681*IFERROR(INDEX(Articles!$D:$D,MATCH(B1681,Articles!$B:$B,0)),0))</f>
        <v/>
      </c>
      <c r="I1681" s="9" t="str">
        <f>IF(OR(E1681="",H1681=""),"",E1681-H1681)</f>
        <v/>
      </c>
      <c r="J1681" s="4"/>
    </row>
    <row r="1682">
      <c r="A1682" s="7"/>
      <c r="B1682" s="4"/>
      <c r="C1682" s="6"/>
      <c r="D1682" s="5" t="str">
        <f>IF(B1682="","",IFERROR(INDEX(Articles!$E:$E,MATCH(B1682,Articles!$B:$B,0)),""))</f>
        <v/>
      </c>
      <c r="E1682" s="9" t="str">
        <f>IF(OR(C1682="",D1682=""),"",C1682*D1682)</f>
        <v/>
      </c>
      <c r="F1682" s="4"/>
      <c r="G1682" s="4"/>
      <c r="H1682" s="9" t="str">
        <f>IF(OR(B1682="",C1682=""),"",C1682*IFERROR(INDEX(Articles!$D:$D,MATCH(B1682,Articles!$B:$B,0)),0))</f>
        <v/>
      </c>
      <c r="I1682" s="9" t="str">
        <f>IF(OR(E1682="",H1682=""),"",E1682-H1682)</f>
        <v/>
      </c>
      <c r="J1682" s="4"/>
    </row>
    <row r="1683">
      <c r="A1683" s="7"/>
      <c r="B1683" s="4"/>
      <c r="C1683" s="6"/>
      <c r="D1683" s="5" t="str">
        <f>IF(B1683="","",IFERROR(INDEX(Articles!$E:$E,MATCH(B1683,Articles!$B:$B,0)),""))</f>
        <v/>
      </c>
      <c r="E1683" s="9" t="str">
        <f>IF(OR(C1683="",D1683=""),"",C1683*D1683)</f>
        <v/>
      </c>
      <c r="F1683" s="4"/>
      <c r="G1683" s="4"/>
      <c r="H1683" s="9" t="str">
        <f>IF(OR(B1683="",C1683=""),"",C1683*IFERROR(INDEX(Articles!$D:$D,MATCH(B1683,Articles!$B:$B,0)),0))</f>
        <v/>
      </c>
      <c r="I1683" s="9" t="str">
        <f>IF(OR(E1683="",H1683=""),"",E1683-H1683)</f>
        <v/>
      </c>
      <c r="J1683" s="4"/>
    </row>
    <row r="1684">
      <c r="A1684" s="7"/>
      <c r="B1684" s="4"/>
      <c r="C1684" s="6"/>
      <c r="D1684" s="5" t="str">
        <f>IF(B1684="","",IFERROR(INDEX(Articles!$E:$E,MATCH(B1684,Articles!$B:$B,0)),""))</f>
        <v/>
      </c>
      <c r="E1684" s="9" t="str">
        <f>IF(OR(C1684="",D1684=""),"",C1684*D1684)</f>
        <v/>
      </c>
      <c r="F1684" s="4"/>
      <c r="G1684" s="4"/>
      <c r="H1684" s="9" t="str">
        <f>IF(OR(B1684="",C1684=""),"",C1684*IFERROR(INDEX(Articles!$D:$D,MATCH(B1684,Articles!$B:$B,0)),0))</f>
        <v/>
      </c>
      <c r="I1684" s="9" t="str">
        <f>IF(OR(E1684="",H1684=""),"",E1684-H1684)</f>
        <v/>
      </c>
      <c r="J1684" s="4"/>
    </row>
    <row r="1685">
      <c r="A1685" s="7"/>
      <c r="B1685" s="4"/>
      <c r="C1685" s="6"/>
      <c r="D1685" s="5" t="str">
        <f>IF(B1685="","",IFERROR(INDEX(Articles!$E:$E,MATCH(B1685,Articles!$B:$B,0)),""))</f>
        <v/>
      </c>
      <c r="E1685" s="9" t="str">
        <f>IF(OR(C1685="",D1685=""),"",C1685*D1685)</f>
        <v/>
      </c>
      <c r="F1685" s="4"/>
      <c r="G1685" s="4"/>
      <c r="H1685" s="9" t="str">
        <f>IF(OR(B1685="",C1685=""),"",C1685*IFERROR(INDEX(Articles!$D:$D,MATCH(B1685,Articles!$B:$B,0)),0))</f>
        <v/>
      </c>
      <c r="I1685" s="9" t="str">
        <f>IF(OR(E1685="",H1685=""),"",E1685-H1685)</f>
        <v/>
      </c>
      <c r="J1685" s="4"/>
    </row>
    <row r="1686">
      <c r="A1686" s="7"/>
      <c r="B1686" s="4"/>
      <c r="C1686" s="6"/>
      <c r="D1686" s="5" t="str">
        <f>IF(B1686="","",IFERROR(INDEX(Articles!$E:$E,MATCH(B1686,Articles!$B:$B,0)),""))</f>
        <v/>
      </c>
      <c r="E1686" s="9" t="str">
        <f>IF(OR(C1686="",D1686=""),"",C1686*D1686)</f>
        <v/>
      </c>
      <c r="F1686" s="4"/>
      <c r="G1686" s="4"/>
      <c r="H1686" s="9" t="str">
        <f>IF(OR(B1686="",C1686=""),"",C1686*IFERROR(INDEX(Articles!$D:$D,MATCH(B1686,Articles!$B:$B,0)),0))</f>
        <v/>
      </c>
      <c r="I1686" s="9" t="str">
        <f>IF(OR(E1686="",H1686=""),"",E1686-H1686)</f>
        <v/>
      </c>
      <c r="J1686" s="4"/>
    </row>
    <row r="1687">
      <c r="A1687" s="7"/>
      <c r="B1687" s="4"/>
      <c r="C1687" s="6"/>
      <c r="D1687" s="5" t="str">
        <f>IF(B1687="","",IFERROR(INDEX(Articles!$E:$E,MATCH(B1687,Articles!$B:$B,0)),""))</f>
        <v/>
      </c>
      <c r="E1687" s="9" t="str">
        <f>IF(OR(C1687="",D1687=""),"",C1687*D1687)</f>
        <v/>
      </c>
      <c r="F1687" s="4"/>
      <c r="G1687" s="4"/>
      <c r="H1687" s="9" t="str">
        <f>IF(OR(B1687="",C1687=""),"",C1687*IFERROR(INDEX(Articles!$D:$D,MATCH(B1687,Articles!$B:$B,0)),0))</f>
        <v/>
      </c>
      <c r="I1687" s="9" t="str">
        <f>IF(OR(E1687="",H1687=""),"",E1687-H1687)</f>
        <v/>
      </c>
      <c r="J1687" s="4"/>
    </row>
    <row r="1688">
      <c r="A1688" s="7"/>
      <c r="B1688" s="4"/>
      <c r="C1688" s="6"/>
      <c r="D1688" s="5" t="str">
        <f>IF(B1688="","",IFERROR(INDEX(Articles!$E:$E,MATCH(B1688,Articles!$B:$B,0)),""))</f>
        <v/>
      </c>
      <c r="E1688" s="9" t="str">
        <f>IF(OR(C1688="",D1688=""),"",C1688*D1688)</f>
        <v/>
      </c>
      <c r="F1688" s="4"/>
      <c r="G1688" s="4"/>
      <c r="H1688" s="9" t="str">
        <f>IF(OR(B1688="",C1688=""),"",C1688*IFERROR(INDEX(Articles!$D:$D,MATCH(B1688,Articles!$B:$B,0)),0))</f>
        <v/>
      </c>
      <c r="I1688" s="9" t="str">
        <f>IF(OR(E1688="",H1688=""),"",E1688-H1688)</f>
        <v/>
      </c>
      <c r="J1688" s="4"/>
    </row>
    <row r="1689">
      <c r="A1689" s="7"/>
      <c r="B1689" s="4"/>
      <c r="C1689" s="6"/>
      <c r="D1689" s="5" t="str">
        <f>IF(B1689="","",IFERROR(INDEX(Articles!$E:$E,MATCH(B1689,Articles!$B:$B,0)),""))</f>
        <v/>
      </c>
      <c r="E1689" s="9" t="str">
        <f>IF(OR(C1689="",D1689=""),"",C1689*D1689)</f>
        <v/>
      </c>
      <c r="F1689" s="4"/>
      <c r="G1689" s="4"/>
      <c r="H1689" s="9" t="str">
        <f>IF(OR(B1689="",C1689=""),"",C1689*IFERROR(INDEX(Articles!$D:$D,MATCH(B1689,Articles!$B:$B,0)),0))</f>
        <v/>
      </c>
      <c r="I1689" s="9" t="str">
        <f>IF(OR(E1689="",H1689=""),"",E1689-H1689)</f>
        <v/>
      </c>
      <c r="J1689" s="4"/>
    </row>
    <row r="1690">
      <c r="A1690" s="7"/>
      <c r="B1690" s="4"/>
      <c r="C1690" s="6"/>
      <c r="D1690" s="5" t="str">
        <f>IF(B1690="","",IFERROR(INDEX(Articles!$E:$E,MATCH(B1690,Articles!$B:$B,0)),""))</f>
        <v/>
      </c>
      <c r="E1690" s="9" t="str">
        <f>IF(OR(C1690="",D1690=""),"",C1690*D1690)</f>
        <v/>
      </c>
      <c r="F1690" s="4"/>
      <c r="G1690" s="4"/>
      <c r="H1690" s="9" t="str">
        <f>IF(OR(B1690="",C1690=""),"",C1690*IFERROR(INDEX(Articles!$D:$D,MATCH(B1690,Articles!$B:$B,0)),0))</f>
        <v/>
      </c>
      <c r="I1690" s="9" t="str">
        <f>IF(OR(E1690="",H1690=""),"",E1690-H1690)</f>
        <v/>
      </c>
      <c r="J1690" s="4"/>
    </row>
    <row r="1691">
      <c r="A1691" s="7"/>
      <c r="B1691" s="4"/>
      <c r="C1691" s="6"/>
      <c r="D1691" s="5" t="str">
        <f>IF(B1691="","",IFERROR(INDEX(Articles!$E:$E,MATCH(B1691,Articles!$B:$B,0)),""))</f>
        <v/>
      </c>
      <c r="E1691" s="9" t="str">
        <f>IF(OR(C1691="",D1691=""),"",C1691*D1691)</f>
        <v/>
      </c>
      <c r="F1691" s="4"/>
      <c r="G1691" s="4"/>
      <c r="H1691" s="9" t="str">
        <f>IF(OR(B1691="",C1691=""),"",C1691*IFERROR(INDEX(Articles!$D:$D,MATCH(B1691,Articles!$B:$B,0)),0))</f>
        <v/>
      </c>
      <c r="I1691" s="9" t="str">
        <f>IF(OR(E1691="",H1691=""),"",E1691-H1691)</f>
        <v/>
      </c>
      <c r="J1691" s="4"/>
    </row>
    <row r="1692">
      <c r="A1692" s="7"/>
      <c r="B1692" s="4"/>
      <c r="C1692" s="6"/>
      <c r="D1692" s="5" t="str">
        <f>IF(B1692="","",IFERROR(INDEX(Articles!$E:$E,MATCH(B1692,Articles!$B:$B,0)),""))</f>
        <v/>
      </c>
      <c r="E1692" s="9" t="str">
        <f>IF(OR(C1692="",D1692=""),"",C1692*D1692)</f>
        <v/>
      </c>
      <c r="F1692" s="4"/>
      <c r="G1692" s="4"/>
      <c r="H1692" s="9" t="str">
        <f>IF(OR(B1692="",C1692=""),"",C1692*IFERROR(INDEX(Articles!$D:$D,MATCH(B1692,Articles!$B:$B,0)),0))</f>
        <v/>
      </c>
      <c r="I1692" s="9" t="str">
        <f>IF(OR(E1692="",H1692=""),"",E1692-H1692)</f>
        <v/>
      </c>
      <c r="J1692" s="4"/>
    </row>
    <row r="1693">
      <c r="A1693" s="7"/>
      <c r="B1693" s="4"/>
      <c r="C1693" s="6"/>
      <c r="D1693" s="5" t="str">
        <f>IF(B1693="","",IFERROR(INDEX(Articles!$E:$E,MATCH(B1693,Articles!$B:$B,0)),""))</f>
        <v/>
      </c>
      <c r="E1693" s="9" t="str">
        <f>IF(OR(C1693="",D1693=""),"",C1693*D1693)</f>
        <v/>
      </c>
      <c r="F1693" s="4"/>
      <c r="G1693" s="4"/>
      <c r="H1693" s="9" t="str">
        <f>IF(OR(B1693="",C1693=""),"",C1693*IFERROR(INDEX(Articles!$D:$D,MATCH(B1693,Articles!$B:$B,0)),0))</f>
        <v/>
      </c>
      <c r="I1693" s="9" t="str">
        <f>IF(OR(E1693="",H1693=""),"",E1693-H1693)</f>
        <v/>
      </c>
      <c r="J1693" s="4"/>
    </row>
    <row r="1694">
      <c r="A1694" s="7"/>
      <c r="B1694" s="4"/>
      <c r="C1694" s="6"/>
      <c r="D1694" s="5" t="str">
        <f>IF(B1694="","",IFERROR(INDEX(Articles!$E:$E,MATCH(B1694,Articles!$B:$B,0)),""))</f>
        <v/>
      </c>
      <c r="E1694" s="9" t="str">
        <f>IF(OR(C1694="",D1694=""),"",C1694*D1694)</f>
        <v/>
      </c>
      <c r="F1694" s="4"/>
      <c r="G1694" s="4"/>
      <c r="H1694" s="9" t="str">
        <f>IF(OR(B1694="",C1694=""),"",C1694*IFERROR(INDEX(Articles!$D:$D,MATCH(B1694,Articles!$B:$B,0)),0))</f>
        <v/>
      </c>
      <c r="I1694" s="9" t="str">
        <f>IF(OR(E1694="",H1694=""),"",E1694-H1694)</f>
        <v/>
      </c>
      <c r="J1694" s="4"/>
    </row>
    <row r="1695">
      <c r="A1695" s="7"/>
      <c r="B1695" s="4"/>
      <c r="C1695" s="6"/>
      <c r="D1695" s="5" t="str">
        <f>IF(B1695="","",IFERROR(INDEX(Articles!$E:$E,MATCH(B1695,Articles!$B:$B,0)),""))</f>
        <v/>
      </c>
      <c r="E1695" s="9" t="str">
        <f>IF(OR(C1695="",D1695=""),"",C1695*D1695)</f>
        <v/>
      </c>
      <c r="F1695" s="4"/>
      <c r="G1695" s="4"/>
      <c r="H1695" s="9" t="str">
        <f>IF(OR(B1695="",C1695=""),"",C1695*IFERROR(INDEX(Articles!$D:$D,MATCH(B1695,Articles!$B:$B,0)),0))</f>
        <v/>
      </c>
      <c r="I1695" s="9" t="str">
        <f>IF(OR(E1695="",H1695=""),"",E1695-H1695)</f>
        <v/>
      </c>
      <c r="J1695" s="4"/>
    </row>
    <row r="1696">
      <c r="A1696" s="7"/>
      <c r="B1696" s="4"/>
      <c r="C1696" s="6"/>
      <c r="D1696" s="5" t="str">
        <f>IF(B1696="","",IFERROR(INDEX(Articles!$E:$E,MATCH(B1696,Articles!$B:$B,0)),""))</f>
        <v/>
      </c>
      <c r="E1696" s="9" t="str">
        <f>IF(OR(C1696="",D1696=""),"",C1696*D1696)</f>
        <v/>
      </c>
      <c r="F1696" s="4"/>
      <c r="G1696" s="4"/>
      <c r="H1696" s="9" t="str">
        <f>IF(OR(B1696="",C1696=""),"",C1696*IFERROR(INDEX(Articles!$D:$D,MATCH(B1696,Articles!$B:$B,0)),0))</f>
        <v/>
      </c>
      <c r="I1696" s="9" t="str">
        <f>IF(OR(E1696="",H1696=""),"",E1696-H1696)</f>
        <v/>
      </c>
      <c r="J1696" s="4"/>
    </row>
    <row r="1697">
      <c r="A1697" s="7"/>
      <c r="B1697" s="4"/>
      <c r="C1697" s="6"/>
      <c r="D1697" s="5" t="str">
        <f>IF(B1697="","",IFERROR(INDEX(Articles!$E:$E,MATCH(B1697,Articles!$B:$B,0)),""))</f>
        <v/>
      </c>
      <c r="E1697" s="9" t="str">
        <f>IF(OR(C1697="",D1697=""),"",C1697*D1697)</f>
        <v/>
      </c>
      <c r="F1697" s="4"/>
      <c r="G1697" s="4"/>
      <c r="H1697" s="9" t="str">
        <f>IF(OR(B1697="",C1697=""),"",C1697*IFERROR(INDEX(Articles!$D:$D,MATCH(B1697,Articles!$B:$B,0)),0))</f>
        <v/>
      </c>
      <c r="I1697" s="9" t="str">
        <f>IF(OR(E1697="",H1697=""),"",E1697-H1697)</f>
        <v/>
      </c>
      <c r="J1697" s="4"/>
    </row>
    <row r="1698">
      <c r="A1698" s="7"/>
      <c r="B1698" s="4"/>
      <c r="C1698" s="6"/>
      <c r="D1698" s="5" t="str">
        <f>IF(B1698="","",IFERROR(INDEX(Articles!$E:$E,MATCH(B1698,Articles!$B:$B,0)),""))</f>
        <v/>
      </c>
      <c r="E1698" s="9" t="str">
        <f>IF(OR(C1698="",D1698=""),"",C1698*D1698)</f>
        <v/>
      </c>
      <c r="F1698" s="4"/>
      <c r="G1698" s="4"/>
      <c r="H1698" s="9" t="str">
        <f>IF(OR(B1698="",C1698=""),"",C1698*IFERROR(INDEX(Articles!$D:$D,MATCH(B1698,Articles!$B:$B,0)),0))</f>
        <v/>
      </c>
      <c r="I1698" s="9" t="str">
        <f>IF(OR(E1698="",H1698=""),"",E1698-H1698)</f>
        <v/>
      </c>
      <c r="J1698" s="4"/>
    </row>
    <row r="1699">
      <c r="A1699" s="7"/>
      <c r="B1699" s="4"/>
      <c r="C1699" s="6"/>
      <c r="D1699" s="5" t="str">
        <f>IF(B1699="","",IFERROR(INDEX(Articles!$E:$E,MATCH(B1699,Articles!$B:$B,0)),""))</f>
        <v/>
      </c>
      <c r="E1699" s="9" t="str">
        <f>IF(OR(C1699="",D1699=""),"",C1699*D1699)</f>
        <v/>
      </c>
      <c r="F1699" s="4"/>
      <c r="G1699" s="4"/>
      <c r="H1699" s="9" t="str">
        <f>IF(OR(B1699="",C1699=""),"",C1699*IFERROR(INDEX(Articles!$D:$D,MATCH(B1699,Articles!$B:$B,0)),0))</f>
        <v/>
      </c>
      <c r="I1699" s="9" t="str">
        <f>IF(OR(E1699="",H1699=""),"",E1699-H1699)</f>
        <v/>
      </c>
      <c r="J1699" s="4"/>
    </row>
    <row r="1700">
      <c r="A1700" s="7"/>
      <c r="B1700" s="4"/>
      <c r="C1700" s="6"/>
      <c r="D1700" s="5" t="str">
        <f>IF(B1700="","",IFERROR(INDEX(Articles!$E:$E,MATCH(B1700,Articles!$B:$B,0)),""))</f>
        <v/>
      </c>
      <c r="E1700" s="9" t="str">
        <f>IF(OR(C1700="",D1700=""),"",C1700*D1700)</f>
        <v/>
      </c>
      <c r="F1700" s="4"/>
      <c r="G1700" s="4"/>
      <c r="H1700" s="9" t="str">
        <f>IF(OR(B1700="",C1700=""),"",C1700*IFERROR(INDEX(Articles!$D:$D,MATCH(B1700,Articles!$B:$B,0)),0))</f>
        <v/>
      </c>
      <c r="I1700" s="9" t="str">
        <f>IF(OR(E1700="",H1700=""),"",E1700-H1700)</f>
        <v/>
      </c>
      <c r="J1700" s="4"/>
    </row>
    <row r="1701">
      <c r="A1701" s="7"/>
      <c r="B1701" s="4"/>
      <c r="C1701" s="6"/>
      <c r="D1701" s="5" t="str">
        <f>IF(B1701="","",IFERROR(INDEX(Articles!$E:$E,MATCH(B1701,Articles!$B:$B,0)),""))</f>
        <v/>
      </c>
      <c r="E1701" s="9" t="str">
        <f>IF(OR(C1701="",D1701=""),"",C1701*D1701)</f>
        <v/>
      </c>
      <c r="F1701" s="4"/>
      <c r="G1701" s="4"/>
      <c r="H1701" s="9" t="str">
        <f>IF(OR(B1701="",C1701=""),"",C1701*IFERROR(INDEX(Articles!$D:$D,MATCH(B1701,Articles!$B:$B,0)),0))</f>
        <v/>
      </c>
      <c r="I1701" s="9" t="str">
        <f>IF(OR(E1701="",H1701=""),"",E1701-H1701)</f>
        <v/>
      </c>
      <c r="J1701" s="4"/>
    </row>
    <row r="1702">
      <c r="A1702" s="7"/>
      <c r="B1702" s="4"/>
      <c r="C1702" s="6"/>
      <c r="D1702" s="5" t="str">
        <f>IF(B1702="","",IFERROR(INDEX(Articles!$E:$E,MATCH(B1702,Articles!$B:$B,0)),""))</f>
        <v/>
      </c>
      <c r="E1702" s="9" t="str">
        <f>IF(OR(C1702="",D1702=""),"",C1702*D1702)</f>
        <v/>
      </c>
      <c r="F1702" s="4"/>
      <c r="G1702" s="4"/>
      <c r="H1702" s="9" t="str">
        <f>IF(OR(B1702="",C1702=""),"",C1702*IFERROR(INDEX(Articles!$D:$D,MATCH(B1702,Articles!$B:$B,0)),0))</f>
        <v/>
      </c>
      <c r="I1702" s="9" t="str">
        <f>IF(OR(E1702="",H1702=""),"",E1702-H1702)</f>
        <v/>
      </c>
      <c r="J1702" s="4"/>
    </row>
    <row r="1703">
      <c r="A1703" s="7"/>
      <c r="B1703" s="4"/>
      <c r="C1703" s="6"/>
      <c r="D1703" s="5" t="str">
        <f>IF(B1703="","",IFERROR(INDEX(Articles!$E:$E,MATCH(B1703,Articles!$B:$B,0)),""))</f>
        <v/>
      </c>
      <c r="E1703" s="9" t="str">
        <f>IF(OR(C1703="",D1703=""),"",C1703*D1703)</f>
        <v/>
      </c>
      <c r="F1703" s="4"/>
      <c r="G1703" s="4"/>
      <c r="H1703" s="9" t="str">
        <f>IF(OR(B1703="",C1703=""),"",C1703*IFERROR(INDEX(Articles!$D:$D,MATCH(B1703,Articles!$B:$B,0)),0))</f>
        <v/>
      </c>
      <c r="I1703" s="9" t="str">
        <f>IF(OR(E1703="",H1703=""),"",E1703-H1703)</f>
        <v/>
      </c>
      <c r="J1703" s="4"/>
    </row>
    <row r="1704">
      <c r="A1704" s="7"/>
      <c r="B1704" s="4"/>
      <c r="C1704" s="6"/>
      <c r="D1704" s="5" t="str">
        <f>IF(B1704="","",IFERROR(INDEX(Articles!$E:$E,MATCH(B1704,Articles!$B:$B,0)),""))</f>
        <v/>
      </c>
      <c r="E1704" s="9" t="str">
        <f>IF(OR(C1704="",D1704=""),"",C1704*D1704)</f>
        <v/>
      </c>
      <c r="F1704" s="4"/>
      <c r="G1704" s="4"/>
      <c r="H1704" s="9" t="str">
        <f>IF(OR(B1704="",C1704=""),"",C1704*IFERROR(INDEX(Articles!$D:$D,MATCH(B1704,Articles!$B:$B,0)),0))</f>
        <v/>
      </c>
      <c r="I1704" s="9" t="str">
        <f>IF(OR(E1704="",H1704=""),"",E1704-H1704)</f>
        <v/>
      </c>
      <c r="J1704" s="4"/>
    </row>
    <row r="1705">
      <c r="A1705" s="7"/>
      <c r="B1705" s="4"/>
      <c r="C1705" s="6"/>
      <c r="D1705" s="5" t="str">
        <f>IF(B1705="","",IFERROR(INDEX(Articles!$E:$E,MATCH(B1705,Articles!$B:$B,0)),""))</f>
        <v/>
      </c>
      <c r="E1705" s="9" t="str">
        <f>IF(OR(C1705="",D1705=""),"",C1705*D1705)</f>
        <v/>
      </c>
      <c r="F1705" s="4"/>
      <c r="G1705" s="4"/>
      <c r="H1705" s="9" t="str">
        <f>IF(OR(B1705="",C1705=""),"",C1705*IFERROR(INDEX(Articles!$D:$D,MATCH(B1705,Articles!$B:$B,0)),0))</f>
        <v/>
      </c>
      <c r="I1705" s="9" t="str">
        <f>IF(OR(E1705="",H1705=""),"",E1705-H1705)</f>
        <v/>
      </c>
      <c r="J1705" s="4"/>
    </row>
    <row r="1706">
      <c r="A1706" s="7"/>
      <c r="B1706" s="4"/>
      <c r="C1706" s="6"/>
      <c r="D1706" s="5" t="str">
        <f>IF(B1706="","",IFERROR(INDEX(Articles!$E:$E,MATCH(B1706,Articles!$B:$B,0)),""))</f>
        <v/>
      </c>
      <c r="E1706" s="9" t="str">
        <f>IF(OR(C1706="",D1706=""),"",C1706*D1706)</f>
        <v/>
      </c>
      <c r="F1706" s="4"/>
      <c r="G1706" s="4"/>
      <c r="H1706" s="9" t="str">
        <f>IF(OR(B1706="",C1706=""),"",C1706*IFERROR(INDEX(Articles!$D:$D,MATCH(B1706,Articles!$B:$B,0)),0))</f>
        <v/>
      </c>
      <c r="I1706" s="9" t="str">
        <f>IF(OR(E1706="",H1706=""),"",E1706-H1706)</f>
        <v/>
      </c>
      <c r="J1706" s="4"/>
    </row>
    <row r="1707">
      <c r="A1707" s="7"/>
      <c r="B1707" s="4"/>
      <c r="C1707" s="6"/>
      <c r="D1707" s="5" t="str">
        <f>IF(B1707="","",IFERROR(INDEX(Articles!$E:$E,MATCH(B1707,Articles!$B:$B,0)),""))</f>
        <v/>
      </c>
      <c r="E1707" s="9" t="str">
        <f>IF(OR(C1707="",D1707=""),"",C1707*D1707)</f>
        <v/>
      </c>
      <c r="F1707" s="4"/>
      <c r="G1707" s="4"/>
      <c r="H1707" s="9" t="str">
        <f>IF(OR(B1707="",C1707=""),"",C1707*IFERROR(INDEX(Articles!$D:$D,MATCH(B1707,Articles!$B:$B,0)),0))</f>
        <v/>
      </c>
      <c r="I1707" s="9" t="str">
        <f>IF(OR(E1707="",H1707=""),"",E1707-H1707)</f>
        <v/>
      </c>
      <c r="J1707" s="4"/>
    </row>
    <row r="1708">
      <c r="A1708" s="7"/>
      <c r="B1708" s="4"/>
      <c r="C1708" s="6"/>
      <c r="D1708" s="5" t="str">
        <f>IF(B1708="","",IFERROR(INDEX(Articles!$E:$E,MATCH(B1708,Articles!$B:$B,0)),""))</f>
        <v/>
      </c>
      <c r="E1708" s="9" t="str">
        <f>IF(OR(C1708="",D1708=""),"",C1708*D1708)</f>
        <v/>
      </c>
      <c r="F1708" s="4"/>
      <c r="G1708" s="4"/>
      <c r="H1708" s="9" t="str">
        <f>IF(OR(B1708="",C1708=""),"",C1708*IFERROR(INDEX(Articles!$D:$D,MATCH(B1708,Articles!$B:$B,0)),0))</f>
        <v/>
      </c>
      <c r="I1708" s="9" t="str">
        <f>IF(OR(E1708="",H1708=""),"",E1708-H1708)</f>
        <v/>
      </c>
      <c r="J1708" s="4"/>
    </row>
    <row r="1709">
      <c r="A1709" s="7"/>
      <c r="B1709" s="4"/>
      <c r="C1709" s="6"/>
      <c r="D1709" s="5" t="str">
        <f>IF(B1709="","",IFERROR(INDEX(Articles!$E:$E,MATCH(B1709,Articles!$B:$B,0)),""))</f>
        <v/>
      </c>
      <c r="E1709" s="9" t="str">
        <f>IF(OR(C1709="",D1709=""),"",C1709*D1709)</f>
        <v/>
      </c>
      <c r="F1709" s="4"/>
      <c r="G1709" s="4"/>
      <c r="H1709" s="9" t="str">
        <f>IF(OR(B1709="",C1709=""),"",C1709*IFERROR(INDEX(Articles!$D:$D,MATCH(B1709,Articles!$B:$B,0)),0))</f>
        <v/>
      </c>
      <c r="I1709" s="9" t="str">
        <f>IF(OR(E1709="",H1709=""),"",E1709-H1709)</f>
        <v/>
      </c>
      <c r="J1709" s="4"/>
    </row>
    <row r="1710">
      <c r="A1710" s="7"/>
      <c r="B1710" s="4"/>
      <c r="C1710" s="6"/>
      <c r="D1710" s="5" t="str">
        <f>IF(B1710="","",IFERROR(INDEX(Articles!$E:$E,MATCH(B1710,Articles!$B:$B,0)),""))</f>
        <v/>
      </c>
      <c r="E1710" s="9" t="str">
        <f>IF(OR(C1710="",D1710=""),"",C1710*D1710)</f>
        <v/>
      </c>
      <c r="F1710" s="4"/>
      <c r="G1710" s="4"/>
      <c r="H1710" s="9" t="str">
        <f>IF(OR(B1710="",C1710=""),"",C1710*IFERROR(INDEX(Articles!$D:$D,MATCH(B1710,Articles!$B:$B,0)),0))</f>
        <v/>
      </c>
      <c r="I1710" s="9" t="str">
        <f>IF(OR(E1710="",H1710=""),"",E1710-H1710)</f>
        <v/>
      </c>
      <c r="J1710" s="4"/>
    </row>
    <row r="1711">
      <c r="A1711" s="7"/>
      <c r="B1711" s="4"/>
      <c r="C1711" s="6"/>
      <c r="D1711" s="5" t="str">
        <f>IF(B1711="","",IFERROR(INDEX(Articles!$E:$E,MATCH(B1711,Articles!$B:$B,0)),""))</f>
        <v/>
      </c>
      <c r="E1711" s="9" t="str">
        <f>IF(OR(C1711="",D1711=""),"",C1711*D1711)</f>
        <v/>
      </c>
      <c r="F1711" s="4"/>
      <c r="G1711" s="4"/>
      <c r="H1711" s="9" t="str">
        <f>IF(OR(B1711="",C1711=""),"",C1711*IFERROR(INDEX(Articles!$D:$D,MATCH(B1711,Articles!$B:$B,0)),0))</f>
        <v/>
      </c>
      <c r="I1711" s="9" t="str">
        <f>IF(OR(E1711="",H1711=""),"",E1711-H1711)</f>
        <v/>
      </c>
      <c r="J1711" s="4"/>
    </row>
    <row r="1712">
      <c r="A1712" s="7"/>
      <c r="B1712" s="4"/>
      <c r="C1712" s="6"/>
      <c r="D1712" s="5" t="str">
        <f>IF(B1712="","",IFERROR(INDEX(Articles!$E:$E,MATCH(B1712,Articles!$B:$B,0)),""))</f>
        <v/>
      </c>
      <c r="E1712" s="9" t="str">
        <f>IF(OR(C1712="",D1712=""),"",C1712*D1712)</f>
        <v/>
      </c>
      <c r="F1712" s="4"/>
      <c r="G1712" s="4"/>
      <c r="H1712" s="9" t="str">
        <f>IF(OR(B1712="",C1712=""),"",C1712*IFERROR(INDEX(Articles!$D:$D,MATCH(B1712,Articles!$B:$B,0)),0))</f>
        <v/>
      </c>
      <c r="I1712" s="9" t="str">
        <f>IF(OR(E1712="",H1712=""),"",E1712-H1712)</f>
        <v/>
      </c>
      <c r="J1712" s="4"/>
    </row>
    <row r="1713">
      <c r="A1713" s="7"/>
      <c r="B1713" s="4"/>
      <c r="C1713" s="6"/>
      <c r="D1713" s="5" t="str">
        <f>IF(B1713="","",IFERROR(INDEX(Articles!$E:$E,MATCH(B1713,Articles!$B:$B,0)),""))</f>
        <v/>
      </c>
      <c r="E1713" s="9" t="str">
        <f>IF(OR(C1713="",D1713=""),"",C1713*D1713)</f>
        <v/>
      </c>
      <c r="F1713" s="4"/>
      <c r="G1713" s="4"/>
      <c r="H1713" s="9" t="str">
        <f>IF(OR(B1713="",C1713=""),"",C1713*IFERROR(INDEX(Articles!$D:$D,MATCH(B1713,Articles!$B:$B,0)),0))</f>
        <v/>
      </c>
      <c r="I1713" s="9" t="str">
        <f>IF(OR(E1713="",H1713=""),"",E1713-H1713)</f>
        <v/>
      </c>
      <c r="J1713" s="4"/>
    </row>
    <row r="1714">
      <c r="A1714" s="7"/>
      <c r="B1714" s="4"/>
      <c r="C1714" s="6"/>
      <c r="D1714" s="5" t="str">
        <f>IF(B1714="","",IFERROR(INDEX(Articles!$E:$E,MATCH(B1714,Articles!$B:$B,0)),""))</f>
        <v/>
      </c>
      <c r="E1714" s="9" t="str">
        <f>IF(OR(C1714="",D1714=""),"",C1714*D1714)</f>
        <v/>
      </c>
      <c r="F1714" s="4"/>
      <c r="G1714" s="4"/>
      <c r="H1714" s="9" t="str">
        <f>IF(OR(B1714="",C1714=""),"",C1714*IFERROR(INDEX(Articles!$D:$D,MATCH(B1714,Articles!$B:$B,0)),0))</f>
        <v/>
      </c>
      <c r="I1714" s="9" t="str">
        <f>IF(OR(E1714="",H1714=""),"",E1714-H1714)</f>
        <v/>
      </c>
      <c r="J1714" s="4"/>
    </row>
    <row r="1715">
      <c r="A1715" s="7"/>
      <c r="B1715" s="4"/>
      <c r="C1715" s="6"/>
      <c r="D1715" s="5" t="str">
        <f>IF(B1715="","",IFERROR(INDEX(Articles!$E:$E,MATCH(B1715,Articles!$B:$B,0)),""))</f>
        <v/>
      </c>
      <c r="E1715" s="9" t="str">
        <f>IF(OR(C1715="",D1715=""),"",C1715*D1715)</f>
        <v/>
      </c>
      <c r="F1715" s="4"/>
      <c r="G1715" s="4"/>
      <c r="H1715" s="9" t="str">
        <f>IF(OR(B1715="",C1715=""),"",C1715*IFERROR(INDEX(Articles!$D:$D,MATCH(B1715,Articles!$B:$B,0)),0))</f>
        <v/>
      </c>
      <c r="I1715" s="9" t="str">
        <f>IF(OR(E1715="",H1715=""),"",E1715-H1715)</f>
        <v/>
      </c>
      <c r="J1715" s="4"/>
    </row>
    <row r="1716">
      <c r="A1716" s="7"/>
      <c r="B1716" s="4"/>
      <c r="C1716" s="6"/>
      <c r="D1716" s="5" t="str">
        <f>IF(B1716="","",IFERROR(INDEX(Articles!$E:$E,MATCH(B1716,Articles!$B:$B,0)),""))</f>
        <v/>
      </c>
      <c r="E1716" s="9" t="str">
        <f>IF(OR(C1716="",D1716=""),"",C1716*D1716)</f>
        <v/>
      </c>
      <c r="F1716" s="4"/>
      <c r="G1716" s="4"/>
      <c r="H1716" s="9" t="str">
        <f>IF(OR(B1716="",C1716=""),"",C1716*IFERROR(INDEX(Articles!$D:$D,MATCH(B1716,Articles!$B:$B,0)),0))</f>
        <v/>
      </c>
      <c r="I1716" s="9" t="str">
        <f>IF(OR(E1716="",H1716=""),"",E1716-H1716)</f>
        <v/>
      </c>
      <c r="J1716" s="4"/>
    </row>
    <row r="1717">
      <c r="A1717" s="7"/>
      <c r="B1717" s="4"/>
      <c r="C1717" s="6"/>
      <c r="D1717" s="5" t="str">
        <f>IF(B1717="","",IFERROR(INDEX(Articles!$E:$E,MATCH(B1717,Articles!$B:$B,0)),""))</f>
        <v/>
      </c>
      <c r="E1717" s="9" t="str">
        <f>IF(OR(C1717="",D1717=""),"",C1717*D1717)</f>
        <v/>
      </c>
      <c r="F1717" s="4"/>
      <c r="G1717" s="4"/>
      <c r="H1717" s="9" t="str">
        <f>IF(OR(B1717="",C1717=""),"",C1717*IFERROR(INDEX(Articles!$D:$D,MATCH(B1717,Articles!$B:$B,0)),0))</f>
        <v/>
      </c>
      <c r="I1717" s="9" t="str">
        <f>IF(OR(E1717="",H1717=""),"",E1717-H1717)</f>
        <v/>
      </c>
      <c r="J1717" s="4"/>
    </row>
    <row r="1718">
      <c r="A1718" s="7"/>
      <c r="B1718" s="4"/>
      <c r="C1718" s="6"/>
      <c r="D1718" s="5" t="str">
        <f>IF(B1718="","",IFERROR(INDEX(Articles!$E:$E,MATCH(B1718,Articles!$B:$B,0)),""))</f>
        <v/>
      </c>
      <c r="E1718" s="9" t="str">
        <f>IF(OR(C1718="",D1718=""),"",C1718*D1718)</f>
        <v/>
      </c>
      <c r="F1718" s="4"/>
      <c r="G1718" s="4"/>
      <c r="H1718" s="9" t="str">
        <f>IF(OR(B1718="",C1718=""),"",C1718*IFERROR(INDEX(Articles!$D:$D,MATCH(B1718,Articles!$B:$B,0)),0))</f>
        <v/>
      </c>
      <c r="I1718" s="9" t="str">
        <f>IF(OR(E1718="",H1718=""),"",E1718-H1718)</f>
        <v/>
      </c>
      <c r="J1718" s="4"/>
    </row>
    <row r="1719">
      <c r="A1719" s="7"/>
      <c r="B1719" s="4"/>
      <c r="C1719" s="6"/>
      <c r="D1719" s="5" t="str">
        <f>IF(B1719="","",IFERROR(INDEX(Articles!$E:$E,MATCH(B1719,Articles!$B:$B,0)),""))</f>
        <v/>
      </c>
      <c r="E1719" s="9" t="str">
        <f>IF(OR(C1719="",D1719=""),"",C1719*D1719)</f>
        <v/>
      </c>
      <c r="F1719" s="4"/>
      <c r="G1719" s="4"/>
      <c r="H1719" s="9" t="str">
        <f>IF(OR(B1719="",C1719=""),"",C1719*IFERROR(INDEX(Articles!$D:$D,MATCH(B1719,Articles!$B:$B,0)),0))</f>
        <v/>
      </c>
      <c r="I1719" s="9" t="str">
        <f>IF(OR(E1719="",H1719=""),"",E1719-H1719)</f>
        <v/>
      </c>
      <c r="J1719" s="4"/>
    </row>
    <row r="1720">
      <c r="A1720" s="7"/>
      <c r="B1720" s="4"/>
      <c r="C1720" s="6"/>
      <c r="D1720" s="5" t="str">
        <f>IF(B1720="","",IFERROR(INDEX(Articles!$E:$E,MATCH(B1720,Articles!$B:$B,0)),""))</f>
        <v/>
      </c>
      <c r="E1720" s="9" t="str">
        <f>IF(OR(C1720="",D1720=""),"",C1720*D1720)</f>
        <v/>
      </c>
      <c r="F1720" s="4"/>
      <c r="G1720" s="4"/>
      <c r="H1720" s="9" t="str">
        <f>IF(OR(B1720="",C1720=""),"",C1720*IFERROR(INDEX(Articles!$D:$D,MATCH(B1720,Articles!$B:$B,0)),0))</f>
        <v/>
      </c>
      <c r="I1720" s="9" t="str">
        <f>IF(OR(E1720="",H1720=""),"",E1720-H1720)</f>
        <v/>
      </c>
      <c r="J1720" s="4"/>
    </row>
    <row r="1721">
      <c r="A1721" s="7"/>
      <c r="B1721" s="4"/>
      <c r="C1721" s="6"/>
      <c r="D1721" s="5" t="str">
        <f>IF(B1721="","",IFERROR(INDEX(Articles!$E:$E,MATCH(B1721,Articles!$B:$B,0)),""))</f>
        <v/>
      </c>
      <c r="E1721" s="9" t="str">
        <f>IF(OR(C1721="",D1721=""),"",C1721*D1721)</f>
        <v/>
      </c>
      <c r="F1721" s="4"/>
      <c r="G1721" s="4"/>
      <c r="H1721" s="9" t="str">
        <f>IF(OR(B1721="",C1721=""),"",C1721*IFERROR(INDEX(Articles!$D:$D,MATCH(B1721,Articles!$B:$B,0)),0))</f>
        <v/>
      </c>
      <c r="I1721" s="9" t="str">
        <f>IF(OR(E1721="",H1721=""),"",E1721-H1721)</f>
        <v/>
      </c>
      <c r="J1721" s="4"/>
    </row>
    <row r="1722">
      <c r="A1722" s="7"/>
      <c r="B1722" s="4"/>
      <c r="C1722" s="6"/>
      <c r="D1722" s="5" t="str">
        <f>IF(B1722="","",IFERROR(INDEX(Articles!$E:$E,MATCH(B1722,Articles!$B:$B,0)),""))</f>
        <v/>
      </c>
      <c r="E1722" s="9" t="str">
        <f>IF(OR(C1722="",D1722=""),"",C1722*D1722)</f>
        <v/>
      </c>
      <c r="F1722" s="4"/>
      <c r="G1722" s="4"/>
      <c r="H1722" s="9" t="str">
        <f>IF(OR(B1722="",C1722=""),"",C1722*IFERROR(INDEX(Articles!$D:$D,MATCH(B1722,Articles!$B:$B,0)),0))</f>
        <v/>
      </c>
      <c r="I1722" s="9" t="str">
        <f>IF(OR(E1722="",H1722=""),"",E1722-H1722)</f>
        <v/>
      </c>
      <c r="J1722" s="4"/>
    </row>
    <row r="1723">
      <c r="A1723" s="7"/>
      <c r="B1723" s="4"/>
      <c r="C1723" s="6"/>
      <c r="D1723" s="5" t="str">
        <f>IF(B1723="","",IFERROR(INDEX(Articles!$E:$E,MATCH(B1723,Articles!$B:$B,0)),""))</f>
        <v/>
      </c>
      <c r="E1723" s="9" t="str">
        <f>IF(OR(C1723="",D1723=""),"",C1723*D1723)</f>
        <v/>
      </c>
      <c r="F1723" s="4"/>
      <c r="G1723" s="4"/>
      <c r="H1723" s="9" t="str">
        <f>IF(OR(B1723="",C1723=""),"",C1723*IFERROR(INDEX(Articles!$D:$D,MATCH(B1723,Articles!$B:$B,0)),0))</f>
        <v/>
      </c>
      <c r="I1723" s="9" t="str">
        <f>IF(OR(E1723="",H1723=""),"",E1723-H1723)</f>
        <v/>
      </c>
      <c r="J1723" s="4"/>
    </row>
    <row r="1724">
      <c r="A1724" s="7"/>
      <c r="B1724" s="4"/>
      <c r="C1724" s="6"/>
      <c r="D1724" s="5" t="str">
        <f>IF(B1724="","",IFERROR(INDEX(Articles!$E:$E,MATCH(B1724,Articles!$B:$B,0)),""))</f>
        <v/>
      </c>
      <c r="E1724" s="9" t="str">
        <f>IF(OR(C1724="",D1724=""),"",C1724*D1724)</f>
        <v/>
      </c>
      <c r="F1724" s="4"/>
      <c r="G1724" s="4"/>
      <c r="H1724" s="9" t="str">
        <f>IF(OR(B1724="",C1724=""),"",C1724*IFERROR(INDEX(Articles!$D:$D,MATCH(B1724,Articles!$B:$B,0)),0))</f>
        <v/>
      </c>
      <c r="I1724" s="9" t="str">
        <f>IF(OR(E1724="",H1724=""),"",E1724-H1724)</f>
        <v/>
      </c>
      <c r="J1724" s="4"/>
    </row>
    <row r="1725">
      <c r="A1725" s="7"/>
      <c r="B1725" s="4"/>
      <c r="C1725" s="6"/>
      <c r="D1725" s="5" t="str">
        <f>IF(B1725="","",IFERROR(INDEX(Articles!$E:$E,MATCH(B1725,Articles!$B:$B,0)),""))</f>
        <v/>
      </c>
      <c r="E1725" s="9" t="str">
        <f>IF(OR(C1725="",D1725=""),"",C1725*D1725)</f>
        <v/>
      </c>
      <c r="F1725" s="4"/>
      <c r="G1725" s="4"/>
      <c r="H1725" s="9" t="str">
        <f>IF(OR(B1725="",C1725=""),"",C1725*IFERROR(INDEX(Articles!$D:$D,MATCH(B1725,Articles!$B:$B,0)),0))</f>
        <v/>
      </c>
      <c r="I1725" s="9" t="str">
        <f>IF(OR(E1725="",H1725=""),"",E1725-H1725)</f>
        <v/>
      </c>
      <c r="J1725" s="4"/>
    </row>
    <row r="1726">
      <c r="A1726" s="7"/>
      <c r="B1726" s="4"/>
      <c r="C1726" s="6"/>
      <c r="D1726" s="5" t="str">
        <f>IF(B1726="","",IFERROR(INDEX(Articles!$E:$E,MATCH(B1726,Articles!$B:$B,0)),""))</f>
        <v/>
      </c>
      <c r="E1726" s="9" t="str">
        <f>IF(OR(C1726="",D1726=""),"",C1726*D1726)</f>
        <v/>
      </c>
      <c r="F1726" s="4"/>
      <c r="G1726" s="4"/>
      <c r="H1726" s="9" t="str">
        <f>IF(OR(B1726="",C1726=""),"",C1726*IFERROR(INDEX(Articles!$D:$D,MATCH(B1726,Articles!$B:$B,0)),0))</f>
        <v/>
      </c>
      <c r="I1726" s="9" t="str">
        <f>IF(OR(E1726="",H1726=""),"",E1726-H1726)</f>
        <v/>
      </c>
      <c r="J1726" s="4"/>
    </row>
    <row r="1727">
      <c r="A1727" s="7"/>
      <c r="B1727" s="4"/>
      <c r="C1727" s="6"/>
      <c r="D1727" s="5" t="str">
        <f>IF(B1727="","",IFERROR(INDEX(Articles!$E:$E,MATCH(B1727,Articles!$B:$B,0)),""))</f>
        <v/>
      </c>
      <c r="E1727" s="9" t="str">
        <f>IF(OR(C1727="",D1727=""),"",C1727*D1727)</f>
        <v/>
      </c>
      <c r="F1727" s="4"/>
      <c r="G1727" s="4"/>
      <c r="H1727" s="9" t="str">
        <f>IF(OR(B1727="",C1727=""),"",C1727*IFERROR(INDEX(Articles!$D:$D,MATCH(B1727,Articles!$B:$B,0)),0))</f>
        <v/>
      </c>
      <c r="I1727" s="9" t="str">
        <f>IF(OR(E1727="",H1727=""),"",E1727-H1727)</f>
        <v/>
      </c>
      <c r="J1727" s="4"/>
    </row>
    <row r="1728">
      <c r="A1728" s="7"/>
      <c r="B1728" s="4"/>
      <c r="C1728" s="6"/>
      <c r="D1728" s="5" t="str">
        <f>IF(B1728="","",IFERROR(INDEX(Articles!$E:$E,MATCH(B1728,Articles!$B:$B,0)),""))</f>
        <v/>
      </c>
      <c r="E1728" s="9" t="str">
        <f>IF(OR(C1728="",D1728=""),"",C1728*D1728)</f>
        <v/>
      </c>
      <c r="F1728" s="4"/>
      <c r="G1728" s="4"/>
      <c r="H1728" s="9" t="str">
        <f>IF(OR(B1728="",C1728=""),"",C1728*IFERROR(INDEX(Articles!$D:$D,MATCH(B1728,Articles!$B:$B,0)),0))</f>
        <v/>
      </c>
      <c r="I1728" s="9" t="str">
        <f>IF(OR(E1728="",H1728=""),"",E1728-H1728)</f>
        <v/>
      </c>
      <c r="J1728" s="4"/>
    </row>
    <row r="1729">
      <c r="A1729" s="7"/>
      <c r="B1729" s="4"/>
      <c r="C1729" s="6"/>
      <c r="D1729" s="5" t="str">
        <f>IF(B1729="","",IFERROR(INDEX(Articles!$E:$E,MATCH(B1729,Articles!$B:$B,0)),""))</f>
        <v/>
      </c>
      <c r="E1729" s="9" t="str">
        <f>IF(OR(C1729="",D1729=""),"",C1729*D1729)</f>
        <v/>
      </c>
      <c r="F1729" s="4"/>
      <c r="G1729" s="4"/>
      <c r="H1729" s="9" t="str">
        <f>IF(OR(B1729="",C1729=""),"",C1729*IFERROR(INDEX(Articles!$D:$D,MATCH(B1729,Articles!$B:$B,0)),0))</f>
        <v/>
      </c>
      <c r="I1729" s="9" t="str">
        <f>IF(OR(E1729="",H1729=""),"",E1729-H1729)</f>
        <v/>
      </c>
      <c r="J1729" s="4"/>
    </row>
    <row r="1730">
      <c r="A1730" s="7"/>
      <c r="B1730" s="4"/>
      <c r="C1730" s="6"/>
      <c r="D1730" s="5" t="str">
        <f>IF(B1730="","",IFERROR(INDEX(Articles!$E:$E,MATCH(B1730,Articles!$B:$B,0)),""))</f>
        <v/>
      </c>
      <c r="E1730" s="9" t="str">
        <f>IF(OR(C1730="",D1730=""),"",C1730*D1730)</f>
        <v/>
      </c>
      <c r="F1730" s="4"/>
      <c r="G1730" s="4"/>
      <c r="H1730" s="9" t="str">
        <f>IF(OR(B1730="",C1730=""),"",C1730*IFERROR(INDEX(Articles!$D:$D,MATCH(B1730,Articles!$B:$B,0)),0))</f>
        <v/>
      </c>
      <c r="I1730" s="9" t="str">
        <f>IF(OR(E1730="",H1730=""),"",E1730-H1730)</f>
        <v/>
      </c>
      <c r="J1730" s="4"/>
    </row>
    <row r="1731">
      <c r="A1731" s="7"/>
      <c r="B1731" s="4"/>
      <c r="C1731" s="6"/>
      <c r="D1731" s="5" t="str">
        <f>IF(B1731="","",IFERROR(INDEX(Articles!$E:$E,MATCH(B1731,Articles!$B:$B,0)),""))</f>
        <v/>
      </c>
      <c r="E1731" s="9" t="str">
        <f>IF(OR(C1731="",D1731=""),"",C1731*D1731)</f>
        <v/>
      </c>
      <c r="F1731" s="4"/>
      <c r="G1731" s="4"/>
      <c r="H1731" s="9" t="str">
        <f>IF(OR(B1731="",C1731=""),"",C1731*IFERROR(INDEX(Articles!$D:$D,MATCH(B1731,Articles!$B:$B,0)),0))</f>
        <v/>
      </c>
      <c r="I1731" s="9" t="str">
        <f>IF(OR(E1731="",H1731=""),"",E1731-H1731)</f>
        <v/>
      </c>
      <c r="J1731" s="4"/>
    </row>
    <row r="1732">
      <c r="A1732" s="7"/>
      <c r="B1732" s="4"/>
      <c r="C1732" s="6"/>
      <c r="D1732" s="5" t="str">
        <f>IF(B1732="","",IFERROR(INDEX(Articles!$E:$E,MATCH(B1732,Articles!$B:$B,0)),""))</f>
        <v/>
      </c>
      <c r="E1732" s="9" t="str">
        <f>IF(OR(C1732="",D1732=""),"",C1732*D1732)</f>
        <v/>
      </c>
      <c r="F1732" s="4"/>
      <c r="G1732" s="4"/>
      <c r="H1732" s="9" t="str">
        <f>IF(OR(B1732="",C1732=""),"",C1732*IFERROR(INDEX(Articles!$D:$D,MATCH(B1732,Articles!$B:$B,0)),0))</f>
        <v/>
      </c>
      <c r="I1732" s="9" t="str">
        <f>IF(OR(E1732="",H1732=""),"",E1732-H1732)</f>
        <v/>
      </c>
      <c r="J1732" s="4"/>
    </row>
    <row r="1733">
      <c r="A1733" s="7"/>
      <c r="B1733" s="4"/>
      <c r="C1733" s="6"/>
      <c r="D1733" s="5" t="str">
        <f>IF(B1733="","",IFERROR(INDEX(Articles!$E:$E,MATCH(B1733,Articles!$B:$B,0)),""))</f>
        <v/>
      </c>
      <c r="E1733" s="9" t="str">
        <f>IF(OR(C1733="",D1733=""),"",C1733*D1733)</f>
        <v/>
      </c>
      <c r="F1733" s="4"/>
      <c r="G1733" s="4"/>
      <c r="H1733" s="9" t="str">
        <f>IF(OR(B1733="",C1733=""),"",C1733*IFERROR(INDEX(Articles!$D:$D,MATCH(B1733,Articles!$B:$B,0)),0))</f>
        <v/>
      </c>
      <c r="I1733" s="9" t="str">
        <f>IF(OR(E1733="",H1733=""),"",E1733-H1733)</f>
        <v/>
      </c>
      <c r="J1733" s="4"/>
    </row>
    <row r="1734">
      <c r="A1734" s="7"/>
      <c r="B1734" s="4"/>
      <c r="C1734" s="6"/>
      <c r="D1734" s="5" t="str">
        <f>IF(B1734="","",IFERROR(INDEX(Articles!$E:$E,MATCH(B1734,Articles!$B:$B,0)),""))</f>
        <v/>
      </c>
      <c r="E1734" s="9" t="str">
        <f>IF(OR(C1734="",D1734=""),"",C1734*D1734)</f>
        <v/>
      </c>
      <c r="F1734" s="4"/>
      <c r="G1734" s="4"/>
      <c r="H1734" s="9" t="str">
        <f>IF(OR(B1734="",C1734=""),"",C1734*IFERROR(INDEX(Articles!$D:$D,MATCH(B1734,Articles!$B:$B,0)),0))</f>
        <v/>
      </c>
      <c r="I1734" s="9" t="str">
        <f>IF(OR(E1734="",H1734=""),"",E1734-H1734)</f>
        <v/>
      </c>
      <c r="J1734" s="4"/>
    </row>
    <row r="1735">
      <c r="A1735" s="7"/>
      <c r="B1735" s="4"/>
      <c r="C1735" s="6"/>
      <c r="D1735" s="5" t="str">
        <f>IF(B1735="","",IFERROR(INDEX(Articles!$E:$E,MATCH(B1735,Articles!$B:$B,0)),""))</f>
        <v/>
      </c>
      <c r="E1735" s="9" t="str">
        <f>IF(OR(C1735="",D1735=""),"",C1735*D1735)</f>
        <v/>
      </c>
      <c r="F1735" s="4"/>
      <c r="G1735" s="4"/>
      <c r="H1735" s="9" t="str">
        <f>IF(OR(B1735="",C1735=""),"",C1735*IFERROR(INDEX(Articles!$D:$D,MATCH(B1735,Articles!$B:$B,0)),0))</f>
        <v/>
      </c>
      <c r="I1735" s="9" t="str">
        <f>IF(OR(E1735="",H1735=""),"",E1735-H1735)</f>
        <v/>
      </c>
      <c r="J1735" s="4"/>
    </row>
    <row r="1736">
      <c r="A1736" s="7"/>
      <c r="B1736" s="4"/>
      <c r="C1736" s="6"/>
      <c r="D1736" s="5" t="str">
        <f>IF(B1736="","",IFERROR(INDEX(Articles!$E:$E,MATCH(B1736,Articles!$B:$B,0)),""))</f>
        <v/>
      </c>
      <c r="E1736" s="9" t="str">
        <f>IF(OR(C1736="",D1736=""),"",C1736*D1736)</f>
        <v/>
      </c>
      <c r="F1736" s="4"/>
      <c r="G1736" s="4"/>
      <c r="H1736" s="9" t="str">
        <f>IF(OR(B1736="",C1736=""),"",C1736*IFERROR(INDEX(Articles!$D:$D,MATCH(B1736,Articles!$B:$B,0)),0))</f>
        <v/>
      </c>
      <c r="I1736" s="9" t="str">
        <f>IF(OR(E1736="",H1736=""),"",E1736-H1736)</f>
        <v/>
      </c>
      <c r="J1736" s="4"/>
    </row>
    <row r="1737">
      <c r="A1737" s="7"/>
      <c r="B1737" s="4"/>
      <c r="C1737" s="6"/>
      <c r="D1737" s="5" t="str">
        <f>IF(B1737="","",IFERROR(INDEX(Articles!$E:$E,MATCH(B1737,Articles!$B:$B,0)),""))</f>
        <v/>
      </c>
      <c r="E1737" s="9" t="str">
        <f>IF(OR(C1737="",D1737=""),"",C1737*D1737)</f>
        <v/>
      </c>
      <c r="F1737" s="4"/>
      <c r="G1737" s="4"/>
      <c r="H1737" s="9" t="str">
        <f>IF(OR(B1737="",C1737=""),"",C1737*IFERROR(INDEX(Articles!$D:$D,MATCH(B1737,Articles!$B:$B,0)),0))</f>
        <v/>
      </c>
      <c r="I1737" s="9" t="str">
        <f>IF(OR(E1737="",H1737=""),"",E1737-H1737)</f>
        <v/>
      </c>
      <c r="J1737" s="4"/>
    </row>
    <row r="1738">
      <c r="A1738" s="7"/>
      <c r="B1738" s="4"/>
      <c r="C1738" s="6"/>
      <c r="D1738" s="5" t="str">
        <f>IF(B1738="","",IFERROR(INDEX(Articles!$E:$E,MATCH(B1738,Articles!$B:$B,0)),""))</f>
        <v/>
      </c>
      <c r="E1738" s="9" t="str">
        <f>IF(OR(C1738="",D1738=""),"",C1738*D1738)</f>
        <v/>
      </c>
      <c r="F1738" s="4"/>
      <c r="G1738" s="4"/>
      <c r="H1738" s="9" t="str">
        <f>IF(OR(B1738="",C1738=""),"",C1738*IFERROR(INDEX(Articles!$D:$D,MATCH(B1738,Articles!$B:$B,0)),0))</f>
        <v/>
      </c>
      <c r="I1738" s="9" t="str">
        <f>IF(OR(E1738="",H1738=""),"",E1738-H1738)</f>
        <v/>
      </c>
      <c r="J1738" s="4"/>
    </row>
    <row r="1739">
      <c r="A1739" s="7"/>
      <c r="B1739" s="4"/>
      <c r="C1739" s="6"/>
      <c r="D1739" s="5" t="str">
        <f>IF(B1739="","",IFERROR(INDEX(Articles!$E:$E,MATCH(B1739,Articles!$B:$B,0)),""))</f>
        <v/>
      </c>
      <c r="E1739" s="9" t="str">
        <f>IF(OR(C1739="",D1739=""),"",C1739*D1739)</f>
        <v/>
      </c>
      <c r="F1739" s="4"/>
      <c r="G1739" s="4"/>
      <c r="H1739" s="9" t="str">
        <f>IF(OR(B1739="",C1739=""),"",C1739*IFERROR(INDEX(Articles!$D:$D,MATCH(B1739,Articles!$B:$B,0)),0))</f>
        <v/>
      </c>
      <c r="I1739" s="9" t="str">
        <f>IF(OR(E1739="",H1739=""),"",E1739-H1739)</f>
        <v/>
      </c>
      <c r="J1739" s="4"/>
    </row>
    <row r="1740">
      <c r="A1740" s="7"/>
      <c r="B1740" s="4"/>
      <c r="C1740" s="6"/>
      <c r="D1740" s="5" t="str">
        <f>IF(B1740="","",IFERROR(INDEX(Articles!$E:$E,MATCH(B1740,Articles!$B:$B,0)),""))</f>
        <v/>
      </c>
      <c r="E1740" s="9" t="str">
        <f>IF(OR(C1740="",D1740=""),"",C1740*D1740)</f>
        <v/>
      </c>
      <c r="F1740" s="4"/>
      <c r="G1740" s="4"/>
      <c r="H1740" s="9" t="str">
        <f>IF(OR(B1740="",C1740=""),"",C1740*IFERROR(INDEX(Articles!$D:$D,MATCH(B1740,Articles!$B:$B,0)),0))</f>
        <v/>
      </c>
      <c r="I1740" s="9" t="str">
        <f>IF(OR(E1740="",H1740=""),"",E1740-H1740)</f>
        <v/>
      </c>
      <c r="J1740" s="4"/>
    </row>
    <row r="1741">
      <c r="A1741" s="7"/>
      <c r="B1741" s="4"/>
      <c r="C1741" s="6"/>
      <c r="D1741" s="5" t="str">
        <f>IF(B1741="","",IFERROR(INDEX(Articles!$E:$E,MATCH(B1741,Articles!$B:$B,0)),""))</f>
        <v/>
      </c>
      <c r="E1741" s="9" t="str">
        <f>IF(OR(C1741="",D1741=""),"",C1741*D1741)</f>
        <v/>
      </c>
      <c r="F1741" s="4"/>
      <c r="G1741" s="4"/>
      <c r="H1741" s="9" t="str">
        <f>IF(OR(B1741="",C1741=""),"",C1741*IFERROR(INDEX(Articles!$D:$D,MATCH(B1741,Articles!$B:$B,0)),0))</f>
        <v/>
      </c>
      <c r="I1741" s="9" t="str">
        <f>IF(OR(E1741="",H1741=""),"",E1741-H1741)</f>
        <v/>
      </c>
      <c r="J1741" s="4"/>
    </row>
    <row r="1742">
      <c r="A1742" s="7"/>
      <c r="B1742" s="4"/>
      <c r="C1742" s="6"/>
      <c r="D1742" s="5" t="str">
        <f>IF(B1742="","",IFERROR(INDEX(Articles!$E:$E,MATCH(B1742,Articles!$B:$B,0)),""))</f>
        <v/>
      </c>
      <c r="E1742" s="9" t="str">
        <f>IF(OR(C1742="",D1742=""),"",C1742*D1742)</f>
        <v/>
      </c>
      <c r="F1742" s="4"/>
      <c r="G1742" s="4"/>
      <c r="H1742" s="9" t="str">
        <f>IF(OR(B1742="",C1742=""),"",C1742*IFERROR(INDEX(Articles!$D:$D,MATCH(B1742,Articles!$B:$B,0)),0))</f>
        <v/>
      </c>
      <c r="I1742" s="9" t="str">
        <f>IF(OR(E1742="",H1742=""),"",E1742-H1742)</f>
        <v/>
      </c>
      <c r="J1742" s="4"/>
    </row>
    <row r="1743">
      <c r="A1743" s="7"/>
      <c r="B1743" s="4"/>
      <c r="C1743" s="6"/>
      <c r="D1743" s="5" t="str">
        <f>IF(B1743="","",IFERROR(INDEX(Articles!$E:$E,MATCH(B1743,Articles!$B:$B,0)),""))</f>
        <v/>
      </c>
      <c r="E1743" s="9" t="str">
        <f>IF(OR(C1743="",D1743=""),"",C1743*D1743)</f>
        <v/>
      </c>
      <c r="F1743" s="4"/>
      <c r="G1743" s="4"/>
      <c r="H1743" s="9" t="str">
        <f>IF(OR(B1743="",C1743=""),"",C1743*IFERROR(INDEX(Articles!$D:$D,MATCH(B1743,Articles!$B:$B,0)),0))</f>
        <v/>
      </c>
      <c r="I1743" s="9" t="str">
        <f>IF(OR(E1743="",H1743=""),"",E1743-H1743)</f>
        <v/>
      </c>
      <c r="J1743" s="4"/>
    </row>
    <row r="1744">
      <c r="A1744" s="7"/>
      <c r="B1744" s="4"/>
      <c r="C1744" s="6"/>
      <c r="D1744" s="5" t="str">
        <f>IF(B1744="","",IFERROR(INDEX(Articles!$E:$E,MATCH(B1744,Articles!$B:$B,0)),""))</f>
        <v/>
      </c>
      <c r="E1744" s="9" t="str">
        <f>IF(OR(C1744="",D1744=""),"",C1744*D1744)</f>
        <v/>
      </c>
      <c r="F1744" s="4"/>
      <c r="G1744" s="4"/>
      <c r="H1744" s="9" t="str">
        <f>IF(OR(B1744="",C1744=""),"",C1744*IFERROR(INDEX(Articles!$D:$D,MATCH(B1744,Articles!$B:$B,0)),0))</f>
        <v/>
      </c>
      <c r="I1744" s="9" t="str">
        <f>IF(OR(E1744="",H1744=""),"",E1744-H1744)</f>
        <v/>
      </c>
      <c r="J1744" s="4"/>
    </row>
    <row r="1745">
      <c r="A1745" s="7"/>
      <c r="B1745" s="4"/>
      <c r="C1745" s="6"/>
      <c r="D1745" s="5" t="str">
        <f>IF(B1745="","",IFERROR(INDEX(Articles!$E:$E,MATCH(B1745,Articles!$B:$B,0)),""))</f>
        <v/>
      </c>
      <c r="E1745" s="9" t="str">
        <f>IF(OR(C1745="",D1745=""),"",C1745*D1745)</f>
        <v/>
      </c>
      <c r="F1745" s="4"/>
      <c r="G1745" s="4"/>
      <c r="H1745" s="9" t="str">
        <f>IF(OR(B1745="",C1745=""),"",C1745*IFERROR(INDEX(Articles!$D:$D,MATCH(B1745,Articles!$B:$B,0)),0))</f>
        <v/>
      </c>
      <c r="I1745" s="9" t="str">
        <f>IF(OR(E1745="",H1745=""),"",E1745-H1745)</f>
        <v/>
      </c>
      <c r="J1745" s="4"/>
    </row>
    <row r="1746">
      <c r="A1746" s="7"/>
      <c r="B1746" s="4"/>
      <c r="C1746" s="6"/>
      <c r="D1746" s="5" t="str">
        <f>IF(B1746="","",IFERROR(INDEX(Articles!$E:$E,MATCH(B1746,Articles!$B:$B,0)),""))</f>
        <v/>
      </c>
      <c r="E1746" s="9" t="str">
        <f>IF(OR(C1746="",D1746=""),"",C1746*D1746)</f>
        <v/>
      </c>
      <c r="F1746" s="4"/>
      <c r="G1746" s="4"/>
      <c r="H1746" s="9" t="str">
        <f>IF(OR(B1746="",C1746=""),"",C1746*IFERROR(INDEX(Articles!$D:$D,MATCH(B1746,Articles!$B:$B,0)),0))</f>
        <v/>
      </c>
      <c r="I1746" s="9" t="str">
        <f>IF(OR(E1746="",H1746=""),"",E1746-H1746)</f>
        <v/>
      </c>
      <c r="J1746" s="4"/>
    </row>
    <row r="1747">
      <c r="A1747" s="7"/>
      <c r="B1747" s="4"/>
      <c r="C1747" s="6"/>
      <c r="D1747" s="5" t="str">
        <f>IF(B1747="","",IFERROR(INDEX(Articles!$E:$E,MATCH(B1747,Articles!$B:$B,0)),""))</f>
        <v/>
      </c>
      <c r="E1747" s="9" t="str">
        <f>IF(OR(C1747="",D1747=""),"",C1747*D1747)</f>
        <v/>
      </c>
      <c r="F1747" s="4"/>
      <c r="G1747" s="4"/>
      <c r="H1747" s="9" t="str">
        <f>IF(OR(B1747="",C1747=""),"",C1747*IFERROR(INDEX(Articles!$D:$D,MATCH(B1747,Articles!$B:$B,0)),0))</f>
        <v/>
      </c>
      <c r="I1747" s="9" t="str">
        <f>IF(OR(E1747="",H1747=""),"",E1747-H1747)</f>
        <v/>
      </c>
      <c r="J1747" s="4"/>
    </row>
    <row r="1748">
      <c r="A1748" s="7"/>
      <c r="B1748" s="4"/>
      <c r="C1748" s="6"/>
      <c r="D1748" s="5" t="str">
        <f>IF(B1748="","",IFERROR(INDEX(Articles!$E:$E,MATCH(B1748,Articles!$B:$B,0)),""))</f>
        <v/>
      </c>
      <c r="E1748" s="9" t="str">
        <f>IF(OR(C1748="",D1748=""),"",C1748*D1748)</f>
        <v/>
      </c>
      <c r="F1748" s="4"/>
      <c r="G1748" s="4"/>
      <c r="H1748" s="9" t="str">
        <f>IF(OR(B1748="",C1748=""),"",C1748*IFERROR(INDEX(Articles!$D:$D,MATCH(B1748,Articles!$B:$B,0)),0))</f>
        <v/>
      </c>
      <c r="I1748" s="9" t="str">
        <f>IF(OR(E1748="",H1748=""),"",E1748-H1748)</f>
        <v/>
      </c>
      <c r="J1748" s="4"/>
    </row>
    <row r="1749">
      <c r="A1749" s="7"/>
      <c r="B1749" s="4"/>
      <c r="C1749" s="6"/>
      <c r="D1749" s="5" t="str">
        <f>IF(B1749="","",IFERROR(INDEX(Articles!$E:$E,MATCH(B1749,Articles!$B:$B,0)),""))</f>
        <v/>
      </c>
      <c r="E1749" s="9" t="str">
        <f>IF(OR(C1749="",D1749=""),"",C1749*D1749)</f>
        <v/>
      </c>
      <c r="F1749" s="4"/>
      <c r="G1749" s="4"/>
      <c r="H1749" s="9" t="str">
        <f>IF(OR(B1749="",C1749=""),"",C1749*IFERROR(INDEX(Articles!$D:$D,MATCH(B1749,Articles!$B:$B,0)),0))</f>
        <v/>
      </c>
      <c r="I1749" s="9" t="str">
        <f>IF(OR(E1749="",H1749=""),"",E1749-H1749)</f>
        <v/>
      </c>
      <c r="J1749" s="4"/>
    </row>
    <row r="1750">
      <c r="A1750" s="7"/>
      <c r="B1750" s="4"/>
      <c r="C1750" s="6"/>
      <c r="D1750" s="5" t="str">
        <f>IF(B1750="","",IFERROR(INDEX(Articles!$E:$E,MATCH(B1750,Articles!$B:$B,0)),""))</f>
        <v/>
      </c>
      <c r="E1750" s="9" t="str">
        <f>IF(OR(C1750="",D1750=""),"",C1750*D1750)</f>
        <v/>
      </c>
      <c r="F1750" s="4"/>
      <c r="G1750" s="4"/>
      <c r="H1750" s="9" t="str">
        <f>IF(OR(B1750="",C1750=""),"",C1750*IFERROR(INDEX(Articles!$D:$D,MATCH(B1750,Articles!$B:$B,0)),0))</f>
        <v/>
      </c>
      <c r="I1750" s="9" t="str">
        <f>IF(OR(E1750="",H1750=""),"",E1750-H1750)</f>
        <v/>
      </c>
      <c r="J1750" s="4"/>
    </row>
    <row r="1751">
      <c r="A1751" s="7"/>
      <c r="B1751" s="4"/>
      <c r="C1751" s="6"/>
      <c r="D1751" s="5" t="str">
        <f>IF(B1751="","",IFERROR(INDEX(Articles!$E:$E,MATCH(B1751,Articles!$B:$B,0)),""))</f>
        <v/>
      </c>
      <c r="E1751" s="9" t="str">
        <f>IF(OR(C1751="",D1751=""),"",C1751*D1751)</f>
        <v/>
      </c>
      <c r="F1751" s="4"/>
      <c r="G1751" s="4"/>
      <c r="H1751" s="9" t="str">
        <f>IF(OR(B1751="",C1751=""),"",C1751*IFERROR(INDEX(Articles!$D:$D,MATCH(B1751,Articles!$B:$B,0)),0))</f>
        <v/>
      </c>
      <c r="I1751" s="9" t="str">
        <f>IF(OR(E1751="",H1751=""),"",E1751-H1751)</f>
        <v/>
      </c>
      <c r="J1751" s="4"/>
    </row>
    <row r="1752">
      <c r="A1752" s="7"/>
      <c r="B1752" s="4"/>
      <c r="C1752" s="6"/>
      <c r="D1752" s="5" t="str">
        <f>IF(B1752="","",IFERROR(INDEX(Articles!$E:$E,MATCH(B1752,Articles!$B:$B,0)),""))</f>
        <v/>
      </c>
      <c r="E1752" s="9" t="str">
        <f>IF(OR(C1752="",D1752=""),"",C1752*D1752)</f>
        <v/>
      </c>
      <c r="F1752" s="4"/>
      <c r="G1752" s="4"/>
      <c r="H1752" s="9" t="str">
        <f>IF(OR(B1752="",C1752=""),"",C1752*IFERROR(INDEX(Articles!$D:$D,MATCH(B1752,Articles!$B:$B,0)),0))</f>
        <v/>
      </c>
      <c r="I1752" s="9" t="str">
        <f>IF(OR(E1752="",H1752=""),"",E1752-H1752)</f>
        <v/>
      </c>
      <c r="J1752" s="4"/>
    </row>
    <row r="1753">
      <c r="A1753" s="7"/>
      <c r="B1753" s="4"/>
      <c r="C1753" s="6"/>
      <c r="D1753" s="5" t="str">
        <f>IF(B1753="","",IFERROR(INDEX(Articles!$E:$E,MATCH(B1753,Articles!$B:$B,0)),""))</f>
        <v/>
      </c>
      <c r="E1753" s="9" t="str">
        <f>IF(OR(C1753="",D1753=""),"",C1753*D1753)</f>
        <v/>
      </c>
      <c r="F1753" s="4"/>
      <c r="G1753" s="4"/>
      <c r="H1753" s="9" t="str">
        <f>IF(OR(B1753="",C1753=""),"",C1753*IFERROR(INDEX(Articles!$D:$D,MATCH(B1753,Articles!$B:$B,0)),0))</f>
        <v/>
      </c>
      <c r="I1753" s="9" t="str">
        <f>IF(OR(E1753="",H1753=""),"",E1753-H1753)</f>
        <v/>
      </c>
      <c r="J1753" s="4"/>
    </row>
    <row r="1754">
      <c r="A1754" s="7"/>
      <c r="B1754" s="4"/>
      <c r="C1754" s="6"/>
      <c r="D1754" s="5" t="str">
        <f>IF(B1754="","",IFERROR(INDEX(Articles!$E:$E,MATCH(B1754,Articles!$B:$B,0)),""))</f>
        <v/>
      </c>
      <c r="E1754" s="9" t="str">
        <f>IF(OR(C1754="",D1754=""),"",C1754*D1754)</f>
        <v/>
      </c>
      <c r="F1754" s="4"/>
      <c r="G1754" s="4"/>
      <c r="H1754" s="9" t="str">
        <f>IF(OR(B1754="",C1754=""),"",C1754*IFERROR(INDEX(Articles!$D:$D,MATCH(B1754,Articles!$B:$B,0)),0))</f>
        <v/>
      </c>
      <c r="I1754" s="9" t="str">
        <f>IF(OR(E1754="",H1754=""),"",E1754-H1754)</f>
        <v/>
      </c>
      <c r="J1754" s="4"/>
    </row>
    <row r="1755">
      <c r="A1755" s="7"/>
      <c r="B1755" s="4"/>
      <c r="C1755" s="6"/>
      <c r="D1755" s="5" t="str">
        <f>IF(B1755="","",IFERROR(INDEX(Articles!$E:$E,MATCH(B1755,Articles!$B:$B,0)),""))</f>
        <v/>
      </c>
      <c r="E1755" s="9" t="str">
        <f>IF(OR(C1755="",D1755=""),"",C1755*D1755)</f>
        <v/>
      </c>
      <c r="F1755" s="4"/>
      <c r="G1755" s="4"/>
      <c r="H1755" s="9" t="str">
        <f>IF(OR(B1755="",C1755=""),"",C1755*IFERROR(INDEX(Articles!$D:$D,MATCH(B1755,Articles!$B:$B,0)),0))</f>
        <v/>
      </c>
      <c r="I1755" s="9" t="str">
        <f>IF(OR(E1755="",H1755=""),"",E1755-H1755)</f>
        <v/>
      </c>
      <c r="J1755" s="4"/>
    </row>
    <row r="1756">
      <c r="A1756" s="7"/>
      <c r="B1756" s="4"/>
      <c r="C1756" s="6"/>
      <c r="D1756" s="5" t="str">
        <f>IF(B1756="","",IFERROR(INDEX(Articles!$E:$E,MATCH(B1756,Articles!$B:$B,0)),""))</f>
        <v/>
      </c>
      <c r="E1756" s="9" t="str">
        <f>IF(OR(C1756="",D1756=""),"",C1756*D1756)</f>
        <v/>
      </c>
      <c r="F1756" s="4"/>
      <c r="G1756" s="4"/>
      <c r="H1756" s="9" t="str">
        <f>IF(OR(B1756="",C1756=""),"",C1756*IFERROR(INDEX(Articles!$D:$D,MATCH(B1756,Articles!$B:$B,0)),0))</f>
        <v/>
      </c>
      <c r="I1756" s="9" t="str">
        <f>IF(OR(E1756="",H1756=""),"",E1756-H1756)</f>
        <v/>
      </c>
      <c r="J1756" s="4"/>
    </row>
    <row r="1757">
      <c r="A1757" s="7"/>
      <c r="B1757" s="4"/>
      <c r="C1757" s="6"/>
      <c r="D1757" s="5" t="str">
        <f>IF(B1757="","",IFERROR(INDEX(Articles!$E:$E,MATCH(B1757,Articles!$B:$B,0)),""))</f>
        <v/>
      </c>
      <c r="E1757" s="9" t="str">
        <f>IF(OR(C1757="",D1757=""),"",C1757*D1757)</f>
        <v/>
      </c>
      <c r="F1757" s="4"/>
      <c r="G1757" s="4"/>
      <c r="H1757" s="9" t="str">
        <f>IF(OR(B1757="",C1757=""),"",C1757*IFERROR(INDEX(Articles!$D:$D,MATCH(B1757,Articles!$B:$B,0)),0))</f>
        <v/>
      </c>
      <c r="I1757" s="9" t="str">
        <f>IF(OR(E1757="",H1757=""),"",E1757-H1757)</f>
        <v/>
      </c>
      <c r="J1757" s="4"/>
    </row>
    <row r="1758">
      <c r="A1758" s="7"/>
      <c r="B1758" s="4"/>
      <c r="C1758" s="6"/>
      <c r="D1758" s="5" t="str">
        <f>IF(B1758="","",IFERROR(INDEX(Articles!$E:$E,MATCH(B1758,Articles!$B:$B,0)),""))</f>
        <v/>
      </c>
      <c r="E1758" s="9" t="str">
        <f>IF(OR(C1758="",D1758=""),"",C1758*D1758)</f>
        <v/>
      </c>
      <c r="F1758" s="4"/>
      <c r="G1758" s="4"/>
      <c r="H1758" s="9" t="str">
        <f>IF(OR(B1758="",C1758=""),"",C1758*IFERROR(INDEX(Articles!$D:$D,MATCH(B1758,Articles!$B:$B,0)),0))</f>
        <v/>
      </c>
      <c r="I1758" s="9" t="str">
        <f>IF(OR(E1758="",H1758=""),"",E1758-H1758)</f>
        <v/>
      </c>
      <c r="J1758" s="4"/>
    </row>
    <row r="1759">
      <c r="A1759" s="7"/>
      <c r="B1759" s="4"/>
      <c r="C1759" s="6"/>
      <c r="D1759" s="5" t="str">
        <f>IF(B1759="","",IFERROR(INDEX(Articles!$E:$E,MATCH(B1759,Articles!$B:$B,0)),""))</f>
        <v/>
      </c>
      <c r="E1759" s="9" t="str">
        <f>IF(OR(C1759="",D1759=""),"",C1759*D1759)</f>
        <v/>
      </c>
      <c r="F1759" s="4"/>
      <c r="G1759" s="4"/>
      <c r="H1759" s="9" t="str">
        <f>IF(OR(B1759="",C1759=""),"",C1759*IFERROR(INDEX(Articles!$D:$D,MATCH(B1759,Articles!$B:$B,0)),0))</f>
        <v/>
      </c>
      <c r="I1759" s="9" t="str">
        <f>IF(OR(E1759="",H1759=""),"",E1759-H1759)</f>
        <v/>
      </c>
      <c r="J1759" s="4"/>
    </row>
    <row r="1760">
      <c r="A1760" s="7"/>
      <c r="B1760" s="4"/>
      <c r="C1760" s="6"/>
      <c r="D1760" s="5" t="str">
        <f>IF(B1760="","",IFERROR(INDEX(Articles!$E:$E,MATCH(B1760,Articles!$B:$B,0)),""))</f>
        <v/>
      </c>
      <c r="E1760" s="9" t="str">
        <f>IF(OR(C1760="",D1760=""),"",C1760*D1760)</f>
        <v/>
      </c>
      <c r="F1760" s="4"/>
      <c r="G1760" s="4"/>
      <c r="H1760" s="9" t="str">
        <f>IF(OR(B1760="",C1760=""),"",C1760*IFERROR(INDEX(Articles!$D:$D,MATCH(B1760,Articles!$B:$B,0)),0))</f>
        <v/>
      </c>
      <c r="I1760" s="9" t="str">
        <f>IF(OR(E1760="",H1760=""),"",E1760-H1760)</f>
        <v/>
      </c>
      <c r="J1760" s="4"/>
    </row>
    <row r="1761">
      <c r="A1761" s="7"/>
      <c r="B1761" s="4"/>
      <c r="C1761" s="6"/>
      <c r="D1761" s="5" t="str">
        <f>IF(B1761="","",IFERROR(INDEX(Articles!$E:$E,MATCH(B1761,Articles!$B:$B,0)),""))</f>
        <v/>
      </c>
      <c r="E1761" s="9" t="str">
        <f>IF(OR(C1761="",D1761=""),"",C1761*D1761)</f>
        <v/>
      </c>
      <c r="F1761" s="4"/>
      <c r="G1761" s="4"/>
      <c r="H1761" s="9" t="str">
        <f>IF(OR(B1761="",C1761=""),"",C1761*IFERROR(INDEX(Articles!$D:$D,MATCH(B1761,Articles!$B:$B,0)),0))</f>
        <v/>
      </c>
      <c r="I1761" s="9" t="str">
        <f>IF(OR(E1761="",H1761=""),"",E1761-H1761)</f>
        <v/>
      </c>
      <c r="J1761" s="4"/>
    </row>
    <row r="1762">
      <c r="A1762" s="7"/>
      <c r="B1762" s="4"/>
      <c r="C1762" s="6"/>
      <c r="D1762" s="5" t="str">
        <f>IF(B1762="","",IFERROR(INDEX(Articles!$E:$E,MATCH(B1762,Articles!$B:$B,0)),""))</f>
        <v/>
      </c>
      <c r="E1762" s="9" t="str">
        <f>IF(OR(C1762="",D1762=""),"",C1762*D1762)</f>
        <v/>
      </c>
      <c r="F1762" s="4"/>
      <c r="G1762" s="4"/>
      <c r="H1762" s="9" t="str">
        <f>IF(OR(B1762="",C1762=""),"",C1762*IFERROR(INDEX(Articles!$D:$D,MATCH(B1762,Articles!$B:$B,0)),0))</f>
        <v/>
      </c>
      <c r="I1762" s="9" t="str">
        <f>IF(OR(E1762="",H1762=""),"",E1762-H1762)</f>
        <v/>
      </c>
      <c r="J1762" s="4"/>
    </row>
    <row r="1763">
      <c r="A1763" s="7"/>
      <c r="B1763" s="4"/>
      <c r="C1763" s="6"/>
      <c r="D1763" s="5" t="str">
        <f>IF(B1763="","",IFERROR(INDEX(Articles!$E:$E,MATCH(B1763,Articles!$B:$B,0)),""))</f>
        <v/>
      </c>
      <c r="E1763" s="9" t="str">
        <f>IF(OR(C1763="",D1763=""),"",C1763*D1763)</f>
        <v/>
      </c>
      <c r="F1763" s="4"/>
      <c r="G1763" s="4"/>
      <c r="H1763" s="9" t="str">
        <f>IF(OR(B1763="",C1763=""),"",C1763*IFERROR(INDEX(Articles!$D:$D,MATCH(B1763,Articles!$B:$B,0)),0))</f>
        <v/>
      </c>
      <c r="I1763" s="9" t="str">
        <f>IF(OR(E1763="",H1763=""),"",E1763-H1763)</f>
        <v/>
      </c>
      <c r="J1763" s="4"/>
    </row>
    <row r="1764">
      <c r="A1764" s="7"/>
      <c r="B1764" s="4"/>
      <c r="C1764" s="6"/>
      <c r="D1764" s="5" t="str">
        <f>IF(B1764="","",IFERROR(INDEX(Articles!$E:$E,MATCH(B1764,Articles!$B:$B,0)),""))</f>
        <v/>
      </c>
      <c r="E1764" s="9" t="str">
        <f>IF(OR(C1764="",D1764=""),"",C1764*D1764)</f>
        <v/>
      </c>
      <c r="F1764" s="4"/>
      <c r="G1764" s="4"/>
      <c r="H1764" s="9" t="str">
        <f>IF(OR(B1764="",C1764=""),"",C1764*IFERROR(INDEX(Articles!$D:$D,MATCH(B1764,Articles!$B:$B,0)),0))</f>
        <v/>
      </c>
      <c r="I1764" s="9" t="str">
        <f>IF(OR(E1764="",H1764=""),"",E1764-H1764)</f>
        <v/>
      </c>
      <c r="J1764" s="4"/>
    </row>
    <row r="1765">
      <c r="A1765" s="7"/>
      <c r="B1765" s="4"/>
      <c r="C1765" s="6"/>
      <c r="D1765" s="5" t="str">
        <f>IF(B1765="","",IFERROR(INDEX(Articles!$E:$E,MATCH(B1765,Articles!$B:$B,0)),""))</f>
        <v/>
      </c>
      <c r="E1765" s="9" t="str">
        <f>IF(OR(C1765="",D1765=""),"",C1765*D1765)</f>
        <v/>
      </c>
      <c r="F1765" s="4"/>
      <c r="G1765" s="4"/>
      <c r="H1765" s="9" t="str">
        <f>IF(OR(B1765="",C1765=""),"",C1765*IFERROR(INDEX(Articles!$D:$D,MATCH(B1765,Articles!$B:$B,0)),0))</f>
        <v/>
      </c>
      <c r="I1765" s="9" t="str">
        <f>IF(OR(E1765="",H1765=""),"",E1765-H1765)</f>
        <v/>
      </c>
      <c r="J1765" s="4"/>
    </row>
    <row r="1766">
      <c r="A1766" s="7"/>
      <c r="B1766" s="4"/>
      <c r="C1766" s="6"/>
      <c r="D1766" s="5" t="str">
        <f>IF(B1766="","",IFERROR(INDEX(Articles!$E:$E,MATCH(B1766,Articles!$B:$B,0)),""))</f>
        <v/>
      </c>
      <c r="E1766" s="9" t="str">
        <f>IF(OR(C1766="",D1766=""),"",C1766*D1766)</f>
        <v/>
      </c>
      <c r="F1766" s="4"/>
      <c r="G1766" s="4"/>
      <c r="H1766" s="9" t="str">
        <f>IF(OR(B1766="",C1766=""),"",C1766*IFERROR(INDEX(Articles!$D:$D,MATCH(B1766,Articles!$B:$B,0)),0))</f>
        <v/>
      </c>
      <c r="I1766" s="9" t="str">
        <f>IF(OR(E1766="",H1766=""),"",E1766-H1766)</f>
        <v/>
      </c>
      <c r="J1766" s="4"/>
    </row>
    <row r="1767">
      <c r="A1767" s="7"/>
      <c r="B1767" s="4"/>
      <c r="C1767" s="6"/>
      <c r="D1767" s="5" t="str">
        <f>IF(B1767="","",IFERROR(INDEX(Articles!$E:$E,MATCH(B1767,Articles!$B:$B,0)),""))</f>
        <v/>
      </c>
      <c r="E1767" s="9" t="str">
        <f>IF(OR(C1767="",D1767=""),"",C1767*D1767)</f>
        <v/>
      </c>
      <c r="F1767" s="4"/>
      <c r="G1767" s="4"/>
      <c r="H1767" s="9" t="str">
        <f>IF(OR(B1767="",C1767=""),"",C1767*IFERROR(INDEX(Articles!$D:$D,MATCH(B1767,Articles!$B:$B,0)),0))</f>
        <v/>
      </c>
      <c r="I1767" s="9" t="str">
        <f>IF(OR(E1767="",H1767=""),"",E1767-H1767)</f>
        <v/>
      </c>
      <c r="J1767" s="4"/>
    </row>
    <row r="1768">
      <c r="A1768" s="7"/>
      <c r="B1768" s="4"/>
      <c r="C1768" s="6"/>
      <c r="D1768" s="5" t="str">
        <f>IF(B1768="","",IFERROR(INDEX(Articles!$E:$E,MATCH(B1768,Articles!$B:$B,0)),""))</f>
        <v/>
      </c>
      <c r="E1768" s="9" t="str">
        <f>IF(OR(C1768="",D1768=""),"",C1768*D1768)</f>
        <v/>
      </c>
      <c r="F1768" s="4"/>
      <c r="G1768" s="4"/>
      <c r="H1768" s="9" t="str">
        <f>IF(OR(B1768="",C1768=""),"",C1768*IFERROR(INDEX(Articles!$D:$D,MATCH(B1768,Articles!$B:$B,0)),0))</f>
        <v/>
      </c>
      <c r="I1768" s="9" t="str">
        <f>IF(OR(E1768="",H1768=""),"",E1768-H1768)</f>
        <v/>
      </c>
      <c r="J1768" s="4"/>
    </row>
    <row r="1769">
      <c r="A1769" s="7"/>
      <c r="B1769" s="4"/>
      <c r="C1769" s="6"/>
      <c r="D1769" s="5" t="str">
        <f>IF(B1769="","",IFERROR(INDEX(Articles!$E:$E,MATCH(B1769,Articles!$B:$B,0)),""))</f>
        <v/>
      </c>
      <c r="E1769" s="9" t="str">
        <f>IF(OR(C1769="",D1769=""),"",C1769*D1769)</f>
        <v/>
      </c>
      <c r="F1769" s="4"/>
      <c r="G1769" s="4"/>
      <c r="H1769" s="9" t="str">
        <f>IF(OR(B1769="",C1769=""),"",C1769*IFERROR(INDEX(Articles!$D:$D,MATCH(B1769,Articles!$B:$B,0)),0))</f>
        <v/>
      </c>
      <c r="I1769" s="9" t="str">
        <f>IF(OR(E1769="",H1769=""),"",E1769-H1769)</f>
        <v/>
      </c>
      <c r="J1769" s="4"/>
    </row>
    <row r="1770">
      <c r="A1770" s="7"/>
      <c r="B1770" s="4"/>
      <c r="C1770" s="6"/>
      <c r="D1770" s="5" t="str">
        <f>IF(B1770="","",IFERROR(INDEX(Articles!$E:$E,MATCH(B1770,Articles!$B:$B,0)),""))</f>
        <v/>
      </c>
      <c r="E1770" s="9" t="str">
        <f>IF(OR(C1770="",D1770=""),"",C1770*D1770)</f>
        <v/>
      </c>
      <c r="F1770" s="4"/>
      <c r="G1770" s="4"/>
      <c r="H1770" s="9" t="str">
        <f>IF(OR(B1770="",C1770=""),"",C1770*IFERROR(INDEX(Articles!$D:$D,MATCH(B1770,Articles!$B:$B,0)),0))</f>
        <v/>
      </c>
      <c r="I1770" s="9" t="str">
        <f>IF(OR(E1770="",H1770=""),"",E1770-H1770)</f>
        <v/>
      </c>
      <c r="J1770" s="4"/>
    </row>
    <row r="1771">
      <c r="A1771" s="7"/>
      <c r="B1771" s="4"/>
      <c r="C1771" s="6"/>
      <c r="D1771" s="5" t="str">
        <f>IF(B1771="","",IFERROR(INDEX(Articles!$E:$E,MATCH(B1771,Articles!$B:$B,0)),""))</f>
        <v/>
      </c>
      <c r="E1771" s="9" t="str">
        <f>IF(OR(C1771="",D1771=""),"",C1771*D1771)</f>
        <v/>
      </c>
      <c r="F1771" s="4"/>
      <c r="G1771" s="4"/>
      <c r="H1771" s="9" t="str">
        <f>IF(OR(B1771="",C1771=""),"",C1771*IFERROR(INDEX(Articles!$D:$D,MATCH(B1771,Articles!$B:$B,0)),0))</f>
        <v/>
      </c>
      <c r="I1771" s="9" t="str">
        <f>IF(OR(E1771="",H1771=""),"",E1771-H1771)</f>
        <v/>
      </c>
      <c r="J1771" s="4"/>
    </row>
    <row r="1772">
      <c r="A1772" s="7"/>
      <c r="B1772" s="4"/>
      <c r="C1772" s="6"/>
      <c r="D1772" s="5" t="str">
        <f>IF(B1772="","",IFERROR(INDEX(Articles!$E:$E,MATCH(B1772,Articles!$B:$B,0)),""))</f>
        <v/>
      </c>
      <c r="E1772" s="9" t="str">
        <f>IF(OR(C1772="",D1772=""),"",C1772*D1772)</f>
        <v/>
      </c>
      <c r="F1772" s="4"/>
      <c r="G1772" s="4"/>
      <c r="H1772" s="9" t="str">
        <f>IF(OR(B1772="",C1772=""),"",C1772*IFERROR(INDEX(Articles!$D:$D,MATCH(B1772,Articles!$B:$B,0)),0))</f>
        <v/>
      </c>
      <c r="I1772" s="9" t="str">
        <f>IF(OR(E1772="",H1772=""),"",E1772-H1772)</f>
        <v/>
      </c>
      <c r="J1772" s="4"/>
    </row>
    <row r="1773">
      <c r="A1773" s="7"/>
      <c r="B1773" s="4"/>
      <c r="C1773" s="6"/>
      <c r="D1773" s="5" t="str">
        <f>IF(B1773="","",IFERROR(INDEX(Articles!$E:$E,MATCH(B1773,Articles!$B:$B,0)),""))</f>
        <v/>
      </c>
      <c r="E1773" s="9" t="str">
        <f>IF(OR(C1773="",D1773=""),"",C1773*D1773)</f>
        <v/>
      </c>
      <c r="F1773" s="4"/>
      <c r="G1773" s="4"/>
      <c r="H1773" s="9" t="str">
        <f>IF(OR(B1773="",C1773=""),"",C1773*IFERROR(INDEX(Articles!$D:$D,MATCH(B1773,Articles!$B:$B,0)),0))</f>
        <v/>
      </c>
      <c r="I1773" s="9" t="str">
        <f>IF(OR(E1773="",H1773=""),"",E1773-H1773)</f>
        <v/>
      </c>
      <c r="J1773" s="4"/>
    </row>
    <row r="1774">
      <c r="A1774" s="7"/>
      <c r="B1774" s="4"/>
      <c r="C1774" s="6"/>
      <c r="D1774" s="5" t="str">
        <f>IF(B1774="","",IFERROR(INDEX(Articles!$E:$E,MATCH(B1774,Articles!$B:$B,0)),""))</f>
        <v/>
      </c>
      <c r="E1774" s="9" t="str">
        <f>IF(OR(C1774="",D1774=""),"",C1774*D1774)</f>
        <v/>
      </c>
      <c r="F1774" s="4"/>
      <c r="G1774" s="4"/>
      <c r="H1774" s="9" t="str">
        <f>IF(OR(B1774="",C1774=""),"",C1774*IFERROR(INDEX(Articles!$D:$D,MATCH(B1774,Articles!$B:$B,0)),0))</f>
        <v/>
      </c>
      <c r="I1774" s="9" t="str">
        <f>IF(OR(E1774="",H1774=""),"",E1774-H1774)</f>
        <v/>
      </c>
      <c r="J1774" s="4"/>
    </row>
    <row r="1775">
      <c r="A1775" s="7"/>
      <c r="B1775" s="4"/>
      <c r="C1775" s="6"/>
      <c r="D1775" s="5" t="str">
        <f>IF(B1775="","",IFERROR(INDEX(Articles!$E:$E,MATCH(B1775,Articles!$B:$B,0)),""))</f>
        <v/>
      </c>
      <c r="E1775" s="9" t="str">
        <f>IF(OR(C1775="",D1775=""),"",C1775*D1775)</f>
        <v/>
      </c>
      <c r="F1775" s="4"/>
      <c r="G1775" s="4"/>
      <c r="H1775" s="9" t="str">
        <f>IF(OR(B1775="",C1775=""),"",C1775*IFERROR(INDEX(Articles!$D:$D,MATCH(B1775,Articles!$B:$B,0)),0))</f>
        <v/>
      </c>
      <c r="I1775" s="9" t="str">
        <f>IF(OR(E1775="",H1775=""),"",E1775-H1775)</f>
        <v/>
      </c>
      <c r="J1775" s="4"/>
    </row>
    <row r="1776">
      <c r="A1776" s="7"/>
      <c r="B1776" s="4"/>
      <c r="C1776" s="6"/>
      <c r="D1776" s="5" t="str">
        <f>IF(B1776="","",IFERROR(INDEX(Articles!$E:$E,MATCH(B1776,Articles!$B:$B,0)),""))</f>
        <v/>
      </c>
      <c r="E1776" s="9" t="str">
        <f>IF(OR(C1776="",D1776=""),"",C1776*D1776)</f>
        <v/>
      </c>
      <c r="F1776" s="4"/>
      <c r="G1776" s="4"/>
      <c r="H1776" s="9" t="str">
        <f>IF(OR(B1776="",C1776=""),"",C1776*IFERROR(INDEX(Articles!$D:$D,MATCH(B1776,Articles!$B:$B,0)),0))</f>
        <v/>
      </c>
      <c r="I1776" s="9" t="str">
        <f>IF(OR(E1776="",H1776=""),"",E1776-H1776)</f>
        <v/>
      </c>
      <c r="J1776" s="4"/>
    </row>
    <row r="1777">
      <c r="A1777" s="7"/>
      <c r="B1777" s="4"/>
      <c r="C1777" s="6"/>
      <c r="D1777" s="5" t="str">
        <f>IF(B1777="","",IFERROR(INDEX(Articles!$E:$E,MATCH(B1777,Articles!$B:$B,0)),""))</f>
        <v/>
      </c>
      <c r="E1777" s="9" t="str">
        <f>IF(OR(C1777="",D1777=""),"",C1777*D1777)</f>
        <v/>
      </c>
      <c r="F1777" s="4"/>
      <c r="G1777" s="4"/>
      <c r="H1777" s="9" t="str">
        <f>IF(OR(B1777="",C1777=""),"",C1777*IFERROR(INDEX(Articles!$D:$D,MATCH(B1777,Articles!$B:$B,0)),0))</f>
        <v/>
      </c>
      <c r="I1777" s="9" t="str">
        <f>IF(OR(E1777="",H1777=""),"",E1777-H1777)</f>
        <v/>
      </c>
      <c r="J1777" s="4"/>
    </row>
    <row r="1778">
      <c r="A1778" s="7"/>
      <c r="B1778" s="4"/>
      <c r="C1778" s="6"/>
      <c r="D1778" s="5" t="str">
        <f>IF(B1778="","",IFERROR(INDEX(Articles!$E:$E,MATCH(B1778,Articles!$B:$B,0)),""))</f>
        <v/>
      </c>
      <c r="E1778" s="9" t="str">
        <f>IF(OR(C1778="",D1778=""),"",C1778*D1778)</f>
        <v/>
      </c>
      <c r="F1778" s="4"/>
      <c r="G1778" s="4"/>
      <c r="H1778" s="9" t="str">
        <f>IF(OR(B1778="",C1778=""),"",C1778*IFERROR(INDEX(Articles!$D:$D,MATCH(B1778,Articles!$B:$B,0)),0))</f>
        <v/>
      </c>
      <c r="I1778" s="9" t="str">
        <f>IF(OR(E1778="",H1778=""),"",E1778-H1778)</f>
        <v/>
      </c>
      <c r="J1778" s="4"/>
    </row>
    <row r="1779">
      <c r="A1779" s="7"/>
      <c r="B1779" s="4"/>
      <c r="C1779" s="6"/>
      <c r="D1779" s="5" t="str">
        <f>IF(B1779="","",IFERROR(INDEX(Articles!$E:$E,MATCH(B1779,Articles!$B:$B,0)),""))</f>
        <v/>
      </c>
      <c r="E1779" s="9" t="str">
        <f>IF(OR(C1779="",D1779=""),"",C1779*D1779)</f>
        <v/>
      </c>
      <c r="F1779" s="4"/>
      <c r="G1779" s="4"/>
      <c r="H1779" s="9" t="str">
        <f>IF(OR(B1779="",C1779=""),"",C1779*IFERROR(INDEX(Articles!$D:$D,MATCH(B1779,Articles!$B:$B,0)),0))</f>
        <v/>
      </c>
      <c r="I1779" s="9" t="str">
        <f>IF(OR(E1779="",H1779=""),"",E1779-H1779)</f>
        <v/>
      </c>
      <c r="J1779" s="4"/>
    </row>
    <row r="1780">
      <c r="A1780" s="7"/>
      <c r="B1780" s="4"/>
      <c r="C1780" s="6"/>
      <c r="D1780" s="5" t="str">
        <f>IF(B1780="","",IFERROR(INDEX(Articles!$E:$E,MATCH(B1780,Articles!$B:$B,0)),""))</f>
        <v/>
      </c>
      <c r="E1780" s="9" t="str">
        <f>IF(OR(C1780="",D1780=""),"",C1780*D1780)</f>
        <v/>
      </c>
      <c r="F1780" s="4"/>
      <c r="G1780" s="4"/>
      <c r="H1780" s="9" t="str">
        <f>IF(OR(B1780="",C1780=""),"",C1780*IFERROR(INDEX(Articles!$D:$D,MATCH(B1780,Articles!$B:$B,0)),0))</f>
        <v/>
      </c>
      <c r="I1780" s="9" t="str">
        <f>IF(OR(E1780="",H1780=""),"",E1780-H1780)</f>
        <v/>
      </c>
      <c r="J1780" s="4"/>
    </row>
    <row r="1781">
      <c r="A1781" s="7"/>
      <c r="B1781" s="4"/>
      <c r="C1781" s="6"/>
      <c r="D1781" s="5" t="str">
        <f>IF(B1781="","",IFERROR(INDEX(Articles!$E:$E,MATCH(B1781,Articles!$B:$B,0)),""))</f>
        <v/>
      </c>
      <c r="E1781" s="9" t="str">
        <f>IF(OR(C1781="",D1781=""),"",C1781*D1781)</f>
        <v/>
      </c>
      <c r="F1781" s="4"/>
      <c r="G1781" s="4"/>
      <c r="H1781" s="9" t="str">
        <f>IF(OR(B1781="",C1781=""),"",C1781*IFERROR(INDEX(Articles!$D:$D,MATCH(B1781,Articles!$B:$B,0)),0))</f>
        <v/>
      </c>
      <c r="I1781" s="9" t="str">
        <f>IF(OR(E1781="",H1781=""),"",E1781-H1781)</f>
        <v/>
      </c>
      <c r="J1781" s="4"/>
    </row>
    <row r="1782">
      <c r="A1782" s="7"/>
      <c r="B1782" s="4"/>
      <c r="C1782" s="6"/>
      <c r="D1782" s="5" t="str">
        <f>IF(B1782="","",IFERROR(INDEX(Articles!$E:$E,MATCH(B1782,Articles!$B:$B,0)),""))</f>
        <v/>
      </c>
      <c r="E1782" s="9" t="str">
        <f>IF(OR(C1782="",D1782=""),"",C1782*D1782)</f>
        <v/>
      </c>
      <c r="F1782" s="4"/>
      <c r="G1782" s="4"/>
      <c r="H1782" s="9" t="str">
        <f>IF(OR(B1782="",C1782=""),"",C1782*IFERROR(INDEX(Articles!$D:$D,MATCH(B1782,Articles!$B:$B,0)),0))</f>
        <v/>
      </c>
      <c r="I1782" s="9" t="str">
        <f>IF(OR(E1782="",H1782=""),"",E1782-H1782)</f>
        <v/>
      </c>
      <c r="J1782" s="4"/>
    </row>
    <row r="1783">
      <c r="A1783" s="7"/>
      <c r="B1783" s="4"/>
      <c r="C1783" s="6"/>
      <c r="D1783" s="5" t="str">
        <f>IF(B1783="","",IFERROR(INDEX(Articles!$E:$E,MATCH(B1783,Articles!$B:$B,0)),""))</f>
        <v/>
      </c>
      <c r="E1783" s="9" t="str">
        <f>IF(OR(C1783="",D1783=""),"",C1783*D1783)</f>
        <v/>
      </c>
      <c r="F1783" s="4"/>
      <c r="G1783" s="4"/>
      <c r="H1783" s="9" t="str">
        <f>IF(OR(B1783="",C1783=""),"",C1783*IFERROR(INDEX(Articles!$D:$D,MATCH(B1783,Articles!$B:$B,0)),0))</f>
        <v/>
      </c>
      <c r="I1783" s="9" t="str">
        <f>IF(OR(E1783="",H1783=""),"",E1783-H1783)</f>
        <v/>
      </c>
      <c r="J1783" s="4"/>
    </row>
    <row r="1784">
      <c r="A1784" s="7"/>
      <c r="B1784" s="4"/>
      <c r="C1784" s="6"/>
      <c r="D1784" s="5" t="str">
        <f>IF(B1784="","",IFERROR(INDEX(Articles!$E:$E,MATCH(B1784,Articles!$B:$B,0)),""))</f>
        <v/>
      </c>
      <c r="E1784" s="9" t="str">
        <f>IF(OR(C1784="",D1784=""),"",C1784*D1784)</f>
        <v/>
      </c>
      <c r="F1784" s="4"/>
      <c r="G1784" s="4"/>
      <c r="H1784" s="9" t="str">
        <f>IF(OR(B1784="",C1784=""),"",C1784*IFERROR(INDEX(Articles!$D:$D,MATCH(B1784,Articles!$B:$B,0)),0))</f>
        <v/>
      </c>
      <c r="I1784" s="9" t="str">
        <f>IF(OR(E1784="",H1784=""),"",E1784-H1784)</f>
        <v/>
      </c>
      <c r="J1784" s="4"/>
    </row>
    <row r="1785">
      <c r="A1785" s="7"/>
      <c r="B1785" s="4"/>
      <c r="C1785" s="6"/>
      <c r="D1785" s="5" t="str">
        <f>IF(B1785="","",IFERROR(INDEX(Articles!$E:$E,MATCH(B1785,Articles!$B:$B,0)),""))</f>
        <v/>
      </c>
      <c r="E1785" s="9" t="str">
        <f>IF(OR(C1785="",D1785=""),"",C1785*D1785)</f>
        <v/>
      </c>
      <c r="F1785" s="4"/>
      <c r="G1785" s="4"/>
      <c r="H1785" s="9" t="str">
        <f>IF(OR(B1785="",C1785=""),"",C1785*IFERROR(INDEX(Articles!$D:$D,MATCH(B1785,Articles!$B:$B,0)),0))</f>
        <v/>
      </c>
      <c r="I1785" s="9" t="str">
        <f>IF(OR(E1785="",H1785=""),"",E1785-H1785)</f>
        <v/>
      </c>
      <c r="J1785" s="4"/>
    </row>
    <row r="1786">
      <c r="A1786" s="7"/>
      <c r="B1786" s="4"/>
      <c r="C1786" s="6"/>
      <c r="D1786" s="5" t="str">
        <f>IF(B1786="","",IFERROR(INDEX(Articles!$E:$E,MATCH(B1786,Articles!$B:$B,0)),""))</f>
        <v/>
      </c>
      <c r="E1786" s="9" t="str">
        <f>IF(OR(C1786="",D1786=""),"",C1786*D1786)</f>
        <v/>
      </c>
      <c r="F1786" s="4"/>
      <c r="G1786" s="4"/>
      <c r="H1786" s="9" t="str">
        <f>IF(OR(B1786="",C1786=""),"",C1786*IFERROR(INDEX(Articles!$D:$D,MATCH(B1786,Articles!$B:$B,0)),0))</f>
        <v/>
      </c>
      <c r="I1786" s="9" t="str">
        <f>IF(OR(E1786="",H1786=""),"",E1786-H1786)</f>
        <v/>
      </c>
      <c r="J1786" s="4"/>
    </row>
    <row r="1787">
      <c r="A1787" s="7"/>
      <c r="B1787" s="4"/>
      <c r="C1787" s="6"/>
      <c r="D1787" s="5" t="str">
        <f>IF(B1787="","",IFERROR(INDEX(Articles!$E:$E,MATCH(B1787,Articles!$B:$B,0)),""))</f>
        <v/>
      </c>
      <c r="E1787" s="9" t="str">
        <f>IF(OR(C1787="",D1787=""),"",C1787*D1787)</f>
        <v/>
      </c>
      <c r="F1787" s="4"/>
      <c r="G1787" s="4"/>
      <c r="H1787" s="9" t="str">
        <f>IF(OR(B1787="",C1787=""),"",C1787*IFERROR(INDEX(Articles!$D:$D,MATCH(B1787,Articles!$B:$B,0)),0))</f>
        <v/>
      </c>
      <c r="I1787" s="9" t="str">
        <f>IF(OR(E1787="",H1787=""),"",E1787-H1787)</f>
        <v/>
      </c>
      <c r="J1787" s="4"/>
    </row>
    <row r="1788">
      <c r="A1788" s="7"/>
      <c r="B1788" s="4"/>
      <c r="C1788" s="6"/>
      <c r="D1788" s="5" t="str">
        <f>IF(B1788="","",IFERROR(INDEX(Articles!$E:$E,MATCH(B1788,Articles!$B:$B,0)),""))</f>
        <v/>
      </c>
      <c r="E1788" s="9" t="str">
        <f>IF(OR(C1788="",D1788=""),"",C1788*D1788)</f>
        <v/>
      </c>
      <c r="F1788" s="4"/>
      <c r="G1788" s="4"/>
      <c r="H1788" s="9" t="str">
        <f>IF(OR(B1788="",C1788=""),"",C1788*IFERROR(INDEX(Articles!$D:$D,MATCH(B1788,Articles!$B:$B,0)),0))</f>
        <v/>
      </c>
      <c r="I1788" s="9" t="str">
        <f>IF(OR(E1788="",H1788=""),"",E1788-H1788)</f>
        <v/>
      </c>
      <c r="J1788" s="4"/>
    </row>
    <row r="1789">
      <c r="A1789" s="7"/>
      <c r="B1789" s="4"/>
      <c r="C1789" s="6"/>
      <c r="D1789" s="5" t="str">
        <f>IF(B1789="","",IFERROR(INDEX(Articles!$E:$E,MATCH(B1789,Articles!$B:$B,0)),""))</f>
        <v/>
      </c>
      <c r="E1789" s="9" t="str">
        <f>IF(OR(C1789="",D1789=""),"",C1789*D1789)</f>
        <v/>
      </c>
      <c r="F1789" s="4"/>
      <c r="G1789" s="4"/>
      <c r="H1789" s="9" t="str">
        <f>IF(OR(B1789="",C1789=""),"",C1789*IFERROR(INDEX(Articles!$D:$D,MATCH(B1789,Articles!$B:$B,0)),0))</f>
        <v/>
      </c>
      <c r="I1789" s="9" t="str">
        <f>IF(OR(E1789="",H1789=""),"",E1789-H1789)</f>
        <v/>
      </c>
      <c r="J1789" s="4"/>
    </row>
    <row r="1790">
      <c r="A1790" s="7"/>
      <c r="B1790" s="4"/>
      <c r="C1790" s="6"/>
      <c r="D1790" s="5" t="str">
        <f>IF(B1790="","",IFERROR(INDEX(Articles!$E:$E,MATCH(B1790,Articles!$B:$B,0)),""))</f>
        <v/>
      </c>
      <c r="E1790" s="9" t="str">
        <f>IF(OR(C1790="",D1790=""),"",C1790*D1790)</f>
        <v/>
      </c>
      <c r="F1790" s="4"/>
      <c r="G1790" s="4"/>
      <c r="H1790" s="9" t="str">
        <f>IF(OR(B1790="",C1790=""),"",C1790*IFERROR(INDEX(Articles!$D:$D,MATCH(B1790,Articles!$B:$B,0)),0))</f>
        <v/>
      </c>
      <c r="I1790" s="9" t="str">
        <f>IF(OR(E1790="",H1790=""),"",E1790-H1790)</f>
        <v/>
      </c>
      <c r="J1790" s="4"/>
    </row>
    <row r="1791">
      <c r="A1791" s="7"/>
      <c r="B1791" s="4"/>
      <c r="C1791" s="6"/>
      <c r="D1791" s="5" t="str">
        <f>IF(B1791="","",IFERROR(INDEX(Articles!$E:$E,MATCH(B1791,Articles!$B:$B,0)),""))</f>
        <v/>
      </c>
      <c r="E1791" s="9" t="str">
        <f>IF(OR(C1791="",D1791=""),"",C1791*D1791)</f>
        <v/>
      </c>
      <c r="F1791" s="4"/>
      <c r="G1791" s="4"/>
      <c r="H1791" s="9" t="str">
        <f>IF(OR(B1791="",C1791=""),"",C1791*IFERROR(INDEX(Articles!$D:$D,MATCH(B1791,Articles!$B:$B,0)),0))</f>
        <v/>
      </c>
      <c r="I1791" s="9" t="str">
        <f>IF(OR(E1791="",H1791=""),"",E1791-H1791)</f>
        <v/>
      </c>
      <c r="J1791" s="4"/>
    </row>
    <row r="1792">
      <c r="A1792" s="7"/>
      <c r="B1792" s="4"/>
      <c r="C1792" s="6"/>
      <c r="D1792" s="5" t="str">
        <f>IF(B1792="","",IFERROR(INDEX(Articles!$E:$E,MATCH(B1792,Articles!$B:$B,0)),""))</f>
        <v/>
      </c>
      <c r="E1792" s="9" t="str">
        <f>IF(OR(C1792="",D1792=""),"",C1792*D1792)</f>
        <v/>
      </c>
      <c r="F1792" s="4"/>
      <c r="G1792" s="4"/>
      <c r="H1792" s="9" t="str">
        <f>IF(OR(B1792="",C1792=""),"",C1792*IFERROR(INDEX(Articles!$D:$D,MATCH(B1792,Articles!$B:$B,0)),0))</f>
        <v/>
      </c>
      <c r="I1792" s="9" t="str">
        <f>IF(OR(E1792="",H1792=""),"",E1792-H1792)</f>
        <v/>
      </c>
      <c r="J1792" s="4"/>
    </row>
    <row r="1793">
      <c r="A1793" s="7"/>
      <c r="B1793" s="4"/>
      <c r="C1793" s="6"/>
      <c r="D1793" s="5" t="str">
        <f>IF(B1793="","",IFERROR(INDEX(Articles!$E:$E,MATCH(B1793,Articles!$B:$B,0)),""))</f>
        <v/>
      </c>
      <c r="E1793" s="9" t="str">
        <f>IF(OR(C1793="",D1793=""),"",C1793*D1793)</f>
        <v/>
      </c>
      <c r="F1793" s="4"/>
      <c r="G1793" s="4"/>
      <c r="H1793" s="9" t="str">
        <f>IF(OR(B1793="",C1793=""),"",C1793*IFERROR(INDEX(Articles!$D:$D,MATCH(B1793,Articles!$B:$B,0)),0))</f>
        <v/>
      </c>
      <c r="I1793" s="9" t="str">
        <f>IF(OR(E1793="",H1793=""),"",E1793-H1793)</f>
        <v/>
      </c>
      <c r="J1793" s="4"/>
    </row>
    <row r="1794">
      <c r="A1794" s="7"/>
      <c r="B1794" s="4"/>
      <c r="C1794" s="6"/>
      <c r="D1794" s="5" t="str">
        <f>IF(B1794="","",IFERROR(INDEX(Articles!$E:$E,MATCH(B1794,Articles!$B:$B,0)),""))</f>
        <v/>
      </c>
      <c r="E1794" s="9" t="str">
        <f>IF(OR(C1794="",D1794=""),"",C1794*D1794)</f>
        <v/>
      </c>
      <c r="F1794" s="4"/>
      <c r="G1794" s="4"/>
      <c r="H1794" s="9" t="str">
        <f>IF(OR(B1794="",C1794=""),"",C1794*IFERROR(INDEX(Articles!$D:$D,MATCH(B1794,Articles!$B:$B,0)),0))</f>
        <v/>
      </c>
      <c r="I1794" s="9" t="str">
        <f>IF(OR(E1794="",H1794=""),"",E1794-H1794)</f>
        <v/>
      </c>
      <c r="J1794" s="4"/>
    </row>
    <row r="1795">
      <c r="A1795" s="7"/>
      <c r="B1795" s="4"/>
      <c r="C1795" s="6"/>
      <c r="D1795" s="5" t="str">
        <f>IF(B1795="","",IFERROR(INDEX(Articles!$E:$E,MATCH(B1795,Articles!$B:$B,0)),""))</f>
        <v/>
      </c>
      <c r="E1795" s="9" t="str">
        <f>IF(OR(C1795="",D1795=""),"",C1795*D1795)</f>
        <v/>
      </c>
      <c r="F1795" s="4"/>
      <c r="G1795" s="4"/>
      <c r="H1795" s="9" t="str">
        <f>IF(OR(B1795="",C1795=""),"",C1795*IFERROR(INDEX(Articles!$D:$D,MATCH(B1795,Articles!$B:$B,0)),0))</f>
        <v/>
      </c>
      <c r="I1795" s="9" t="str">
        <f>IF(OR(E1795="",H1795=""),"",E1795-H1795)</f>
        <v/>
      </c>
      <c r="J1795" s="4"/>
    </row>
    <row r="1796">
      <c r="A1796" s="7"/>
      <c r="B1796" s="4"/>
      <c r="C1796" s="6"/>
      <c r="D1796" s="5" t="str">
        <f>IF(B1796="","",IFERROR(INDEX(Articles!$E:$E,MATCH(B1796,Articles!$B:$B,0)),""))</f>
        <v/>
      </c>
      <c r="E1796" s="9" t="str">
        <f>IF(OR(C1796="",D1796=""),"",C1796*D1796)</f>
        <v/>
      </c>
      <c r="F1796" s="4"/>
      <c r="G1796" s="4"/>
      <c r="H1796" s="9" t="str">
        <f>IF(OR(B1796="",C1796=""),"",C1796*IFERROR(INDEX(Articles!$D:$D,MATCH(B1796,Articles!$B:$B,0)),0))</f>
        <v/>
      </c>
      <c r="I1796" s="9" t="str">
        <f>IF(OR(E1796="",H1796=""),"",E1796-H1796)</f>
        <v/>
      </c>
      <c r="J1796" s="4"/>
    </row>
    <row r="1797">
      <c r="A1797" s="7"/>
      <c r="B1797" s="4"/>
      <c r="C1797" s="6"/>
      <c r="D1797" s="5" t="str">
        <f>IF(B1797="","",IFERROR(INDEX(Articles!$E:$E,MATCH(B1797,Articles!$B:$B,0)),""))</f>
        <v/>
      </c>
      <c r="E1797" s="9" t="str">
        <f>IF(OR(C1797="",D1797=""),"",C1797*D1797)</f>
        <v/>
      </c>
      <c r="F1797" s="4"/>
      <c r="G1797" s="4"/>
      <c r="H1797" s="9" t="str">
        <f>IF(OR(B1797="",C1797=""),"",C1797*IFERROR(INDEX(Articles!$D:$D,MATCH(B1797,Articles!$B:$B,0)),0))</f>
        <v/>
      </c>
      <c r="I1797" s="9" t="str">
        <f>IF(OR(E1797="",H1797=""),"",E1797-H1797)</f>
        <v/>
      </c>
      <c r="J1797" s="4"/>
    </row>
    <row r="1798">
      <c r="A1798" s="7"/>
      <c r="B1798" s="4"/>
      <c r="C1798" s="6"/>
      <c r="D1798" s="5" t="str">
        <f>IF(B1798="","",IFERROR(INDEX(Articles!$E:$E,MATCH(B1798,Articles!$B:$B,0)),""))</f>
        <v/>
      </c>
      <c r="E1798" s="9" t="str">
        <f>IF(OR(C1798="",D1798=""),"",C1798*D1798)</f>
        <v/>
      </c>
      <c r="F1798" s="4"/>
      <c r="G1798" s="4"/>
      <c r="H1798" s="9" t="str">
        <f>IF(OR(B1798="",C1798=""),"",C1798*IFERROR(INDEX(Articles!$D:$D,MATCH(B1798,Articles!$B:$B,0)),0))</f>
        <v/>
      </c>
      <c r="I1798" s="9" t="str">
        <f>IF(OR(E1798="",H1798=""),"",E1798-H1798)</f>
        <v/>
      </c>
      <c r="J1798" s="4"/>
    </row>
    <row r="1799">
      <c r="A1799" s="7"/>
      <c r="B1799" s="4"/>
      <c r="C1799" s="6"/>
      <c r="D1799" s="5" t="str">
        <f>IF(B1799="","",IFERROR(INDEX(Articles!$E:$E,MATCH(B1799,Articles!$B:$B,0)),""))</f>
        <v/>
      </c>
      <c r="E1799" s="9" t="str">
        <f>IF(OR(C1799="",D1799=""),"",C1799*D1799)</f>
        <v/>
      </c>
      <c r="F1799" s="4"/>
      <c r="G1799" s="4"/>
      <c r="H1799" s="9" t="str">
        <f>IF(OR(B1799="",C1799=""),"",C1799*IFERROR(INDEX(Articles!$D:$D,MATCH(B1799,Articles!$B:$B,0)),0))</f>
        <v/>
      </c>
      <c r="I1799" s="9" t="str">
        <f>IF(OR(E1799="",H1799=""),"",E1799-H1799)</f>
        <v/>
      </c>
      <c r="J1799" s="4"/>
    </row>
    <row r="1800">
      <c r="A1800" s="7"/>
      <c r="B1800" s="4"/>
      <c r="C1800" s="6"/>
      <c r="D1800" s="5" t="str">
        <f>IF(B1800="","",IFERROR(INDEX(Articles!$E:$E,MATCH(B1800,Articles!$B:$B,0)),""))</f>
        <v/>
      </c>
      <c r="E1800" s="9" t="str">
        <f>IF(OR(C1800="",D1800=""),"",C1800*D1800)</f>
        <v/>
      </c>
      <c r="F1800" s="4"/>
      <c r="G1800" s="4"/>
      <c r="H1800" s="9" t="str">
        <f>IF(OR(B1800="",C1800=""),"",C1800*IFERROR(INDEX(Articles!$D:$D,MATCH(B1800,Articles!$B:$B,0)),0))</f>
        <v/>
      </c>
      <c r="I1800" s="9" t="str">
        <f>IF(OR(E1800="",H1800=""),"",E1800-H1800)</f>
        <v/>
      </c>
      <c r="J1800" s="4"/>
    </row>
    <row r="1801">
      <c r="A1801" s="7"/>
      <c r="B1801" s="4"/>
      <c r="C1801" s="6"/>
      <c r="D1801" s="5" t="str">
        <f>IF(B1801="","",IFERROR(INDEX(Articles!$E:$E,MATCH(B1801,Articles!$B:$B,0)),""))</f>
        <v/>
      </c>
      <c r="E1801" s="9" t="str">
        <f>IF(OR(C1801="",D1801=""),"",C1801*D1801)</f>
        <v/>
      </c>
      <c r="F1801" s="4"/>
      <c r="G1801" s="4"/>
      <c r="H1801" s="9" t="str">
        <f>IF(OR(B1801="",C1801=""),"",C1801*IFERROR(INDEX(Articles!$D:$D,MATCH(B1801,Articles!$B:$B,0)),0))</f>
        <v/>
      </c>
      <c r="I1801" s="9" t="str">
        <f>IF(OR(E1801="",H1801=""),"",E1801-H1801)</f>
        <v/>
      </c>
      <c r="J1801" s="4"/>
    </row>
    <row r="1802">
      <c r="A1802" s="7"/>
      <c r="B1802" s="4"/>
      <c r="C1802" s="6"/>
      <c r="D1802" s="5" t="str">
        <f>IF(B1802="","",IFERROR(INDEX(Articles!$E:$E,MATCH(B1802,Articles!$B:$B,0)),""))</f>
        <v/>
      </c>
      <c r="E1802" s="9" t="str">
        <f>IF(OR(C1802="",D1802=""),"",C1802*D1802)</f>
        <v/>
      </c>
      <c r="F1802" s="4"/>
      <c r="G1802" s="4"/>
      <c r="H1802" s="9" t="str">
        <f>IF(OR(B1802="",C1802=""),"",C1802*IFERROR(INDEX(Articles!$D:$D,MATCH(B1802,Articles!$B:$B,0)),0))</f>
        <v/>
      </c>
      <c r="I1802" s="9" t="str">
        <f>IF(OR(E1802="",H1802=""),"",E1802-H1802)</f>
        <v/>
      </c>
      <c r="J1802" s="4"/>
    </row>
    <row r="1803">
      <c r="A1803" s="7"/>
      <c r="B1803" s="4"/>
      <c r="C1803" s="6"/>
      <c r="D1803" s="5" t="str">
        <f>IF(B1803="","",IFERROR(INDEX(Articles!$E:$E,MATCH(B1803,Articles!$B:$B,0)),""))</f>
        <v/>
      </c>
      <c r="E1803" s="9" t="str">
        <f>IF(OR(C1803="",D1803=""),"",C1803*D1803)</f>
        <v/>
      </c>
      <c r="F1803" s="4"/>
      <c r="G1803" s="4"/>
      <c r="H1803" s="9" t="str">
        <f>IF(OR(B1803="",C1803=""),"",C1803*IFERROR(INDEX(Articles!$D:$D,MATCH(B1803,Articles!$B:$B,0)),0))</f>
        <v/>
      </c>
      <c r="I1803" s="9" t="str">
        <f>IF(OR(E1803="",H1803=""),"",E1803-H1803)</f>
        <v/>
      </c>
      <c r="J1803" s="4"/>
    </row>
    <row r="1804">
      <c r="A1804" s="7"/>
      <c r="B1804" s="4"/>
      <c r="C1804" s="6"/>
      <c r="D1804" s="5" t="str">
        <f>IF(B1804="","",IFERROR(INDEX(Articles!$E:$E,MATCH(B1804,Articles!$B:$B,0)),""))</f>
        <v/>
      </c>
      <c r="E1804" s="9" t="str">
        <f>IF(OR(C1804="",D1804=""),"",C1804*D1804)</f>
        <v/>
      </c>
      <c r="F1804" s="4"/>
      <c r="G1804" s="4"/>
      <c r="H1804" s="9" t="str">
        <f>IF(OR(B1804="",C1804=""),"",C1804*IFERROR(INDEX(Articles!$D:$D,MATCH(B1804,Articles!$B:$B,0)),0))</f>
        <v/>
      </c>
      <c r="I1804" s="9" t="str">
        <f>IF(OR(E1804="",H1804=""),"",E1804-H1804)</f>
        <v/>
      </c>
      <c r="J1804" s="4"/>
    </row>
    <row r="1805">
      <c r="A1805" s="7"/>
      <c r="B1805" s="4"/>
      <c r="C1805" s="6"/>
      <c r="D1805" s="5" t="str">
        <f>IF(B1805="","",IFERROR(INDEX(Articles!$E:$E,MATCH(B1805,Articles!$B:$B,0)),""))</f>
        <v/>
      </c>
      <c r="E1805" s="9" t="str">
        <f>IF(OR(C1805="",D1805=""),"",C1805*D1805)</f>
        <v/>
      </c>
      <c r="F1805" s="4"/>
      <c r="G1805" s="4"/>
      <c r="H1805" s="9" t="str">
        <f>IF(OR(B1805="",C1805=""),"",C1805*IFERROR(INDEX(Articles!$D:$D,MATCH(B1805,Articles!$B:$B,0)),0))</f>
        <v/>
      </c>
      <c r="I1805" s="9" t="str">
        <f>IF(OR(E1805="",H1805=""),"",E1805-H1805)</f>
        <v/>
      </c>
      <c r="J1805" s="4"/>
    </row>
    <row r="1806">
      <c r="A1806" s="7"/>
      <c r="B1806" s="4"/>
      <c r="C1806" s="6"/>
      <c r="D1806" s="5" t="str">
        <f>IF(B1806="","",IFERROR(INDEX(Articles!$E:$E,MATCH(B1806,Articles!$B:$B,0)),""))</f>
        <v/>
      </c>
      <c r="E1806" s="9" t="str">
        <f>IF(OR(C1806="",D1806=""),"",C1806*D1806)</f>
        <v/>
      </c>
      <c r="F1806" s="4"/>
      <c r="G1806" s="4"/>
      <c r="H1806" s="9" t="str">
        <f>IF(OR(B1806="",C1806=""),"",C1806*IFERROR(INDEX(Articles!$D:$D,MATCH(B1806,Articles!$B:$B,0)),0))</f>
        <v/>
      </c>
      <c r="I1806" s="9" t="str">
        <f>IF(OR(E1806="",H1806=""),"",E1806-H1806)</f>
        <v/>
      </c>
      <c r="J1806" s="4"/>
    </row>
    <row r="1807">
      <c r="A1807" s="7"/>
      <c r="B1807" s="4"/>
      <c r="C1807" s="6"/>
      <c r="D1807" s="5" t="str">
        <f>IF(B1807="","",IFERROR(INDEX(Articles!$E:$E,MATCH(B1807,Articles!$B:$B,0)),""))</f>
        <v/>
      </c>
      <c r="E1807" s="9" t="str">
        <f>IF(OR(C1807="",D1807=""),"",C1807*D1807)</f>
        <v/>
      </c>
      <c r="F1807" s="4"/>
      <c r="G1807" s="4"/>
      <c r="H1807" s="9" t="str">
        <f>IF(OR(B1807="",C1807=""),"",C1807*IFERROR(INDEX(Articles!$D:$D,MATCH(B1807,Articles!$B:$B,0)),0))</f>
        <v/>
      </c>
      <c r="I1807" s="9" t="str">
        <f>IF(OR(E1807="",H1807=""),"",E1807-H1807)</f>
        <v/>
      </c>
      <c r="J1807" s="4"/>
    </row>
    <row r="1808">
      <c r="A1808" s="7"/>
      <c r="B1808" s="4"/>
      <c r="C1808" s="6"/>
      <c r="D1808" s="5" t="str">
        <f>IF(B1808="","",IFERROR(INDEX(Articles!$E:$E,MATCH(B1808,Articles!$B:$B,0)),""))</f>
        <v/>
      </c>
      <c r="E1808" s="9" t="str">
        <f>IF(OR(C1808="",D1808=""),"",C1808*D1808)</f>
        <v/>
      </c>
      <c r="F1808" s="4"/>
      <c r="G1808" s="4"/>
      <c r="H1808" s="9" t="str">
        <f>IF(OR(B1808="",C1808=""),"",C1808*IFERROR(INDEX(Articles!$D:$D,MATCH(B1808,Articles!$B:$B,0)),0))</f>
        <v/>
      </c>
      <c r="I1808" s="9" t="str">
        <f>IF(OR(E1808="",H1808=""),"",E1808-H1808)</f>
        <v/>
      </c>
      <c r="J1808" s="4"/>
    </row>
    <row r="1809">
      <c r="A1809" s="7"/>
      <c r="B1809" s="4"/>
      <c r="C1809" s="6"/>
      <c r="D1809" s="5" t="str">
        <f>IF(B1809="","",IFERROR(INDEX(Articles!$E:$E,MATCH(B1809,Articles!$B:$B,0)),""))</f>
        <v/>
      </c>
      <c r="E1809" s="9" t="str">
        <f>IF(OR(C1809="",D1809=""),"",C1809*D1809)</f>
        <v/>
      </c>
      <c r="F1809" s="4"/>
      <c r="G1809" s="4"/>
      <c r="H1809" s="9" t="str">
        <f>IF(OR(B1809="",C1809=""),"",C1809*IFERROR(INDEX(Articles!$D:$D,MATCH(B1809,Articles!$B:$B,0)),0))</f>
        <v/>
      </c>
      <c r="I1809" s="9" t="str">
        <f>IF(OR(E1809="",H1809=""),"",E1809-H1809)</f>
        <v/>
      </c>
      <c r="J1809" s="4"/>
    </row>
    <row r="1810">
      <c r="A1810" s="7"/>
      <c r="B1810" s="4"/>
      <c r="C1810" s="6"/>
      <c r="D1810" s="5" t="str">
        <f>IF(B1810="","",IFERROR(INDEX(Articles!$E:$E,MATCH(B1810,Articles!$B:$B,0)),""))</f>
        <v/>
      </c>
      <c r="E1810" s="9" t="str">
        <f>IF(OR(C1810="",D1810=""),"",C1810*D1810)</f>
        <v/>
      </c>
      <c r="F1810" s="4"/>
      <c r="G1810" s="4"/>
      <c r="H1810" s="9" t="str">
        <f>IF(OR(B1810="",C1810=""),"",C1810*IFERROR(INDEX(Articles!$D:$D,MATCH(B1810,Articles!$B:$B,0)),0))</f>
        <v/>
      </c>
      <c r="I1810" s="9" t="str">
        <f>IF(OR(E1810="",H1810=""),"",E1810-H1810)</f>
        <v/>
      </c>
      <c r="J1810" s="4"/>
    </row>
    <row r="1811">
      <c r="A1811" s="7"/>
      <c r="B1811" s="4"/>
      <c r="C1811" s="6"/>
      <c r="D1811" s="5" t="str">
        <f>IF(B1811="","",IFERROR(INDEX(Articles!$E:$E,MATCH(B1811,Articles!$B:$B,0)),""))</f>
        <v/>
      </c>
      <c r="E1811" s="9" t="str">
        <f>IF(OR(C1811="",D1811=""),"",C1811*D1811)</f>
        <v/>
      </c>
      <c r="F1811" s="4"/>
      <c r="G1811" s="4"/>
      <c r="H1811" s="9" t="str">
        <f>IF(OR(B1811="",C1811=""),"",C1811*IFERROR(INDEX(Articles!$D:$D,MATCH(B1811,Articles!$B:$B,0)),0))</f>
        <v/>
      </c>
      <c r="I1811" s="9" t="str">
        <f>IF(OR(E1811="",H1811=""),"",E1811-H1811)</f>
        <v/>
      </c>
      <c r="J1811" s="4"/>
    </row>
    <row r="1812">
      <c r="A1812" s="7"/>
      <c r="B1812" s="4"/>
      <c r="C1812" s="6"/>
      <c r="D1812" s="5" t="str">
        <f>IF(B1812="","",IFERROR(INDEX(Articles!$E:$E,MATCH(B1812,Articles!$B:$B,0)),""))</f>
        <v/>
      </c>
      <c r="E1812" s="9" t="str">
        <f>IF(OR(C1812="",D1812=""),"",C1812*D1812)</f>
        <v/>
      </c>
      <c r="F1812" s="4"/>
      <c r="G1812" s="4"/>
      <c r="H1812" s="9" t="str">
        <f>IF(OR(B1812="",C1812=""),"",C1812*IFERROR(INDEX(Articles!$D:$D,MATCH(B1812,Articles!$B:$B,0)),0))</f>
        <v/>
      </c>
      <c r="I1812" s="9" t="str">
        <f>IF(OR(E1812="",H1812=""),"",E1812-H1812)</f>
        <v/>
      </c>
      <c r="J1812" s="4"/>
    </row>
    <row r="1813">
      <c r="A1813" s="7"/>
      <c r="B1813" s="4"/>
      <c r="C1813" s="6"/>
      <c r="D1813" s="5" t="str">
        <f>IF(B1813="","",IFERROR(INDEX(Articles!$E:$E,MATCH(B1813,Articles!$B:$B,0)),""))</f>
        <v/>
      </c>
      <c r="E1813" s="9" t="str">
        <f>IF(OR(C1813="",D1813=""),"",C1813*D1813)</f>
        <v/>
      </c>
      <c r="F1813" s="4"/>
      <c r="G1813" s="4"/>
      <c r="H1813" s="9" t="str">
        <f>IF(OR(B1813="",C1813=""),"",C1813*IFERROR(INDEX(Articles!$D:$D,MATCH(B1813,Articles!$B:$B,0)),0))</f>
        <v/>
      </c>
      <c r="I1813" s="9" t="str">
        <f>IF(OR(E1813="",H1813=""),"",E1813-H1813)</f>
        <v/>
      </c>
      <c r="J1813" s="4"/>
    </row>
    <row r="1814">
      <c r="A1814" s="7"/>
      <c r="B1814" s="4"/>
      <c r="C1814" s="6"/>
      <c r="D1814" s="5" t="str">
        <f>IF(B1814="","",IFERROR(INDEX(Articles!$E:$E,MATCH(B1814,Articles!$B:$B,0)),""))</f>
        <v/>
      </c>
      <c r="E1814" s="9" t="str">
        <f>IF(OR(C1814="",D1814=""),"",C1814*D1814)</f>
        <v/>
      </c>
      <c r="F1814" s="4"/>
      <c r="G1814" s="4"/>
      <c r="H1814" s="9" t="str">
        <f>IF(OR(B1814="",C1814=""),"",C1814*IFERROR(INDEX(Articles!$D:$D,MATCH(B1814,Articles!$B:$B,0)),0))</f>
        <v/>
      </c>
      <c r="I1814" s="9" t="str">
        <f>IF(OR(E1814="",H1814=""),"",E1814-H1814)</f>
        <v/>
      </c>
      <c r="J1814" s="4"/>
    </row>
    <row r="1815">
      <c r="A1815" s="7"/>
      <c r="B1815" s="4"/>
      <c r="C1815" s="6"/>
      <c r="D1815" s="5" t="str">
        <f>IF(B1815="","",IFERROR(INDEX(Articles!$E:$E,MATCH(B1815,Articles!$B:$B,0)),""))</f>
        <v/>
      </c>
      <c r="E1815" s="9" t="str">
        <f>IF(OR(C1815="",D1815=""),"",C1815*D1815)</f>
        <v/>
      </c>
      <c r="F1815" s="4"/>
      <c r="G1815" s="4"/>
      <c r="H1815" s="9" t="str">
        <f>IF(OR(B1815="",C1815=""),"",C1815*IFERROR(INDEX(Articles!$D:$D,MATCH(B1815,Articles!$B:$B,0)),0))</f>
        <v/>
      </c>
      <c r="I1815" s="9" t="str">
        <f>IF(OR(E1815="",H1815=""),"",E1815-H1815)</f>
        <v/>
      </c>
      <c r="J1815" s="4"/>
    </row>
    <row r="1816">
      <c r="A1816" s="7"/>
      <c r="B1816" s="4"/>
      <c r="C1816" s="6"/>
      <c r="D1816" s="5" t="str">
        <f>IF(B1816="","",IFERROR(INDEX(Articles!$E:$E,MATCH(B1816,Articles!$B:$B,0)),""))</f>
        <v/>
      </c>
      <c r="E1816" s="9" t="str">
        <f>IF(OR(C1816="",D1816=""),"",C1816*D1816)</f>
        <v/>
      </c>
      <c r="F1816" s="4"/>
      <c r="G1816" s="4"/>
      <c r="H1816" s="9" t="str">
        <f>IF(OR(B1816="",C1816=""),"",C1816*IFERROR(INDEX(Articles!$D:$D,MATCH(B1816,Articles!$B:$B,0)),0))</f>
        <v/>
      </c>
      <c r="I1816" s="9" t="str">
        <f>IF(OR(E1816="",H1816=""),"",E1816-H1816)</f>
        <v/>
      </c>
      <c r="J1816" s="4"/>
    </row>
    <row r="1817">
      <c r="A1817" s="7"/>
      <c r="B1817" s="4"/>
      <c r="C1817" s="6"/>
      <c r="D1817" s="5" t="str">
        <f>IF(B1817="","",IFERROR(INDEX(Articles!$E:$E,MATCH(B1817,Articles!$B:$B,0)),""))</f>
        <v/>
      </c>
      <c r="E1817" s="9" t="str">
        <f>IF(OR(C1817="",D1817=""),"",C1817*D1817)</f>
        <v/>
      </c>
      <c r="F1817" s="4"/>
      <c r="G1817" s="4"/>
      <c r="H1817" s="9" t="str">
        <f>IF(OR(B1817="",C1817=""),"",C1817*IFERROR(INDEX(Articles!$D:$D,MATCH(B1817,Articles!$B:$B,0)),0))</f>
        <v/>
      </c>
      <c r="I1817" s="9" t="str">
        <f>IF(OR(E1817="",H1817=""),"",E1817-H1817)</f>
        <v/>
      </c>
      <c r="J1817" s="4"/>
    </row>
    <row r="1818">
      <c r="A1818" s="7"/>
      <c r="B1818" s="4"/>
      <c r="C1818" s="6"/>
      <c r="D1818" s="5" t="str">
        <f>IF(B1818="","",IFERROR(INDEX(Articles!$E:$E,MATCH(B1818,Articles!$B:$B,0)),""))</f>
        <v/>
      </c>
      <c r="E1818" s="9" t="str">
        <f>IF(OR(C1818="",D1818=""),"",C1818*D1818)</f>
        <v/>
      </c>
      <c r="F1818" s="4"/>
      <c r="G1818" s="4"/>
      <c r="H1818" s="9" t="str">
        <f>IF(OR(B1818="",C1818=""),"",C1818*IFERROR(INDEX(Articles!$D:$D,MATCH(B1818,Articles!$B:$B,0)),0))</f>
        <v/>
      </c>
      <c r="I1818" s="9" t="str">
        <f>IF(OR(E1818="",H1818=""),"",E1818-H1818)</f>
        <v/>
      </c>
      <c r="J1818" s="4"/>
    </row>
    <row r="1819">
      <c r="A1819" s="7"/>
      <c r="B1819" s="4"/>
      <c r="C1819" s="6"/>
      <c r="D1819" s="5" t="str">
        <f>IF(B1819="","",IFERROR(INDEX(Articles!$E:$E,MATCH(B1819,Articles!$B:$B,0)),""))</f>
        <v/>
      </c>
      <c r="E1819" s="9" t="str">
        <f>IF(OR(C1819="",D1819=""),"",C1819*D1819)</f>
        <v/>
      </c>
      <c r="F1819" s="4"/>
      <c r="G1819" s="4"/>
      <c r="H1819" s="9" t="str">
        <f>IF(OR(B1819="",C1819=""),"",C1819*IFERROR(INDEX(Articles!$D:$D,MATCH(B1819,Articles!$B:$B,0)),0))</f>
        <v/>
      </c>
      <c r="I1819" s="9" t="str">
        <f>IF(OR(E1819="",H1819=""),"",E1819-H1819)</f>
        <v/>
      </c>
      <c r="J1819" s="4"/>
    </row>
    <row r="1820">
      <c r="A1820" s="7"/>
      <c r="B1820" s="4"/>
      <c r="C1820" s="6"/>
      <c r="D1820" s="5" t="str">
        <f>IF(B1820="","",IFERROR(INDEX(Articles!$E:$E,MATCH(B1820,Articles!$B:$B,0)),""))</f>
        <v/>
      </c>
      <c r="E1820" s="9" t="str">
        <f>IF(OR(C1820="",D1820=""),"",C1820*D1820)</f>
        <v/>
      </c>
      <c r="F1820" s="4"/>
      <c r="G1820" s="4"/>
      <c r="H1820" s="9" t="str">
        <f>IF(OR(B1820="",C1820=""),"",C1820*IFERROR(INDEX(Articles!$D:$D,MATCH(B1820,Articles!$B:$B,0)),0))</f>
        <v/>
      </c>
      <c r="I1820" s="9" t="str">
        <f>IF(OR(E1820="",H1820=""),"",E1820-H1820)</f>
        <v/>
      </c>
      <c r="J1820" s="4"/>
    </row>
    <row r="1821">
      <c r="A1821" s="7"/>
      <c r="B1821" s="4"/>
      <c r="C1821" s="6"/>
      <c r="D1821" s="5" t="str">
        <f>IF(B1821="","",IFERROR(INDEX(Articles!$E:$E,MATCH(B1821,Articles!$B:$B,0)),""))</f>
        <v/>
      </c>
      <c r="E1821" s="9" t="str">
        <f>IF(OR(C1821="",D1821=""),"",C1821*D1821)</f>
        <v/>
      </c>
      <c r="F1821" s="4"/>
      <c r="G1821" s="4"/>
      <c r="H1821" s="9" t="str">
        <f>IF(OR(B1821="",C1821=""),"",C1821*IFERROR(INDEX(Articles!$D:$D,MATCH(B1821,Articles!$B:$B,0)),0))</f>
        <v/>
      </c>
      <c r="I1821" s="9" t="str">
        <f>IF(OR(E1821="",H1821=""),"",E1821-H1821)</f>
        <v/>
      </c>
      <c r="J1821" s="4"/>
    </row>
    <row r="1822">
      <c r="A1822" s="7"/>
      <c r="B1822" s="4"/>
      <c r="C1822" s="6"/>
      <c r="D1822" s="5" t="str">
        <f>IF(B1822="","",IFERROR(INDEX(Articles!$E:$E,MATCH(B1822,Articles!$B:$B,0)),""))</f>
        <v/>
      </c>
      <c r="E1822" s="9" t="str">
        <f>IF(OR(C1822="",D1822=""),"",C1822*D1822)</f>
        <v/>
      </c>
      <c r="F1822" s="4"/>
      <c r="G1822" s="4"/>
      <c r="H1822" s="9" t="str">
        <f>IF(OR(B1822="",C1822=""),"",C1822*IFERROR(INDEX(Articles!$D:$D,MATCH(B1822,Articles!$B:$B,0)),0))</f>
        <v/>
      </c>
      <c r="I1822" s="9" t="str">
        <f>IF(OR(E1822="",H1822=""),"",E1822-H1822)</f>
        <v/>
      </c>
      <c r="J1822" s="4"/>
    </row>
    <row r="1823">
      <c r="A1823" s="7"/>
      <c r="B1823" s="4"/>
      <c r="C1823" s="6"/>
      <c r="D1823" s="5" t="str">
        <f>IF(B1823="","",IFERROR(INDEX(Articles!$E:$E,MATCH(B1823,Articles!$B:$B,0)),""))</f>
        <v/>
      </c>
      <c r="E1823" s="9" t="str">
        <f>IF(OR(C1823="",D1823=""),"",C1823*D1823)</f>
        <v/>
      </c>
      <c r="F1823" s="4"/>
      <c r="G1823" s="4"/>
      <c r="H1823" s="9" t="str">
        <f>IF(OR(B1823="",C1823=""),"",C1823*IFERROR(INDEX(Articles!$D:$D,MATCH(B1823,Articles!$B:$B,0)),0))</f>
        <v/>
      </c>
      <c r="I1823" s="9" t="str">
        <f>IF(OR(E1823="",H1823=""),"",E1823-H1823)</f>
        <v/>
      </c>
      <c r="J1823" s="4"/>
    </row>
    <row r="1824">
      <c r="A1824" s="7"/>
      <c r="B1824" s="4"/>
      <c r="C1824" s="6"/>
      <c r="D1824" s="5" t="str">
        <f>IF(B1824="","",IFERROR(INDEX(Articles!$E:$E,MATCH(B1824,Articles!$B:$B,0)),""))</f>
        <v/>
      </c>
      <c r="E1824" s="9" t="str">
        <f>IF(OR(C1824="",D1824=""),"",C1824*D1824)</f>
        <v/>
      </c>
      <c r="F1824" s="4"/>
      <c r="G1824" s="4"/>
      <c r="H1824" s="9" t="str">
        <f>IF(OR(B1824="",C1824=""),"",C1824*IFERROR(INDEX(Articles!$D:$D,MATCH(B1824,Articles!$B:$B,0)),0))</f>
        <v/>
      </c>
      <c r="I1824" s="9" t="str">
        <f>IF(OR(E1824="",H1824=""),"",E1824-H1824)</f>
        <v/>
      </c>
      <c r="J1824" s="4"/>
    </row>
    <row r="1825">
      <c r="A1825" s="7"/>
      <c r="B1825" s="4"/>
      <c r="C1825" s="6"/>
      <c r="D1825" s="5" t="str">
        <f>IF(B1825="","",IFERROR(INDEX(Articles!$E:$E,MATCH(B1825,Articles!$B:$B,0)),""))</f>
        <v/>
      </c>
      <c r="E1825" s="9" t="str">
        <f>IF(OR(C1825="",D1825=""),"",C1825*D1825)</f>
        <v/>
      </c>
      <c r="F1825" s="4"/>
      <c r="G1825" s="4"/>
      <c r="H1825" s="9" t="str">
        <f>IF(OR(B1825="",C1825=""),"",C1825*IFERROR(INDEX(Articles!$D:$D,MATCH(B1825,Articles!$B:$B,0)),0))</f>
        <v/>
      </c>
      <c r="I1825" s="9" t="str">
        <f>IF(OR(E1825="",H1825=""),"",E1825-H1825)</f>
        <v/>
      </c>
      <c r="J1825" s="4"/>
    </row>
    <row r="1826">
      <c r="A1826" s="7"/>
      <c r="B1826" s="4"/>
      <c r="C1826" s="6"/>
      <c r="D1826" s="5" t="str">
        <f>IF(B1826="","",IFERROR(INDEX(Articles!$E:$E,MATCH(B1826,Articles!$B:$B,0)),""))</f>
        <v/>
      </c>
      <c r="E1826" s="9" t="str">
        <f>IF(OR(C1826="",D1826=""),"",C1826*D1826)</f>
        <v/>
      </c>
      <c r="F1826" s="4"/>
      <c r="G1826" s="4"/>
      <c r="H1826" s="9" t="str">
        <f>IF(OR(B1826="",C1826=""),"",C1826*IFERROR(INDEX(Articles!$D:$D,MATCH(B1826,Articles!$B:$B,0)),0))</f>
        <v/>
      </c>
      <c r="I1826" s="9" t="str">
        <f>IF(OR(E1826="",H1826=""),"",E1826-H1826)</f>
        <v/>
      </c>
      <c r="J1826" s="4"/>
    </row>
    <row r="1827">
      <c r="A1827" s="7"/>
      <c r="B1827" s="4"/>
      <c r="C1827" s="6"/>
      <c r="D1827" s="5" t="str">
        <f>IF(B1827="","",IFERROR(INDEX(Articles!$E:$E,MATCH(B1827,Articles!$B:$B,0)),""))</f>
        <v/>
      </c>
      <c r="E1827" s="9" t="str">
        <f>IF(OR(C1827="",D1827=""),"",C1827*D1827)</f>
        <v/>
      </c>
      <c r="F1827" s="4"/>
      <c r="G1827" s="4"/>
      <c r="H1827" s="9" t="str">
        <f>IF(OR(B1827="",C1827=""),"",C1827*IFERROR(INDEX(Articles!$D:$D,MATCH(B1827,Articles!$B:$B,0)),0))</f>
        <v/>
      </c>
      <c r="I1827" s="9" t="str">
        <f>IF(OR(E1827="",H1827=""),"",E1827-H1827)</f>
        <v/>
      </c>
      <c r="J1827" s="4"/>
    </row>
    <row r="1828">
      <c r="A1828" s="7"/>
      <c r="B1828" s="4"/>
      <c r="C1828" s="6"/>
      <c r="D1828" s="5" t="str">
        <f>IF(B1828="","",IFERROR(INDEX(Articles!$E:$E,MATCH(B1828,Articles!$B:$B,0)),""))</f>
        <v/>
      </c>
      <c r="E1828" s="9" t="str">
        <f>IF(OR(C1828="",D1828=""),"",C1828*D1828)</f>
        <v/>
      </c>
      <c r="F1828" s="4"/>
      <c r="G1828" s="4"/>
      <c r="H1828" s="9" t="str">
        <f>IF(OR(B1828="",C1828=""),"",C1828*IFERROR(INDEX(Articles!$D:$D,MATCH(B1828,Articles!$B:$B,0)),0))</f>
        <v/>
      </c>
      <c r="I1828" s="9" t="str">
        <f>IF(OR(E1828="",H1828=""),"",E1828-H1828)</f>
        <v/>
      </c>
      <c r="J1828" s="4"/>
    </row>
    <row r="1829">
      <c r="A1829" s="7"/>
      <c r="B1829" s="4"/>
      <c r="C1829" s="6"/>
      <c r="D1829" s="5" t="str">
        <f>IF(B1829="","",IFERROR(INDEX(Articles!$E:$E,MATCH(B1829,Articles!$B:$B,0)),""))</f>
        <v/>
      </c>
      <c r="E1829" s="9" t="str">
        <f>IF(OR(C1829="",D1829=""),"",C1829*D1829)</f>
        <v/>
      </c>
      <c r="F1829" s="4"/>
      <c r="G1829" s="4"/>
      <c r="H1829" s="9" t="str">
        <f>IF(OR(B1829="",C1829=""),"",C1829*IFERROR(INDEX(Articles!$D:$D,MATCH(B1829,Articles!$B:$B,0)),0))</f>
        <v/>
      </c>
      <c r="I1829" s="9" t="str">
        <f>IF(OR(E1829="",H1829=""),"",E1829-H1829)</f>
        <v/>
      </c>
      <c r="J1829" s="4"/>
    </row>
    <row r="1830">
      <c r="A1830" s="7"/>
      <c r="B1830" s="4"/>
      <c r="C1830" s="6"/>
      <c r="D1830" s="5" t="str">
        <f>IF(B1830="","",IFERROR(INDEX(Articles!$E:$E,MATCH(B1830,Articles!$B:$B,0)),""))</f>
        <v/>
      </c>
      <c r="E1830" s="9" t="str">
        <f>IF(OR(C1830="",D1830=""),"",C1830*D1830)</f>
        <v/>
      </c>
      <c r="F1830" s="4"/>
      <c r="G1830" s="4"/>
      <c r="H1830" s="9" t="str">
        <f>IF(OR(B1830="",C1830=""),"",C1830*IFERROR(INDEX(Articles!$D:$D,MATCH(B1830,Articles!$B:$B,0)),0))</f>
        <v/>
      </c>
      <c r="I1830" s="9" t="str">
        <f>IF(OR(E1830="",H1830=""),"",E1830-H1830)</f>
        <v/>
      </c>
      <c r="J1830" s="4"/>
    </row>
    <row r="1831">
      <c r="A1831" s="7"/>
      <c r="B1831" s="4"/>
      <c r="C1831" s="6"/>
      <c r="D1831" s="5" t="str">
        <f>IF(B1831="","",IFERROR(INDEX(Articles!$E:$E,MATCH(B1831,Articles!$B:$B,0)),""))</f>
        <v/>
      </c>
      <c r="E1831" s="9" t="str">
        <f>IF(OR(C1831="",D1831=""),"",C1831*D1831)</f>
        <v/>
      </c>
      <c r="F1831" s="4"/>
      <c r="G1831" s="4"/>
      <c r="H1831" s="9" t="str">
        <f>IF(OR(B1831="",C1831=""),"",C1831*IFERROR(INDEX(Articles!$D:$D,MATCH(B1831,Articles!$B:$B,0)),0))</f>
        <v/>
      </c>
      <c r="I1831" s="9" t="str">
        <f>IF(OR(E1831="",H1831=""),"",E1831-H1831)</f>
        <v/>
      </c>
      <c r="J1831" s="4"/>
    </row>
    <row r="1832">
      <c r="A1832" s="7"/>
      <c r="B1832" s="4"/>
      <c r="C1832" s="6"/>
      <c r="D1832" s="5" t="str">
        <f>IF(B1832="","",IFERROR(INDEX(Articles!$E:$E,MATCH(B1832,Articles!$B:$B,0)),""))</f>
        <v/>
      </c>
      <c r="E1832" s="9" t="str">
        <f>IF(OR(C1832="",D1832=""),"",C1832*D1832)</f>
        <v/>
      </c>
      <c r="F1832" s="4"/>
      <c r="G1832" s="4"/>
      <c r="H1832" s="9" t="str">
        <f>IF(OR(B1832="",C1832=""),"",C1832*IFERROR(INDEX(Articles!$D:$D,MATCH(B1832,Articles!$B:$B,0)),0))</f>
        <v/>
      </c>
      <c r="I1832" s="9" t="str">
        <f>IF(OR(E1832="",H1832=""),"",E1832-H1832)</f>
        <v/>
      </c>
      <c r="J1832" s="4"/>
    </row>
    <row r="1833">
      <c r="A1833" s="7"/>
      <c r="B1833" s="4"/>
      <c r="C1833" s="6"/>
      <c r="D1833" s="5" t="str">
        <f>IF(B1833="","",IFERROR(INDEX(Articles!$E:$E,MATCH(B1833,Articles!$B:$B,0)),""))</f>
        <v/>
      </c>
      <c r="E1833" s="9" t="str">
        <f>IF(OR(C1833="",D1833=""),"",C1833*D1833)</f>
        <v/>
      </c>
      <c r="F1833" s="4"/>
      <c r="G1833" s="4"/>
      <c r="H1833" s="9" t="str">
        <f>IF(OR(B1833="",C1833=""),"",C1833*IFERROR(INDEX(Articles!$D:$D,MATCH(B1833,Articles!$B:$B,0)),0))</f>
        <v/>
      </c>
      <c r="I1833" s="9" t="str">
        <f>IF(OR(E1833="",H1833=""),"",E1833-H1833)</f>
        <v/>
      </c>
      <c r="J1833" s="4"/>
    </row>
    <row r="1834">
      <c r="A1834" s="7"/>
      <c r="B1834" s="4"/>
      <c r="C1834" s="6"/>
      <c r="D1834" s="5" t="str">
        <f>IF(B1834="","",IFERROR(INDEX(Articles!$E:$E,MATCH(B1834,Articles!$B:$B,0)),""))</f>
        <v/>
      </c>
      <c r="E1834" s="9" t="str">
        <f>IF(OR(C1834="",D1834=""),"",C1834*D1834)</f>
        <v/>
      </c>
      <c r="F1834" s="4"/>
      <c r="G1834" s="4"/>
      <c r="H1834" s="9" t="str">
        <f>IF(OR(B1834="",C1834=""),"",C1834*IFERROR(INDEX(Articles!$D:$D,MATCH(B1834,Articles!$B:$B,0)),0))</f>
        <v/>
      </c>
      <c r="I1834" s="9" t="str">
        <f>IF(OR(E1834="",H1834=""),"",E1834-H1834)</f>
        <v/>
      </c>
      <c r="J1834" s="4"/>
    </row>
    <row r="1835">
      <c r="A1835" s="7"/>
      <c r="B1835" s="4"/>
      <c r="C1835" s="6"/>
      <c r="D1835" s="5" t="str">
        <f>IF(B1835="","",IFERROR(INDEX(Articles!$E:$E,MATCH(B1835,Articles!$B:$B,0)),""))</f>
        <v/>
      </c>
      <c r="E1835" s="9" t="str">
        <f>IF(OR(C1835="",D1835=""),"",C1835*D1835)</f>
        <v/>
      </c>
      <c r="F1835" s="4"/>
      <c r="G1835" s="4"/>
      <c r="H1835" s="9" t="str">
        <f>IF(OR(B1835="",C1835=""),"",C1835*IFERROR(INDEX(Articles!$D:$D,MATCH(B1835,Articles!$B:$B,0)),0))</f>
        <v/>
      </c>
      <c r="I1835" s="9" t="str">
        <f>IF(OR(E1835="",H1835=""),"",E1835-H1835)</f>
        <v/>
      </c>
      <c r="J1835" s="4"/>
    </row>
    <row r="1836">
      <c r="A1836" s="7"/>
      <c r="B1836" s="4"/>
      <c r="C1836" s="6"/>
      <c r="D1836" s="5" t="str">
        <f>IF(B1836="","",IFERROR(INDEX(Articles!$E:$E,MATCH(B1836,Articles!$B:$B,0)),""))</f>
        <v/>
      </c>
      <c r="E1836" s="9" t="str">
        <f>IF(OR(C1836="",D1836=""),"",C1836*D1836)</f>
        <v/>
      </c>
      <c r="F1836" s="4"/>
      <c r="G1836" s="4"/>
      <c r="H1836" s="9" t="str">
        <f>IF(OR(B1836="",C1836=""),"",C1836*IFERROR(INDEX(Articles!$D:$D,MATCH(B1836,Articles!$B:$B,0)),0))</f>
        <v/>
      </c>
      <c r="I1836" s="9" t="str">
        <f>IF(OR(E1836="",H1836=""),"",E1836-H1836)</f>
        <v/>
      </c>
      <c r="J1836" s="4"/>
    </row>
    <row r="1837">
      <c r="A1837" s="7"/>
      <c r="B1837" s="4"/>
      <c r="C1837" s="6"/>
      <c r="D1837" s="5" t="str">
        <f>IF(B1837="","",IFERROR(INDEX(Articles!$E:$E,MATCH(B1837,Articles!$B:$B,0)),""))</f>
        <v/>
      </c>
      <c r="E1837" s="9" t="str">
        <f>IF(OR(C1837="",D1837=""),"",C1837*D1837)</f>
        <v/>
      </c>
      <c r="F1837" s="4"/>
      <c r="G1837" s="4"/>
      <c r="H1837" s="9" t="str">
        <f>IF(OR(B1837="",C1837=""),"",C1837*IFERROR(INDEX(Articles!$D:$D,MATCH(B1837,Articles!$B:$B,0)),0))</f>
        <v/>
      </c>
      <c r="I1837" s="9" t="str">
        <f>IF(OR(E1837="",H1837=""),"",E1837-H1837)</f>
        <v/>
      </c>
      <c r="J1837" s="4"/>
    </row>
    <row r="1838">
      <c r="A1838" s="7"/>
      <c r="B1838" s="4"/>
      <c r="C1838" s="6"/>
      <c r="D1838" s="5" t="str">
        <f>IF(B1838="","",IFERROR(INDEX(Articles!$E:$E,MATCH(B1838,Articles!$B:$B,0)),""))</f>
        <v/>
      </c>
      <c r="E1838" s="9" t="str">
        <f>IF(OR(C1838="",D1838=""),"",C1838*D1838)</f>
        <v/>
      </c>
      <c r="F1838" s="4"/>
      <c r="G1838" s="4"/>
      <c r="H1838" s="9" t="str">
        <f>IF(OR(B1838="",C1838=""),"",C1838*IFERROR(INDEX(Articles!$D:$D,MATCH(B1838,Articles!$B:$B,0)),0))</f>
        <v/>
      </c>
      <c r="I1838" s="9" t="str">
        <f>IF(OR(E1838="",H1838=""),"",E1838-H1838)</f>
        <v/>
      </c>
      <c r="J1838" s="4"/>
    </row>
    <row r="1839">
      <c r="A1839" s="7"/>
      <c r="B1839" s="4"/>
      <c r="C1839" s="6"/>
      <c r="D1839" s="5" t="str">
        <f>IF(B1839="","",IFERROR(INDEX(Articles!$E:$E,MATCH(B1839,Articles!$B:$B,0)),""))</f>
        <v/>
      </c>
      <c r="E1839" s="9" t="str">
        <f>IF(OR(C1839="",D1839=""),"",C1839*D1839)</f>
        <v/>
      </c>
      <c r="F1839" s="4"/>
      <c r="G1839" s="4"/>
      <c r="H1839" s="9" t="str">
        <f>IF(OR(B1839="",C1839=""),"",C1839*IFERROR(INDEX(Articles!$D:$D,MATCH(B1839,Articles!$B:$B,0)),0))</f>
        <v/>
      </c>
      <c r="I1839" s="9" t="str">
        <f>IF(OR(E1839="",H1839=""),"",E1839-H1839)</f>
        <v/>
      </c>
      <c r="J1839" s="4"/>
    </row>
    <row r="1840">
      <c r="A1840" s="7"/>
      <c r="B1840" s="4"/>
      <c r="C1840" s="6"/>
      <c r="D1840" s="5" t="str">
        <f>IF(B1840="","",IFERROR(INDEX(Articles!$E:$E,MATCH(B1840,Articles!$B:$B,0)),""))</f>
        <v/>
      </c>
      <c r="E1840" s="9" t="str">
        <f>IF(OR(C1840="",D1840=""),"",C1840*D1840)</f>
        <v/>
      </c>
      <c r="F1840" s="4"/>
      <c r="G1840" s="4"/>
      <c r="H1840" s="9" t="str">
        <f>IF(OR(B1840="",C1840=""),"",C1840*IFERROR(INDEX(Articles!$D:$D,MATCH(B1840,Articles!$B:$B,0)),0))</f>
        <v/>
      </c>
      <c r="I1840" s="9" t="str">
        <f>IF(OR(E1840="",H1840=""),"",E1840-H1840)</f>
        <v/>
      </c>
      <c r="J1840" s="4"/>
    </row>
    <row r="1841">
      <c r="A1841" s="7"/>
      <c r="B1841" s="4"/>
      <c r="C1841" s="6"/>
      <c r="D1841" s="5" t="str">
        <f>IF(B1841="","",IFERROR(INDEX(Articles!$E:$E,MATCH(B1841,Articles!$B:$B,0)),""))</f>
        <v/>
      </c>
      <c r="E1841" s="9" t="str">
        <f>IF(OR(C1841="",D1841=""),"",C1841*D1841)</f>
        <v/>
      </c>
      <c r="F1841" s="4"/>
      <c r="G1841" s="4"/>
      <c r="H1841" s="9" t="str">
        <f>IF(OR(B1841="",C1841=""),"",C1841*IFERROR(INDEX(Articles!$D:$D,MATCH(B1841,Articles!$B:$B,0)),0))</f>
        <v/>
      </c>
      <c r="I1841" s="9" t="str">
        <f>IF(OR(E1841="",H1841=""),"",E1841-H1841)</f>
        <v/>
      </c>
      <c r="J1841" s="4"/>
    </row>
    <row r="1842">
      <c r="A1842" s="7"/>
      <c r="B1842" s="4"/>
      <c r="C1842" s="6"/>
      <c r="D1842" s="5" t="str">
        <f>IF(B1842="","",IFERROR(INDEX(Articles!$E:$E,MATCH(B1842,Articles!$B:$B,0)),""))</f>
        <v/>
      </c>
      <c r="E1842" s="9" t="str">
        <f>IF(OR(C1842="",D1842=""),"",C1842*D1842)</f>
        <v/>
      </c>
      <c r="F1842" s="4"/>
      <c r="G1842" s="4"/>
      <c r="H1842" s="9" t="str">
        <f>IF(OR(B1842="",C1842=""),"",C1842*IFERROR(INDEX(Articles!$D:$D,MATCH(B1842,Articles!$B:$B,0)),0))</f>
        <v/>
      </c>
      <c r="I1842" s="9" t="str">
        <f>IF(OR(E1842="",H1842=""),"",E1842-H1842)</f>
        <v/>
      </c>
      <c r="J1842" s="4"/>
    </row>
    <row r="1843">
      <c r="A1843" s="7"/>
      <c r="B1843" s="4"/>
      <c r="C1843" s="6"/>
      <c r="D1843" s="5" t="str">
        <f>IF(B1843="","",IFERROR(INDEX(Articles!$E:$E,MATCH(B1843,Articles!$B:$B,0)),""))</f>
        <v/>
      </c>
      <c r="E1843" s="9" t="str">
        <f>IF(OR(C1843="",D1843=""),"",C1843*D1843)</f>
        <v/>
      </c>
      <c r="F1843" s="4"/>
      <c r="G1843" s="4"/>
      <c r="H1843" s="9" t="str">
        <f>IF(OR(B1843="",C1843=""),"",C1843*IFERROR(INDEX(Articles!$D:$D,MATCH(B1843,Articles!$B:$B,0)),0))</f>
        <v/>
      </c>
      <c r="I1843" s="9" t="str">
        <f>IF(OR(E1843="",H1843=""),"",E1843-H1843)</f>
        <v/>
      </c>
      <c r="J1843" s="4"/>
    </row>
    <row r="1844">
      <c r="A1844" s="7"/>
      <c r="B1844" s="4"/>
      <c r="C1844" s="6"/>
      <c r="D1844" s="5" t="str">
        <f>IF(B1844="","",IFERROR(INDEX(Articles!$E:$E,MATCH(B1844,Articles!$B:$B,0)),""))</f>
        <v/>
      </c>
      <c r="E1844" s="9" t="str">
        <f>IF(OR(C1844="",D1844=""),"",C1844*D1844)</f>
        <v/>
      </c>
      <c r="F1844" s="4"/>
      <c r="G1844" s="4"/>
      <c r="H1844" s="9" t="str">
        <f>IF(OR(B1844="",C1844=""),"",C1844*IFERROR(INDEX(Articles!$D:$D,MATCH(B1844,Articles!$B:$B,0)),0))</f>
        <v/>
      </c>
      <c r="I1844" s="9" t="str">
        <f>IF(OR(E1844="",H1844=""),"",E1844-H1844)</f>
        <v/>
      </c>
      <c r="J1844" s="4"/>
    </row>
    <row r="1845">
      <c r="A1845" s="7"/>
      <c r="B1845" s="4"/>
      <c r="C1845" s="6"/>
      <c r="D1845" s="5" t="str">
        <f>IF(B1845="","",IFERROR(INDEX(Articles!$E:$E,MATCH(B1845,Articles!$B:$B,0)),""))</f>
        <v/>
      </c>
      <c r="E1845" s="9" t="str">
        <f>IF(OR(C1845="",D1845=""),"",C1845*D1845)</f>
        <v/>
      </c>
      <c r="F1845" s="4"/>
      <c r="G1845" s="4"/>
      <c r="H1845" s="9" t="str">
        <f>IF(OR(B1845="",C1845=""),"",C1845*IFERROR(INDEX(Articles!$D:$D,MATCH(B1845,Articles!$B:$B,0)),0))</f>
        <v/>
      </c>
      <c r="I1845" s="9" t="str">
        <f>IF(OR(E1845="",H1845=""),"",E1845-H1845)</f>
        <v/>
      </c>
      <c r="J1845" s="4"/>
    </row>
    <row r="1846">
      <c r="A1846" s="7"/>
      <c r="B1846" s="4"/>
      <c r="C1846" s="6"/>
      <c r="D1846" s="5" t="str">
        <f>IF(B1846="","",IFERROR(INDEX(Articles!$E:$E,MATCH(B1846,Articles!$B:$B,0)),""))</f>
        <v/>
      </c>
      <c r="E1846" s="9" t="str">
        <f>IF(OR(C1846="",D1846=""),"",C1846*D1846)</f>
        <v/>
      </c>
      <c r="F1846" s="4"/>
      <c r="G1846" s="4"/>
      <c r="H1846" s="9" t="str">
        <f>IF(OR(B1846="",C1846=""),"",C1846*IFERROR(INDEX(Articles!$D:$D,MATCH(B1846,Articles!$B:$B,0)),0))</f>
        <v/>
      </c>
      <c r="I1846" s="9" t="str">
        <f>IF(OR(E1846="",H1846=""),"",E1846-H1846)</f>
        <v/>
      </c>
      <c r="J1846" s="4"/>
    </row>
    <row r="1847">
      <c r="A1847" s="7"/>
      <c r="B1847" s="4"/>
      <c r="C1847" s="6"/>
      <c r="D1847" s="5" t="str">
        <f>IF(B1847="","",IFERROR(INDEX(Articles!$E:$E,MATCH(B1847,Articles!$B:$B,0)),""))</f>
        <v/>
      </c>
      <c r="E1847" s="9" t="str">
        <f>IF(OR(C1847="",D1847=""),"",C1847*D1847)</f>
        <v/>
      </c>
      <c r="F1847" s="4"/>
      <c r="G1847" s="4"/>
      <c r="H1847" s="9" t="str">
        <f>IF(OR(B1847="",C1847=""),"",C1847*IFERROR(INDEX(Articles!$D:$D,MATCH(B1847,Articles!$B:$B,0)),0))</f>
        <v/>
      </c>
      <c r="I1847" s="9" t="str">
        <f>IF(OR(E1847="",H1847=""),"",E1847-H1847)</f>
        <v/>
      </c>
      <c r="J1847" s="4"/>
    </row>
    <row r="1848">
      <c r="A1848" s="7"/>
      <c r="B1848" s="4"/>
      <c r="C1848" s="6"/>
      <c r="D1848" s="5" t="str">
        <f>IF(B1848="","",IFERROR(INDEX(Articles!$E:$E,MATCH(B1848,Articles!$B:$B,0)),""))</f>
        <v/>
      </c>
      <c r="E1848" s="9" t="str">
        <f>IF(OR(C1848="",D1848=""),"",C1848*D1848)</f>
        <v/>
      </c>
      <c r="F1848" s="4"/>
      <c r="G1848" s="4"/>
      <c r="H1848" s="9" t="str">
        <f>IF(OR(B1848="",C1848=""),"",C1848*IFERROR(INDEX(Articles!$D:$D,MATCH(B1848,Articles!$B:$B,0)),0))</f>
        <v/>
      </c>
      <c r="I1848" s="9" t="str">
        <f>IF(OR(E1848="",H1848=""),"",E1848-H1848)</f>
        <v/>
      </c>
      <c r="J1848" s="4"/>
    </row>
    <row r="1849">
      <c r="A1849" s="7"/>
      <c r="B1849" s="4"/>
      <c r="C1849" s="6"/>
      <c r="D1849" s="5" t="str">
        <f>IF(B1849="","",IFERROR(INDEX(Articles!$E:$E,MATCH(B1849,Articles!$B:$B,0)),""))</f>
        <v/>
      </c>
      <c r="E1849" s="9" t="str">
        <f>IF(OR(C1849="",D1849=""),"",C1849*D1849)</f>
        <v/>
      </c>
      <c r="F1849" s="4"/>
      <c r="G1849" s="4"/>
      <c r="H1849" s="9" t="str">
        <f>IF(OR(B1849="",C1849=""),"",C1849*IFERROR(INDEX(Articles!$D:$D,MATCH(B1849,Articles!$B:$B,0)),0))</f>
        <v/>
      </c>
      <c r="I1849" s="9" t="str">
        <f>IF(OR(E1849="",H1849=""),"",E1849-H1849)</f>
        <v/>
      </c>
      <c r="J1849" s="4"/>
    </row>
    <row r="1850">
      <c r="A1850" s="7"/>
      <c r="B1850" s="4"/>
      <c r="C1850" s="6"/>
      <c r="D1850" s="5" t="str">
        <f>IF(B1850="","",IFERROR(INDEX(Articles!$E:$E,MATCH(B1850,Articles!$B:$B,0)),""))</f>
        <v/>
      </c>
      <c r="E1850" s="9" t="str">
        <f>IF(OR(C1850="",D1850=""),"",C1850*D1850)</f>
        <v/>
      </c>
      <c r="F1850" s="4"/>
      <c r="G1850" s="4"/>
      <c r="H1850" s="9" t="str">
        <f>IF(OR(B1850="",C1850=""),"",C1850*IFERROR(INDEX(Articles!$D:$D,MATCH(B1850,Articles!$B:$B,0)),0))</f>
        <v/>
      </c>
      <c r="I1850" s="9" t="str">
        <f>IF(OR(E1850="",H1850=""),"",E1850-H1850)</f>
        <v/>
      </c>
      <c r="J1850" s="4"/>
    </row>
    <row r="1851">
      <c r="A1851" s="7"/>
      <c r="B1851" s="4"/>
      <c r="C1851" s="6"/>
      <c r="D1851" s="5" t="str">
        <f>IF(B1851="","",IFERROR(INDEX(Articles!$E:$E,MATCH(B1851,Articles!$B:$B,0)),""))</f>
        <v/>
      </c>
      <c r="E1851" s="9" t="str">
        <f>IF(OR(C1851="",D1851=""),"",C1851*D1851)</f>
        <v/>
      </c>
      <c r="F1851" s="4"/>
      <c r="G1851" s="4"/>
      <c r="H1851" s="9" t="str">
        <f>IF(OR(B1851="",C1851=""),"",C1851*IFERROR(INDEX(Articles!$D:$D,MATCH(B1851,Articles!$B:$B,0)),0))</f>
        <v/>
      </c>
      <c r="I1851" s="9" t="str">
        <f>IF(OR(E1851="",H1851=""),"",E1851-H1851)</f>
        <v/>
      </c>
      <c r="J1851" s="4"/>
    </row>
    <row r="1852">
      <c r="A1852" s="7"/>
      <c r="B1852" s="4"/>
      <c r="C1852" s="6"/>
      <c r="D1852" s="5" t="str">
        <f>IF(B1852="","",IFERROR(INDEX(Articles!$E:$E,MATCH(B1852,Articles!$B:$B,0)),""))</f>
        <v/>
      </c>
      <c r="E1852" s="9" t="str">
        <f>IF(OR(C1852="",D1852=""),"",C1852*D1852)</f>
        <v/>
      </c>
      <c r="F1852" s="4"/>
      <c r="G1852" s="4"/>
      <c r="H1852" s="9" t="str">
        <f>IF(OR(B1852="",C1852=""),"",C1852*IFERROR(INDEX(Articles!$D:$D,MATCH(B1852,Articles!$B:$B,0)),0))</f>
        <v/>
      </c>
      <c r="I1852" s="9" t="str">
        <f>IF(OR(E1852="",H1852=""),"",E1852-H1852)</f>
        <v/>
      </c>
      <c r="J1852" s="4"/>
    </row>
    <row r="1853">
      <c r="A1853" s="7"/>
      <c r="B1853" s="4"/>
      <c r="C1853" s="6"/>
      <c r="D1853" s="5" t="str">
        <f>IF(B1853="","",IFERROR(INDEX(Articles!$E:$E,MATCH(B1853,Articles!$B:$B,0)),""))</f>
        <v/>
      </c>
      <c r="E1853" s="9" t="str">
        <f>IF(OR(C1853="",D1853=""),"",C1853*D1853)</f>
        <v/>
      </c>
      <c r="F1853" s="4"/>
      <c r="G1853" s="4"/>
      <c r="H1853" s="9" t="str">
        <f>IF(OR(B1853="",C1853=""),"",C1853*IFERROR(INDEX(Articles!$D:$D,MATCH(B1853,Articles!$B:$B,0)),0))</f>
        <v/>
      </c>
      <c r="I1853" s="9" t="str">
        <f>IF(OR(E1853="",H1853=""),"",E1853-H1853)</f>
        <v/>
      </c>
      <c r="J1853" s="4"/>
    </row>
    <row r="1854">
      <c r="A1854" s="7"/>
      <c r="B1854" s="4"/>
      <c r="C1854" s="6"/>
      <c r="D1854" s="5" t="str">
        <f>IF(B1854="","",IFERROR(INDEX(Articles!$E:$E,MATCH(B1854,Articles!$B:$B,0)),""))</f>
        <v/>
      </c>
      <c r="E1854" s="9" t="str">
        <f>IF(OR(C1854="",D1854=""),"",C1854*D1854)</f>
        <v/>
      </c>
      <c r="F1854" s="4"/>
      <c r="G1854" s="4"/>
      <c r="H1854" s="9" t="str">
        <f>IF(OR(B1854="",C1854=""),"",C1854*IFERROR(INDEX(Articles!$D:$D,MATCH(B1854,Articles!$B:$B,0)),0))</f>
        <v/>
      </c>
      <c r="I1854" s="9" t="str">
        <f>IF(OR(E1854="",H1854=""),"",E1854-H1854)</f>
        <v/>
      </c>
      <c r="J1854" s="4"/>
    </row>
    <row r="1855">
      <c r="A1855" s="7"/>
      <c r="B1855" s="4"/>
      <c r="C1855" s="6"/>
      <c r="D1855" s="5" t="str">
        <f>IF(B1855="","",IFERROR(INDEX(Articles!$E:$E,MATCH(B1855,Articles!$B:$B,0)),""))</f>
        <v/>
      </c>
      <c r="E1855" s="9" t="str">
        <f>IF(OR(C1855="",D1855=""),"",C1855*D1855)</f>
        <v/>
      </c>
      <c r="F1855" s="4"/>
      <c r="G1855" s="4"/>
      <c r="H1855" s="9" t="str">
        <f>IF(OR(B1855="",C1855=""),"",C1855*IFERROR(INDEX(Articles!$D:$D,MATCH(B1855,Articles!$B:$B,0)),0))</f>
        <v/>
      </c>
      <c r="I1855" s="9" t="str">
        <f>IF(OR(E1855="",H1855=""),"",E1855-H1855)</f>
        <v/>
      </c>
      <c r="J1855" s="4"/>
    </row>
    <row r="1856">
      <c r="A1856" s="7"/>
      <c r="B1856" s="4"/>
      <c r="C1856" s="6"/>
      <c r="D1856" s="5" t="str">
        <f>IF(B1856="","",IFERROR(INDEX(Articles!$E:$E,MATCH(B1856,Articles!$B:$B,0)),""))</f>
        <v/>
      </c>
      <c r="E1856" s="9" t="str">
        <f>IF(OR(C1856="",D1856=""),"",C1856*D1856)</f>
        <v/>
      </c>
      <c r="F1856" s="4"/>
      <c r="G1856" s="4"/>
      <c r="H1856" s="9" t="str">
        <f>IF(OR(B1856="",C1856=""),"",C1856*IFERROR(INDEX(Articles!$D:$D,MATCH(B1856,Articles!$B:$B,0)),0))</f>
        <v/>
      </c>
      <c r="I1856" s="9" t="str">
        <f>IF(OR(E1856="",H1856=""),"",E1856-H1856)</f>
        <v/>
      </c>
      <c r="J1856" s="4"/>
    </row>
    <row r="1857">
      <c r="A1857" s="7"/>
      <c r="B1857" s="4"/>
      <c r="C1857" s="6"/>
      <c r="D1857" s="5" t="str">
        <f>IF(B1857="","",IFERROR(INDEX(Articles!$E:$E,MATCH(B1857,Articles!$B:$B,0)),""))</f>
        <v/>
      </c>
      <c r="E1857" s="9" t="str">
        <f>IF(OR(C1857="",D1857=""),"",C1857*D1857)</f>
        <v/>
      </c>
      <c r="F1857" s="4"/>
      <c r="G1857" s="4"/>
      <c r="H1857" s="9" t="str">
        <f>IF(OR(B1857="",C1857=""),"",C1857*IFERROR(INDEX(Articles!$D:$D,MATCH(B1857,Articles!$B:$B,0)),0))</f>
        <v/>
      </c>
      <c r="I1857" s="9" t="str">
        <f>IF(OR(E1857="",H1857=""),"",E1857-H1857)</f>
        <v/>
      </c>
      <c r="J1857" s="4"/>
    </row>
    <row r="1858">
      <c r="A1858" s="7"/>
      <c r="B1858" s="4"/>
      <c r="C1858" s="6"/>
      <c r="D1858" s="5" t="str">
        <f>IF(B1858="","",IFERROR(INDEX(Articles!$E:$E,MATCH(B1858,Articles!$B:$B,0)),""))</f>
        <v/>
      </c>
      <c r="E1858" s="9" t="str">
        <f>IF(OR(C1858="",D1858=""),"",C1858*D1858)</f>
        <v/>
      </c>
      <c r="F1858" s="4"/>
      <c r="G1858" s="4"/>
      <c r="H1858" s="9" t="str">
        <f>IF(OR(B1858="",C1858=""),"",C1858*IFERROR(INDEX(Articles!$D:$D,MATCH(B1858,Articles!$B:$B,0)),0))</f>
        <v/>
      </c>
      <c r="I1858" s="9" t="str">
        <f>IF(OR(E1858="",H1858=""),"",E1858-H1858)</f>
        <v/>
      </c>
      <c r="J1858" s="4"/>
    </row>
    <row r="1859">
      <c r="A1859" s="7"/>
      <c r="B1859" s="4"/>
      <c r="C1859" s="6"/>
      <c r="D1859" s="5" t="str">
        <f>IF(B1859="","",IFERROR(INDEX(Articles!$E:$E,MATCH(B1859,Articles!$B:$B,0)),""))</f>
        <v/>
      </c>
      <c r="E1859" s="9" t="str">
        <f>IF(OR(C1859="",D1859=""),"",C1859*D1859)</f>
        <v/>
      </c>
      <c r="F1859" s="4"/>
      <c r="G1859" s="4"/>
      <c r="H1859" s="9" t="str">
        <f>IF(OR(B1859="",C1859=""),"",C1859*IFERROR(INDEX(Articles!$D:$D,MATCH(B1859,Articles!$B:$B,0)),0))</f>
        <v/>
      </c>
      <c r="I1859" s="9" t="str">
        <f>IF(OR(E1859="",H1859=""),"",E1859-H1859)</f>
        <v/>
      </c>
      <c r="J1859" s="4"/>
    </row>
    <row r="1860">
      <c r="A1860" s="7"/>
      <c r="B1860" s="4"/>
      <c r="C1860" s="6"/>
      <c r="D1860" s="5" t="str">
        <f>IF(B1860="","",IFERROR(INDEX(Articles!$E:$E,MATCH(B1860,Articles!$B:$B,0)),""))</f>
        <v/>
      </c>
      <c r="E1860" s="9" t="str">
        <f>IF(OR(C1860="",D1860=""),"",C1860*D1860)</f>
        <v/>
      </c>
      <c r="F1860" s="4"/>
      <c r="G1860" s="4"/>
      <c r="H1860" s="9" t="str">
        <f>IF(OR(B1860="",C1860=""),"",C1860*IFERROR(INDEX(Articles!$D:$D,MATCH(B1860,Articles!$B:$B,0)),0))</f>
        <v/>
      </c>
      <c r="I1860" s="9" t="str">
        <f>IF(OR(E1860="",H1860=""),"",E1860-H1860)</f>
        <v/>
      </c>
      <c r="J1860" s="4"/>
    </row>
    <row r="1861">
      <c r="A1861" s="7"/>
      <c r="B1861" s="4"/>
      <c r="C1861" s="6"/>
      <c r="D1861" s="5" t="str">
        <f>IF(B1861="","",IFERROR(INDEX(Articles!$E:$E,MATCH(B1861,Articles!$B:$B,0)),""))</f>
        <v/>
      </c>
      <c r="E1861" s="9" t="str">
        <f>IF(OR(C1861="",D1861=""),"",C1861*D1861)</f>
        <v/>
      </c>
      <c r="F1861" s="4"/>
      <c r="G1861" s="4"/>
      <c r="H1861" s="9" t="str">
        <f>IF(OR(B1861="",C1861=""),"",C1861*IFERROR(INDEX(Articles!$D:$D,MATCH(B1861,Articles!$B:$B,0)),0))</f>
        <v/>
      </c>
      <c r="I1861" s="9" t="str">
        <f>IF(OR(E1861="",H1861=""),"",E1861-H1861)</f>
        <v/>
      </c>
      <c r="J1861" s="4"/>
    </row>
    <row r="1862">
      <c r="A1862" s="7"/>
      <c r="B1862" s="4"/>
      <c r="C1862" s="6"/>
      <c r="D1862" s="5" t="str">
        <f>IF(B1862="","",IFERROR(INDEX(Articles!$E:$E,MATCH(B1862,Articles!$B:$B,0)),""))</f>
        <v/>
      </c>
      <c r="E1862" s="9" t="str">
        <f>IF(OR(C1862="",D1862=""),"",C1862*D1862)</f>
        <v/>
      </c>
      <c r="F1862" s="4"/>
      <c r="G1862" s="4"/>
      <c r="H1862" s="9" t="str">
        <f>IF(OR(B1862="",C1862=""),"",C1862*IFERROR(INDEX(Articles!$D:$D,MATCH(B1862,Articles!$B:$B,0)),0))</f>
        <v/>
      </c>
      <c r="I1862" s="9" t="str">
        <f>IF(OR(E1862="",H1862=""),"",E1862-H1862)</f>
        <v/>
      </c>
      <c r="J1862" s="4"/>
    </row>
    <row r="1863">
      <c r="A1863" s="7"/>
      <c r="B1863" s="4"/>
      <c r="C1863" s="6"/>
      <c r="D1863" s="5" t="str">
        <f>IF(B1863="","",IFERROR(INDEX(Articles!$E:$E,MATCH(B1863,Articles!$B:$B,0)),""))</f>
        <v/>
      </c>
      <c r="E1863" s="9" t="str">
        <f>IF(OR(C1863="",D1863=""),"",C1863*D1863)</f>
        <v/>
      </c>
      <c r="F1863" s="4"/>
      <c r="G1863" s="4"/>
      <c r="H1863" s="9" t="str">
        <f>IF(OR(B1863="",C1863=""),"",C1863*IFERROR(INDEX(Articles!$D:$D,MATCH(B1863,Articles!$B:$B,0)),0))</f>
        <v/>
      </c>
      <c r="I1863" s="9" t="str">
        <f>IF(OR(E1863="",H1863=""),"",E1863-H1863)</f>
        <v/>
      </c>
      <c r="J1863" s="4"/>
    </row>
    <row r="1864">
      <c r="A1864" s="7"/>
      <c r="B1864" s="4"/>
      <c r="C1864" s="6"/>
      <c r="D1864" s="5" t="str">
        <f>IF(B1864="","",IFERROR(INDEX(Articles!$E:$E,MATCH(B1864,Articles!$B:$B,0)),""))</f>
        <v/>
      </c>
      <c r="E1864" s="9" t="str">
        <f>IF(OR(C1864="",D1864=""),"",C1864*D1864)</f>
        <v/>
      </c>
      <c r="F1864" s="4"/>
      <c r="G1864" s="4"/>
      <c r="H1864" s="9" t="str">
        <f>IF(OR(B1864="",C1864=""),"",C1864*IFERROR(INDEX(Articles!$D:$D,MATCH(B1864,Articles!$B:$B,0)),0))</f>
        <v/>
      </c>
      <c r="I1864" s="9" t="str">
        <f>IF(OR(E1864="",H1864=""),"",E1864-H1864)</f>
        <v/>
      </c>
      <c r="J1864" s="4"/>
    </row>
    <row r="1865">
      <c r="A1865" s="7"/>
      <c r="B1865" s="4"/>
      <c r="C1865" s="6"/>
      <c r="D1865" s="5" t="str">
        <f>IF(B1865="","",IFERROR(INDEX(Articles!$E:$E,MATCH(B1865,Articles!$B:$B,0)),""))</f>
        <v/>
      </c>
      <c r="E1865" s="9" t="str">
        <f>IF(OR(C1865="",D1865=""),"",C1865*D1865)</f>
        <v/>
      </c>
      <c r="F1865" s="4"/>
      <c r="G1865" s="4"/>
      <c r="H1865" s="9" t="str">
        <f>IF(OR(B1865="",C1865=""),"",C1865*IFERROR(INDEX(Articles!$D:$D,MATCH(B1865,Articles!$B:$B,0)),0))</f>
        <v/>
      </c>
      <c r="I1865" s="9" t="str">
        <f>IF(OR(E1865="",H1865=""),"",E1865-H1865)</f>
        <v/>
      </c>
      <c r="J1865" s="4"/>
    </row>
    <row r="1866">
      <c r="A1866" s="7"/>
      <c r="B1866" s="4"/>
      <c r="C1866" s="6"/>
      <c r="D1866" s="5" t="str">
        <f>IF(B1866="","",IFERROR(INDEX(Articles!$E:$E,MATCH(B1866,Articles!$B:$B,0)),""))</f>
        <v/>
      </c>
      <c r="E1866" s="9" t="str">
        <f>IF(OR(C1866="",D1866=""),"",C1866*D1866)</f>
        <v/>
      </c>
      <c r="F1866" s="4"/>
      <c r="G1866" s="4"/>
      <c r="H1866" s="9" t="str">
        <f>IF(OR(B1866="",C1866=""),"",C1866*IFERROR(INDEX(Articles!$D:$D,MATCH(B1866,Articles!$B:$B,0)),0))</f>
        <v/>
      </c>
      <c r="I1866" s="9" t="str">
        <f>IF(OR(E1866="",H1866=""),"",E1866-H1866)</f>
        <v/>
      </c>
      <c r="J1866" s="4"/>
    </row>
    <row r="1867">
      <c r="A1867" s="7"/>
      <c r="B1867" s="4"/>
      <c r="C1867" s="6"/>
      <c r="D1867" s="5" t="str">
        <f>IF(B1867="","",IFERROR(INDEX(Articles!$E:$E,MATCH(B1867,Articles!$B:$B,0)),""))</f>
        <v/>
      </c>
      <c r="E1867" s="9" t="str">
        <f>IF(OR(C1867="",D1867=""),"",C1867*D1867)</f>
        <v/>
      </c>
      <c r="F1867" s="4"/>
      <c r="G1867" s="4"/>
      <c r="H1867" s="9" t="str">
        <f>IF(OR(B1867="",C1867=""),"",C1867*IFERROR(INDEX(Articles!$D:$D,MATCH(B1867,Articles!$B:$B,0)),0))</f>
        <v/>
      </c>
      <c r="I1867" s="9" t="str">
        <f>IF(OR(E1867="",H1867=""),"",E1867-H1867)</f>
        <v/>
      </c>
      <c r="J1867" s="4"/>
    </row>
    <row r="1868">
      <c r="A1868" s="7"/>
      <c r="B1868" s="4"/>
      <c r="C1868" s="6"/>
      <c r="D1868" s="5" t="str">
        <f>IF(B1868="","",IFERROR(INDEX(Articles!$E:$E,MATCH(B1868,Articles!$B:$B,0)),""))</f>
        <v/>
      </c>
      <c r="E1868" s="9" t="str">
        <f>IF(OR(C1868="",D1868=""),"",C1868*D1868)</f>
        <v/>
      </c>
      <c r="F1868" s="4"/>
      <c r="G1868" s="4"/>
      <c r="H1868" s="9" t="str">
        <f>IF(OR(B1868="",C1868=""),"",C1868*IFERROR(INDEX(Articles!$D:$D,MATCH(B1868,Articles!$B:$B,0)),0))</f>
        <v/>
      </c>
      <c r="I1868" s="9" t="str">
        <f>IF(OR(E1868="",H1868=""),"",E1868-H1868)</f>
        <v/>
      </c>
      <c r="J1868" s="4"/>
    </row>
    <row r="1869">
      <c r="A1869" s="7"/>
      <c r="B1869" s="4"/>
      <c r="C1869" s="6"/>
      <c r="D1869" s="5" t="str">
        <f>IF(B1869="","",IFERROR(INDEX(Articles!$E:$E,MATCH(B1869,Articles!$B:$B,0)),""))</f>
        <v/>
      </c>
      <c r="E1869" s="9" t="str">
        <f>IF(OR(C1869="",D1869=""),"",C1869*D1869)</f>
        <v/>
      </c>
      <c r="F1869" s="4"/>
      <c r="G1869" s="4"/>
      <c r="H1869" s="9" t="str">
        <f>IF(OR(B1869="",C1869=""),"",C1869*IFERROR(INDEX(Articles!$D:$D,MATCH(B1869,Articles!$B:$B,0)),0))</f>
        <v/>
      </c>
      <c r="I1869" s="9" t="str">
        <f>IF(OR(E1869="",H1869=""),"",E1869-H1869)</f>
        <v/>
      </c>
      <c r="J1869" s="4"/>
    </row>
    <row r="1870">
      <c r="A1870" s="7"/>
      <c r="B1870" s="4"/>
      <c r="C1870" s="6"/>
      <c r="D1870" s="5" t="str">
        <f>IF(B1870="","",IFERROR(INDEX(Articles!$E:$E,MATCH(B1870,Articles!$B:$B,0)),""))</f>
        <v/>
      </c>
      <c r="E1870" s="9" t="str">
        <f>IF(OR(C1870="",D1870=""),"",C1870*D1870)</f>
        <v/>
      </c>
      <c r="F1870" s="4"/>
      <c r="G1870" s="4"/>
      <c r="H1870" s="9" t="str">
        <f>IF(OR(B1870="",C1870=""),"",C1870*IFERROR(INDEX(Articles!$D:$D,MATCH(B1870,Articles!$B:$B,0)),0))</f>
        <v/>
      </c>
      <c r="I1870" s="9" t="str">
        <f>IF(OR(E1870="",H1870=""),"",E1870-H1870)</f>
        <v/>
      </c>
      <c r="J1870" s="4"/>
    </row>
    <row r="1871">
      <c r="A1871" s="7"/>
      <c r="B1871" s="4"/>
      <c r="C1871" s="6"/>
      <c r="D1871" s="5" t="str">
        <f>IF(B1871="","",IFERROR(INDEX(Articles!$E:$E,MATCH(B1871,Articles!$B:$B,0)),""))</f>
        <v/>
      </c>
      <c r="E1871" s="9" t="str">
        <f>IF(OR(C1871="",D1871=""),"",C1871*D1871)</f>
        <v/>
      </c>
      <c r="F1871" s="4"/>
      <c r="G1871" s="4"/>
      <c r="H1871" s="9" t="str">
        <f>IF(OR(B1871="",C1871=""),"",C1871*IFERROR(INDEX(Articles!$D:$D,MATCH(B1871,Articles!$B:$B,0)),0))</f>
        <v/>
      </c>
      <c r="I1871" s="9" t="str">
        <f>IF(OR(E1871="",H1871=""),"",E1871-H1871)</f>
        <v/>
      </c>
      <c r="J1871" s="4"/>
    </row>
    <row r="1872">
      <c r="A1872" s="7"/>
      <c r="B1872" s="4"/>
      <c r="C1872" s="6"/>
      <c r="D1872" s="5" t="str">
        <f>IF(B1872="","",IFERROR(INDEX(Articles!$E:$E,MATCH(B1872,Articles!$B:$B,0)),""))</f>
        <v/>
      </c>
      <c r="E1872" s="9" t="str">
        <f>IF(OR(C1872="",D1872=""),"",C1872*D1872)</f>
        <v/>
      </c>
      <c r="F1872" s="4"/>
      <c r="G1872" s="4"/>
      <c r="H1872" s="9" t="str">
        <f>IF(OR(B1872="",C1872=""),"",C1872*IFERROR(INDEX(Articles!$D:$D,MATCH(B1872,Articles!$B:$B,0)),0))</f>
        <v/>
      </c>
      <c r="I1872" s="9" t="str">
        <f>IF(OR(E1872="",H1872=""),"",E1872-H1872)</f>
        <v/>
      </c>
      <c r="J1872" s="4"/>
    </row>
    <row r="1873">
      <c r="A1873" s="7"/>
      <c r="B1873" s="4"/>
      <c r="C1873" s="6"/>
      <c r="D1873" s="5" t="str">
        <f>IF(B1873="","",IFERROR(INDEX(Articles!$E:$E,MATCH(B1873,Articles!$B:$B,0)),""))</f>
        <v/>
      </c>
      <c r="E1873" s="9" t="str">
        <f>IF(OR(C1873="",D1873=""),"",C1873*D1873)</f>
        <v/>
      </c>
      <c r="F1873" s="4"/>
      <c r="G1873" s="4"/>
      <c r="H1873" s="9" t="str">
        <f>IF(OR(B1873="",C1873=""),"",C1873*IFERROR(INDEX(Articles!$D:$D,MATCH(B1873,Articles!$B:$B,0)),0))</f>
        <v/>
      </c>
      <c r="I1873" s="9" t="str">
        <f>IF(OR(E1873="",H1873=""),"",E1873-H1873)</f>
        <v/>
      </c>
      <c r="J1873" s="4"/>
    </row>
    <row r="1874">
      <c r="A1874" s="7"/>
      <c r="B1874" s="4"/>
      <c r="C1874" s="6"/>
      <c r="D1874" s="5" t="str">
        <f>IF(B1874="","",IFERROR(INDEX(Articles!$E:$E,MATCH(B1874,Articles!$B:$B,0)),""))</f>
        <v/>
      </c>
      <c r="E1874" s="9" t="str">
        <f>IF(OR(C1874="",D1874=""),"",C1874*D1874)</f>
        <v/>
      </c>
      <c r="F1874" s="4"/>
      <c r="G1874" s="4"/>
      <c r="H1874" s="9" t="str">
        <f>IF(OR(B1874="",C1874=""),"",C1874*IFERROR(INDEX(Articles!$D:$D,MATCH(B1874,Articles!$B:$B,0)),0))</f>
        <v/>
      </c>
      <c r="I1874" s="9" t="str">
        <f>IF(OR(E1874="",H1874=""),"",E1874-H1874)</f>
        <v/>
      </c>
      <c r="J1874" s="4"/>
    </row>
    <row r="1875">
      <c r="A1875" s="7"/>
      <c r="B1875" s="4"/>
      <c r="C1875" s="6"/>
      <c r="D1875" s="5" t="str">
        <f>IF(B1875="","",IFERROR(INDEX(Articles!$E:$E,MATCH(B1875,Articles!$B:$B,0)),""))</f>
        <v/>
      </c>
      <c r="E1875" s="9" t="str">
        <f>IF(OR(C1875="",D1875=""),"",C1875*D1875)</f>
        <v/>
      </c>
      <c r="F1875" s="4"/>
      <c r="G1875" s="4"/>
      <c r="H1875" s="9" t="str">
        <f>IF(OR(B1875="",C1875=""),"",C1875*IFERROR(INDEX(Articles!$D:$D,MATCH(B1875,Articles!$B:$B,0)),0))</f>
        <v/>
      </c>
      <c r="I1875" s="9" t="str">
        <f>IF(OR(E1875="",H1875=""),"",E1875-H1875)</f>
        <v/>
      </c>
      <c r="J1875" s="4"/>
    </row>
    <row r="1876">
      <c r="A1876" s="7"/>
      <c r="B1876" s="4"/>
      <c r="C1876" s="6"/>
      <c r="D1876" s="5" t="str">
        <f>IF(B1876="","",IFERROR(INDEX(Articles!$E:$E,MATCH(B1876,Articles!$B:$B,0)),""))</f>
        <v/>
      </c>
      <c r="E1876" s="9" t="str">
        <f>IF(OR(C1876="",D1876=""),"",C1876*D1876)</f>
        <v/>
      </c>
      <c r="F1876" s="4"/>
      <c r="G1876" s="4"/>
      <c r="H1876" s="9" t="str">
        <f>IF(OR(B1876="",C1876=""),"",C1876*IFERROR(INDEX(Articles!$D:$D,MATCH(B1876,Articles!$B:$B,0)),0))</f>
        <v/>
      </c>
      <c r="I1876" s="9" t="str">
        <f>IF(OR(E1876="",H1876=""),"",E1876-H1876)</f>
        <v/>
      </c>
      <c r="J1876" s="4"/>
    </row>
    <row r="1877">
      <c r="A1877" s="7"/>
      <c r="B1877" s="4"/>
      <c r="C1877" s="6"/>
      <c r="D1877" s="5" t="str">
        <f>IF(B1877="","",IFERROR(INDEX(Articles!$E:$E,MATCH(B1877,Articles!$B:$B,0)),""))</f>
        <v/>
      </c>
      <c r="E1877" s="9" t="str">
        <f>IF(OR(C1877="",D1877=""),"",C1877*D1877)</f>
        <v/>
      </c>
      <c r="F1877" s="4"/>
      <c r="G1877" s="4"/>
      <c r="H1877" s="9" t="str">
        <f>IF(OR(B1877="",C1877=""),"",C1877*IFERROR(INDEX(Articles!$D:$D,MATCH(B1877,Articles!$B:$B,0)),0))</f>
        <v/>
      </c>
      <c r="I1877" s="9" t="str">
        <f>IF(OR(E1877="",H1877=""),"",E1877-H1877)</f>
        <v/>
      </c>
      <c r="J1877" s="4"/>
    </row>
    <row r="1878">
      <c r="A1878" s="7"/>
      <c r="B1878" s="4"/>
      <c r="C1878" s="6"/>
      <c r="D1878" s="5" t="str">
        <f>IF(B1878="","",IFERROR(INDEX(Articles!$E:$E,MATCH(B1878,Articles!$B:$B,0)),""))</f>
        <v/>
      </c>
      <c r="E1878" s="9" t="str">
        <f>IF(OR(C1878="",D1878=""),"",C1878*D1878)</f>
        <v/>
      </c>
      <c r="F1878" s="4"/>
      <c r="G1878" s="4"/>
      <c r="H1878" s="9" t="str">
        <f>IF(OR(B1878="",C1878=""),"",C1878*IFERROR(INDEX(Articles!$D:$D,MATCH(B1878,Articles!$B:$B,0)),0))</f>
        <v/>
      </c>
      <c r="I1878" s="9" t="str">
        <f>IF(OR(E1878="",H1878=""),"",E1878-H1878)</f>
        <v/>
      </c>
      <c r="J1878" s="4"/>
    </row>
    <row r="1879">
      <c r="A1879" s="7"/>
      <c r="B1879" s="4"/>
      <c r="C1879" s="6"/>
      <c r="D1879" s="5" t="str">
        <f>IF(B1879="","",IFERROR(INDEX(Articles!$E:$E,MATCH(B1879,Articles!$B:$B,0)),""))</f>
        <v/>
      </c>
      <c r="E1879" s="9" t="str">
        <f>IF(OR(C1879="",D1879=""),"",C1879*D1879)</f>
        <v/>
      </c>
      <c r="F1879" s="4"/>
      <c r="G1879" s="4"/>
      <c r="H1879" s="9" t="str">
        <f>IF(OR(B1879="",C1879=""),"",C1879*IFERROR(INDEX(Articles!$D:$D,MATCH(B1879,Articles!$B:$B,0)),0))</f>
        <v/>
      </c>
      <c r="I1879" s="9" t="str">
        <f>IF(OR(E1879="",H1879=""),"",E1879-H1879)</f>
        <v/>
      </c>
      <c r="J1879" s="4"/>
    </row>
    <row r="1880">
      <c r="A1880" s="7"/>
      <c r="B1880" s="4"/>
      <c r="C1880" s="6"/>
      <c r="D1880" s="5" t="str">
        <f>IF(B1880="","",IFERROR(INDEX(Articles!$E:$E,MATCH(B1880,Articles!$B:$B,0)),""))</f>
        <v/>
      </c>
      <c r="E1880" s="9" t="str">
        <f>IF(OR(C1880="",D1880=""),"",C1880*D1880)</f>
        <v/>
      </c>
      <c r="F1880" s="4"/>
      <c r="G1880" s="4"/>
      <c r="H1880" s="9" t="str">
        <f>IF(OR(B1880="",C1880=""),"",C1880*IFERROR(INDEX(Articles!$D:$D,MATCH(B1880,Articles!$B:$B,0)),0))</f>
        <v/>
      </c>
      <c r="I1880" s="9" t="str">
        <f>IF(OR(E1880="",H1880=""),"",E1880-H1880)</f>
        <v/>
      </c>
      <c r="J1880" s="4"/>
    </row>
    <row r="1881">
      <c r="A1881" s="7"/>
      <c r="B1881" s="4"/>
      <c r="C1881" s="6"/>
      <c r="D1881" s="5" t="str">
        <f>IF(B1881="","",IFERROR(INDEX(Articles!$E:$E,MATCH(B1881,Articles!$B:$B,0)),""))</f>
        <v/>
      </c>
      <c r="E1881" s="9" t="str">
        <f>IF(OR(C1881="",D1881=""),"",C1881*D1881)</f>
        <v/>
      </c>
      <c r="F1881" s="4"/>
      <c r="G1881" s="4"/>
      <c r="H1881" s="9" t="str">
        <f>IF(OR(B1881="",C1881=""),"",C1881*IFERROR(INDEX(Articles!$D:$D,MATCH(B1881,Articles!$B:$B,0)),0))</f>
        <v/>
      </c>
      <c r="I1881" s="9" t="str">
        <f>IF(OR(E1881="",H1881=""),"",E1881-H1881)</f>
        <v/>
      </c>
      <c r="J1881" s="4"/>
    </row>
    <row r="1882">
      <c r="A1882" s="7"/>
      <c r="B1882" s="4"/>
      <c r="C1882" s="6"/>
      <c r="D1882" s="5" t="str">
        <f>IF(B1882="","",IFERROR(INDEX(Articles!$E:$E,MATCH(B1882,Articles!$B:$B,0)),""))</f>
        <v/>
      </c>
      <c r="E1882" s="9" t="str">
        <f>IF(OR(C1882="",D1882=""),"",C1882*D1882)</f>
        <v/>
      </c>
      <c r="F1882" s="4"/>
      <c r="G1882" s="4"/>
      <c r="H1882" s="9" t="str">
        <f>IF(OR(B1882="",C1882=""),"",C1882*IFERROR(INDEX(Articles!$D:$D,MATCH(B1882,Articles!$B:$B,0)),0))</f>
        <v/>
      </c>
      <c r="I1882" s="9" t="str">
        <f>IF(OR(E1882="",H1882=""),"",E1882-H1882)</f>
        <v/>
      </c>
      <c r="J1882" s="4"/>
    </row>
    <row r="1883">
      <c r="A1883" s="7"/>
      <c r="B1883" s="4"/>
      <c r="C1883" s="6"/>
      <c r="D1883" s="5" t="str">
        <f>IF(B1883="","",IFERROR(INDEX(Articles!$E:$E,MATCH(B1883,Articles!$B:$B,0)),""))</f>
        <v/>
      </c>
      <c r="E1883" s="9" t="str">
        <f>IF(OR(C1883="",D1883=""),"",C1883*D1883)</f>
        <v/>
      </c>
      <c r="F1883" s="4"/>
      <c r="G1883" s="4"/>
      <c r="H1883" s="9" t="str">
        <f>IF(OR(B1883="",C1883=""),"",C1883*IFERROR(INDEX(Articles!$D:$D,MATCH(B1883,Articles!$B:$B,0)),0))</f>
        <v/>
      </c>
      <c r="I1883" s="9" t="str">
        <f>IF(OR(E1883="",H1883=""),"",E1883-H1883)</f>
        <v/>
      </c>
      <c r="J1883" s="4"/>
    </row>
    <row r="1884">
      <c r="A1884" s="7"/>
      <c r="B1884" s="4"/>
      <c r="C1884" s="6"/>
      <c r="D1884" s="5" t="str">
        <f>IF(B1884="","",IFERROR(INDEX(Articles!$E:$E,MATCH(B1884,Articles!$B:$B,0)),""))</f>
        <v/>
      </c>
      <c r="E1884" s="9" t="str">
        <f>IF(OR(C1884="",D1884=""),"",C1884*D1884)</f>
        <v/>
      </c>
      <c r="F1884" s="4"/>
      <c r="G1884" s="4"/>
      <c r="H1884" s="9" t="str">
        <f>IF(OR(B1884="",C1884=""),"",C1884*IFERROR(INDEX(Articles!$D:$D,MATCH(B1884,Articles!$B:$B,0)),0))</f>
        <v/>
      </c>
      <c r="I1884" s="9" t="str">
        <f>IF(OR(E1884="",H1884=""),"",E1884-H1884)</f>
        <v/>
      </c>
      <c r="J1884" s="4"/>
    </row>
    <row r="1885">
      <c r="A1885" s="7"/>
      <c r="B1885" s="4"/>
      <c r="C1885" s="6"/>
      <c r="D1885" s="5" t="str">
        <f>IF(B1885="","",IFERROR(INDEX(Articles!$E:$E,MATCH(B1885,Articles!$B:$B,0)),""))</f>
        <v/>
      </c>
      <c r="E1885" s="9" t="str">
        <f>IF(OR(C1885="",D1885=""),"",C1885*D1885)</f>
        <v/>
      </c>
      <c r="F1885" s="4"/>
      <c r="G1885" s="4"/>
      <c r="H1885" s="9" t="str">
        <f>IF(OR(B1885="",C1885=""),"",C1885*IFERROR(INDEX(Articles!$D:$D,MATCH(B1885,Articles!$B:$B,0)),0))</f>
        <v/>
      </c>
      <c r="I1885" s="9" t="str">
        <f>IF(OR(E1885="",H1885=""),"",E1885-H1885)</f>
        <v/>
      </c>
      <c r="J1885" s="4"/>
    </row>
    <row r="1886">
      <c r="A1886" s="7"/>
      <c r="B1886" s="4"/>
      <c r="C1886" s="6"/>
      <c r="D1886" s="5" t="str">
        <f>IF(B1886="","",IFERROR(INDEX(Articles!$E:$E,MATCH(B1886,Articles!$B:$B,0)),""))</f>
        <v/>
      </c>
      <c r="E1886" s="9" t="str">
        <f>IF(OR(C1886="",D1886=""),"",C1886*D1886)</f>
        <v/>
      </c>
      <c r="F1886" s="4"/>
      <c r="G1886" s="4"/>
      <c r="H1886" s="9" t="str">
        <f>IF(OR(B1886="",C1886=""),"",C1886*IFERROR(INDEX(Articles!$D:$D,MATCH(B1886,Articles!$B:$B,0)),0))</f>
        <v/>
      </c>
      <c r="I1886" s="9" t="str">
        <f>IF(OR(E1886="",H1886=""),"",E1886-H1886)</f>
        <v/>
      </c>
      <c r="J1886" s="4"/>
    </row>
    <row r="1887">
      <c r="A1887" s="7"/>
      <c r="B1887" s="4"/>
      <c r="C1887" s="6"/>
      <c r="D1887" s="5" t="str">
        <f>IF(B1887="","",IFERROR(INDEX(Articles!$E:$E,MATCH(B1887,Articles!$B:$B,0)),""))</f>
        <v/>
      </c>
      <c r="E1887" s="9" t="str">
        <f>IF(OR(C1887="",D1887=""),"",C1887*D1887)</f>
        <v/>
      </c>
      <c r="F1887" s="4"/>
      <c r="G1887" s="4"/>
      <c r="H1887" s="9" t="str">
        <f>IF(OR(B1887="",C1887=""),"",C1887*IFERROR(INDEX(Articles!$D:$D,MATCH(B1887,Articles!$B:$B,0)),0))</f>
        <v/>
      </c>
      <c r="I1887" s="9" t="str">
        <f>IF(OR(E1887="",H1887=""),"",E1887-H1887)</f>
        <v/>
      </c>
      <c r="J1887" s="4"/>
    </row>
    <row r="1888">
      <c r="A1888" s="7"/>
      <c r="B1888" s="4"/>
      <c r="C1888" s="6"/>
      <c r="D1888" s="5" t="str">
        <f>IF(B1888="","",IFERROR(INDEX(Articles!$E:$E,MATCH(B1888,Articles!$B:$B,0)),""))</f>
        <v/>
      </c>
      <c r="E1888" s="9" t="str">
        <f>IF(OR(C1888="",D1888=""),"",C1888*D1888)</f>
        <v/>
      </c>
      <c r="F1888" s="4"/>
      <c r="G1888" s="4"/>
      <c r="H1888" s="9" t="str">
        <f>IF(OR(B1888="",C1888=""),"",C1888*IFERROR(INDEX(Articles!$D:$D,MATCH(B1888,Articles!$B:$B,0)),0))</f>
        <v/>
      </c>
      <c r="I1888" s="9" t="str">
        <f>IF(OR(E1888="",H1888=""),"",E1888-H1888)</f>
        <v/>
      </c>
      <c r="J1888" s="4"/>
    </row>
    <row r="1889">
      <c r="A1889" s="7"/>
      <c r="B1889" s="4"/>
      <c r="C1889" s="6"/>
      <c r="D1889" s="5" t="str">
        <f>IF(B1889="","",IFERROR(INDEX(Articles!$E:$E,MATCH(B1889,Articles!$B:$B,0)),""))</f>
        <v/>
      </c>
      <c r="E1889" s="9" t="str">
        <f>IF(OR(C1889="",D1889=""),"",C1889*D1889)</f>
        <v/>
      </c>
      <c r="F1889" s="4"/>
      <c r="G1889" s="4"/>
      <c r="H1889" s="9" t="str">
        <f>IF(OR(B1889="",C1889=""),"",C1889*IFERROR(INDEX(Articles!$D:$D,MATCH(B1889,Articles!$B:$B,0)),0))</f>
        <v/>
      </c>
      <c r="I1889" s="9" t="str">
        <f>IF(OR(E1889="",H1889=""),"",E1889-H1889)</f>
        <v/>
      </c>
      <c r="J1889" s="4"/>
    </row>
    <row r="1890">
      <c r="A1890" s="7"/>
      <c r="B1890" s="4"/>
      <c r="C1890" s="6"/>
      <c r="D1890" s="5" t="str">
        <f>IF(B1890="","",IFERROR(INDEX(Articles!$E:$E,MATCH(B1890,Articles!$B:$B,0)),""))</f>
        <v/>
      </c>
      <c r="E1890" s="9" t="str">
        <f>IF(OR(C1890="",D1890=""),"",C1890*D1890)</f>
        <v/>
      </c>
      <c r="F1890" s="4"/>
      <c r="G1890" s="4"/>
      <c r="H1890" s="9" t="str">
        <f>IF(OR(B1890="",C1890=""),"",C1890*IFERROR(INDEX(Articles!$D:$D,MATCH(B1890,Articles!$B:$B,0)),0))</f>
        <v/>
      </c>
      <c r="I1890" s="9" t="str">
        <f>IF(OR(E1890="",H1890=""),"",E1890-H1890)</f>
        <v/>
      </c>
      <c r="J1890" s="4"/>
    </row>
    <row r="1891">
      <c r="A1891" s="7"/>
      <c r="B1891" s="4"/>
      <c r="C1891" s="6"/>
      <c r="D1891" s="5" t="str">
        <f>IF(B1891="","",IFERROR(INDEX(Articles!$E:$E,MATCH(B1891,Articles!$B:$B,0)),""))</f>
        <v/>
      </c>
      <c r="E1891" s="9" t="str">
        <f>IF(OR(C1891="",D1891=""),"",C1891*D1891)</f>
        <v/>
      </c>
      <c r="F1891" s="4"/>
      <c r="G1891" s="4"/>
      <c r="H1891" s="9" t="str">
        <f>IF(OR(B1891="",C1891=""),"",C1891*IFERROR(INDEX(Articles!$D:$D,MATCH(B1891,Articles!$B:$B,0)),0))</f>
        <v/>
      </c>
      <c r="I1891" s="9" t="str">
        <f>IF(OR(E1891="",H1891=""),"",E1891-H1891)</f>
        <v/>
      </c>
      <c r="J1891" s="4"/>
    </row>
    <row r="1892">
      <c r="A1892" s="7"/>
      <c r="B1892" s="4"/>
      <c r="C1892" s="6"/>
      <c r="D1892" s="5" t="str">
        <f>IF(B1892="","",IFERROR(INDEX(Articles!$E:$E,MATCH(B1892,Articles!$B:$B,0)),""))</f>
        <v/>
      </c>
      <c r="E1892" s="9" t="str">
        <f>IF(OR(C1892="",D1892=""),"",C1892*D1892)</f>
        <v/>
      </c>
      <c r="F1892" s="4"/>
      <c r="G1892" s="4"/>
      <c r="H1892" s="9" t="str">
        <f>IF(OR(B1892="",C1892=""),"",C1892*IFERROR(INDEX(Articles!$D:$D,MATCH(B1892,Articles!$B:$B,0)),0))</f>
        <v/>
      </c>
      <c r="I1892" s="9" t="str">
        <f>IF(OR(E1892="",H1892=""),"",E1892-H1892)</f>
        <v/>
      </c>
      <c r="J1892" s="4"/>
    </row>
    <row r="1893">
      <c r="A1893" s="7"/>
      <c r="B1893" s="4"/>
      <c r="C1893" s="6"/>
      <c r="D1893" s="5" t="str">
        <f>IF(B1893="","",IFERROR(INDEX(Articles!$E:$E,MATCH(B1893,Articles!$B:$B,0)),""))</f>
        <v/>
      </c>
      <c r="E1893" s="9" t="str">
        <f>IF(OR(C1893="",D1893=""),"",C1893*D1893)</f>
        <v/>
      </c>
      <c r="F1893" s="4"/>
      <c r="G1893" s="4"/>
      <c r="H1893" s="9" t="str">
        <f>IF(OR(B1893="",C1893=""),"",C1893*IFERROR(INDEX(Articles!$D:$D,MATCH(B1893,Articles!$B:$B,0)),0))</f>
        <v/>
      </c>
      <c r="I1893" s="9" t="str">
        <f>IF(OR(E1893="",H1893=""),"",E1893-H1893)</f>
        <v/>
      </c>
      <c r="J1893" s="4"/>
    </row>
    <row r="1894">
      <c r="A1894" s="7"/>
      <c r="B1894" s="4"/>
      <c r="C1894" s="6"/>
      <c r="D1894" s="5" t="str">
        <f>IF(B1894="","",IFERROR(INDEX(Articles!$E:$E,MATCH(B1894,Articles!$B:$B,0)),""))</f>
        <v/>
      </c>
      <c r="E1894" s="9" t="str">
        <f>IF(OR(C1894="",D1894=""),"",C1894*D1894)</f>
        <v/>
      </c>
      <c r="F1894" s="4"/>
      <c r="G1894" s="4"/>
      <c r="H1894" s="9" t="str">
        <f>IF(OR(B1894="",C1894=""),"",C1894*IFERROR(INDEX(Articles!$D:$D,MATCH(B1894,Articles!$B:$B,0)),0))</f>
        <v/>
      </c>
      <c r="I1894" s="9" t="str">
        <f>IF(OR(E1894="",H1894=""),"",E1894-H1894)</f>
        <v/>
      </c>
      <c r="J1894" s="4"/>
    </row>
    <row r="1895">
      <c r="A1895" s="7"/>
      <c r="B1895" s="4"/>
      <c r="C1895" s="6"/>
      <c r="D1895" s="5" t="str">
        <f>IF(B1895="","",IFERROR(INDEX(Articles!$E:$E,MATCH(B1895,Articles!$B:$B,0)),""))</f>
        <v/>
      </c>
      <c r="E1895" s="9" t="str">
        <f>IF(OR(C1895="",D1895=""),"",C1895*D1895)</f>
        <v/>
      </c>
      <c r="F1895" s="4"/>
      <c r="G1895" s="4"/>
      <c r="H1895" s="9" t="str">
        <f>IF(OR(B1895="",C1895=""),"",C1895*IFERROR(INDEX(Articles!$D:$D,MATCH(B1895,Articles!$B:$B,0)),0))</f>
        <v/>
      </c>
      <c r="I1895" s="9" t="str">
        <f>IF(OR(E1895="",H1895=""),"",E1895-H1895)</f>
        <v/>
      </c>
      <c r="J1895" s="4"/>
    </row>
    <row r="1896">
      <c r="A1896" s="7"/>
      <c r="B1896" s="4"/>
      <c r="C1896" s="6"/>
      <c r="D1896" s="5" t="str">
        <f>IF(B1896="","",IFERROR(INDEX(Articles!$E:$E,MATCH(B1896,Articles!$B:$B,0)),""))</f>
        <v/>
      </c>
      <c r="E1896" s="9" t="str">
        <f>IF(OR(C1896="",D1896=""),"",C1896*D1896)</f>
        <v/>
      </c>
      <c r="F1896" s="4"/>
      <c r="G1896" s="4"/>
      <c r="H1896" s="9" t="str">
        <f>IF(OR(B1896="",C1896=""),"",C1896*IFERROR(INDEX(Articles!$D:$D,MATCH(B1896,Articles!$B:$B,0)),0))</f>
        <v/>
      </c>
      <c r="I1896" s="9" t="str">
        <f>IF(OR(E1896="",H1896=""),"",E1896-H1896)</f>
        <v/>
      </c>
      <c r="J1896" s="4"/>
    </row>
    <row r="1897">
      <c r="A1897" s="7"/>
      <c r="B1897" s="4"/>
      <c r="C1897" s="6"/>
      <c r="D1897" s="5" t="str">
        <f>IF(B1897="","",IFERROR(INDEX(Articles!$E:$E,MATCH(B1897,Articles!$B:$B,0)),""))</f>
        <v/>
      </c>
      <c r="E1897" s="9" t="str">
        <f>IF(OR(C1897="",D1897=""),"",C1897*D1897)</f>
        <v/>
      </c>
      <c r="F1897" s="4"/>
      <c r="G1897" s="4"/>
      <c r="H1897" s="9" t="str">
        <f>IF(OR(B1897="",C1897=""),"",C1897*IFERROR(INDEX(Articles!$D:$D,MATCH(B1897,Articles!$B:$B,0)),0))</f>
        <v/>
      </c>
      <c r="I1897" s="9" t="str">
        <f>IF(OR(E1897="",H1897=""),"",E1897-H1897)</f>
        <v/>
      </c>
      <c r="J1897" s="4"/>
    </row>
    <row r="1898">
      <c r="A1898" s="7"/>
      <c r="B1898" s="4"/>
      <c r="C1898" s="6"/>
      <c r="D1898" s="5" t="str">
        <f>IF(B1898="","",IFERROR(INDEX(Articles!$E:$E,MATCH(B1898,Articles!$B:$B,0)),""))</f>
        <v/>
      </c>
      <c r="E1898" s="9" t="str">
        <f>IF(OR(C1898="",D1898=""),"",C1898*D1898)</f>
        <v/>
      </c>
      <c r="F1898" s="4"/>
      <c r="G1898" s="4"/>
      <c r="H1898" s="9" t="str">
        <f>IF(OR(B1898="",C1898=""),"",C1898*IFERROR(INDEX(Articles!$D:$D,MATCH(B1898,Articles!$B:$B,0)),0))</f>
        <v/>
      </c>
      <c r="I1898" s="9" t="str">
        <f>IF(OR(E1898="",H1898=""),"",E1898-H1898)</f>
        <v/>
      </c>
      <c r="J1898" s="4"/>
    </row>
    <row r="1899">
      <c r="A1899" s="7"/>
      <c r="B1899" s="4"/>
      <c r="C1899" s="6"/>
      <c r="D1899" s="5" t="str">
        <f>IF(B1899="","",IFERROR(INDEX(Articles!$E:$E,MATCH(B1899,Articles!$B:$B,0)),""))</f>
        <v/>
      </c>
      <c r="E1899" s="9" t="str">
        <f>IF(OR(C1899="",D1899=""),"",C1899*D1899)</f>
        <v/>
      </c>
      <c r="F1899" s="4"/>
      <c r="G1899" s="4"/>
      <c r="H1899" s="9" t="str">
        <f>IF(OR(B1899="",C1899=""),"",C1899*IFERROR(INDEX(Articles!$D:$D,MATCH(B1899,Articles!$B:$B,0)),0))</f>
        <v/>
      </c>
      <c r="I1899" s="9" t="str">
        <f>IF(OR(E1899="",H1899=""),"",E1899-H1899)</f>
        <v/>
      </c>
      <c r="J1899" s="4"/>
    </row>
    <row r="1900">
      <c r="A1900" s="7"/>
      <c r="B1900" s="4"/>
      <c r="C1900" s="6"/>
      <c r="D1900" s="5" t="str">
        <f>IF(B1900="","",IFERROR(INDEX(Articles!$E:$E,MATCH(B1900,Articles!$B:$B,0)),""))</f>
        <v/>
      </c>
      <c r="E1900" s="9" t="str">
        <f>IF(OR(C1900="",D1900=""),"",C1900*D1900)</f>
        <v/>
      </c>
      <c r="F1900" s="4"/>
      <c r="G1900" s="4"/>
      <c r="H1900" s="9" t="str">
        <f>IF(OR(B1900="",C1900=""),"",C1900*IFERROR(INDEX(Articles!$D:$D,MATCH(B1900,Articles!$B:$B,0)),0))</f>
        <v/>
      </c>
      <c r="I1900" s="9" t="str">
        <f>IF(OR(E1900="",H1900=""),"",E1900-H1900)</f>
        <v/>
      </c>
      <c r="J1900" s="4"/>
    </row>
    <row r="1901">
      <c r="A1901" s="7"/>
      <c r="B1901" s="4"/>
      <c r="C1901" s="6"/>
      <c r="D1901" s="5" t="str">
        <f>IF(B1901="","",IFERROR(INDEX(Articles!$E:$E,MATCH(B1901,Articles!$B:$B,0)),""))</f>
        <v/>
      </c>
      <c r="E1901" s="9" t="str">
        <f>IF(OR(C1901="",D1901=""),"",C1901*D1901)</f>
        <v/>
      </c>
      <c r="F1901" s="4"/>
      <c r="G1901" s="4"/>
      <c r="H1901" s="9" t="str">
        <f>IF(OR(B1901="",C1901=""),"",C1901*IFERROR(INDEX(Articles!$D:$D,MATCH(B1901,Articles!$B:$B,0)),0))</f>
        <v/>
      </c>
      <c r="I1901" s="9" t="str">
        <f>IF(OR(E1901="",H1901=""),"",E1901-H1901)</f>
        <v/>
      </c>
      <c r="J1901" s="4"/>
    </row>
    <row r="1902">
      <c r="A1902" s="7"/>
      <c r="B1902" s="4"/>
      <c r="C1902" s="6"/>
      <c r="D1902" s="5" t="str">
        <f>IF(B1902="","",IFERROR(INDEX(Articles!$E:$E,MATCH(B1902,Articles!$B:$B,0)),""))</f>
        <v/>
      </c>
      <c r="E1902" s="9" t="str">
        <f>IF(OR(C1902="",D1902=""),"",C1902*D1902)</f>
        <v/>
      </c>
      <c r="F1902" s="4"/>
      <c r="G1902" s="4"/>
      <c r="H1902" s="9" t="str">
        <f>IF(OR(B1902="",C1902=""),"",C1902*IFERROR(INDEX(Articles!$D:$D,MATCH(B1902,Articles!$B:$B,0)),0))</f>
        <v/>
      </c>
      <c r="I1902" s="9" t="str">
        <f>IF(OR(E1902="",H1902=""),"",E1902-H1902)</f>
        <v/>
      </c>
      <c r="J1902" s="4"/>
    </row>
    <row r="1903">
      <c r="A1903" s="7"/>
      <c r="B1903" s="4"/>
      <c r="C1903" s="6"/>
      <c r="D1903" s="5" t="str">
        <f>IF(B1903="","",IFERROR(INDEX(Articles!$E:$E,MATCH(B1903,Articles!$B:$B,0)),""))</f>
        <v/>
      </c>
      <c r="E1903" s="9" t="str">
        <f>IF(OR(C1903="",D1903=""),"",C1903*D1903)</f>
        <v/>
      </c>
      <c r="F1903" s="4"/>
      <c r="G1903" s="4"/>
      <c r="H1903" s="9" t="str">
        <f>IF(OR(B1903="",C1903=""),"",C1903*IFERROR(INDEX(Articles!$D:$D,MATCH(B1903,Articles!$B:$B,0)),0))</f>
        <v/>
      </c>
      <c r="I1903" s="9" t="str">
        <f>IF(OR(E1903="",H1903=""),"",E1903-H1903)</f>
        <v/>
      </c>
      <c r="J1903" s="4"/>
    </row>
    <row r="1904">
      <c r="A1904" s="7"/>
      <c r="B1904" s="4"/>
      <c r="C1904" s="6"/>
      <c r="D1904" s="5" t="str">
        <f>IF(B1904="","",IFERROR(INDEX(Articles!$E:$E,MATCH(B1904,Articles!$B:$B,0)),""))</f>
        <v/>
      </c>
      <c r="E1904" s="9" t="str">
        <f>IF(OR(C1904="",D1904=""),"",C1904*D1904)</f>
        <v/>
      </c>
      <c r="F1904" s="4"/>
      <c r="G1904" s="4"/>
      <c r="H1904" s="9" t="str">
        <f>IF(OR(B1904="",C1904=""),"",C1904*IFERROR(INDEX(Articles!$D:$D,MATCH(B1904,Articles!$B:$B,0)),0))</f>
        <v/>
      </c>
      <c r="I1904" s="9" t="str">
        <f>IF(OR(E1904="",H1904=""),"",E1904-H1904)</f>
        <v/>
      </c>
      <c r="J1904" s="4"/>
    </row>
    <row r="1905">
      <c r="A1905" s="7"/>
      <c r="B1905" s="4"/>
      <c r="C1905" s="6"/>
      <c r="D1905" s="5" t="str">
        <f>IF(B1905="","",IFERROR(INDEX(Articles!$E:$E,MATCH(B1905,Articles!$B:$B,0)),""))</f>
        <v/>
      </c>
      <c r="E1905" s="9" t="str">
        <f>IF(OR(C1905="",D1905=""),"",C1905*D1905)</f>
        <v/>
      </c>
      <c r="F1905" s="4"/>
      <c r="G1905" s="4"/>
      <c r="H1905" s="9" t="str">
        <f>IF(OR(B1905="",C1905=""),"",C1905*IFERROR(INDEX(Articles!$D:$D,MATCH(B1905,Articles!$B:$B,0)),0))</f>
        <v/>
      </c>
      <c r="I1905" s="9" t="str">
        <f>IF(OR(E1905="",H1905=""),"",E1905-H1905)</f>
        <v/>
      </c>
      <c r="J1905" s="4"/>
    </row>
    <row r="1906">
      <c r="A1906" s="7"/>
      <c r="B1906" s="4"/>
      <c r="C1906" s="6"/>
      <c r="D1906" s="5" t="str">
        <f>IF(B1906="","",IFERROR(INDEX(Articles!$E:$E,MATCH(B1906,Articles!$B:$B,0)),""))</f>
        <v/>
      </c>
      <c r="E1906" s="9" t="str">
        <f>IF(OR(C1906="",D1906=""),"",C1906*D1906)</f>
        <v/>
      </c>
      <c r="F1906" s="4"/>
      <c r="G1906" s="4"/>
      <c r="H1906" s="9" t="str">
        <f>IF(OR(B1906="",C1906=""),"",C1906*IFERROR(INDEX(Articles!$D:$D,MATCH(B1906,Articles!$B:$B,0)),0))</f>
        <v/>
      </c>
      <c r="I1906" s="9" t="str">
        <f>IF(OR(E1906="",H1906=""),"",E1906-H1906)</f>
        <v/>
      </c>
      <c r="J1906" s="4"/>
    </row>
    <row r="1907">
      <c r="A1907" s="7"/>
      <c r="B1907" s="4"/>
      <c r="C1907" s="6"/>
      <c r="D1907" s="5" t="str">
        <f>IF(B1907="","",IFERROR(INDEX(Articles!$E:$E,MATCH(B1907,Articles!$B:$B,0)),""))</f>
        <v/>
      </c>
      <c r="E1907" s="9" t="str">
        <f>IF(OR(C1907="",D1907=""),"",C1907*D1907)</f>
        <v/>
      </c>
      <c r="F1907" s="4"/>
      <c r="G1907" s="4"/>
      <c r="H1907" s="9" t="str">
        <f>IF(OR(B1907="",C1907=""),"",C1907*IFERROR(INDEX(Articles!$D:$D,MATCH(B1907,Articles!$B:$B,0)),0))</f>
        <v/>
      </c>
      <c r="I1907" s="9" t="str">
        <f>IF(OR(E1907="",H1907=""),"",E1907-H1907)</f>
        <v/>
      </c>
      <c r="J1907" s="4"/>
    </row>
    <row r="1908">
      <c r="A1908" s="7"/>
      <c r="B1908" s="4"/>
      <c r="C1908" s="6"/>
      <c r="D1908" s="5" t="str">
        <f>IF(B1908="","",IFERROR(INDEX(Articles!$E:$E,MATCH(B1908,Articles!$B:$B,0)),""))</f>
        <v/>
      </c>
      <c r="E1908" s="9" t="str">
        <f>IF(OR(C1908="",D1908=""),"",C1908*D1908)</f>
        <v/>
      </c>
      <c r="F1908" s="4"/>
      <c r="G1908" s="4"/>
      <c r="H1908" s="9" t="str">
        <f>IF(OR(B1908="",C1908=""),"",C1908*IFERROR(INDEX(Articles!$D:$D,MATCH(B1908,Articles!$B:$B,0)),0))</f>
        <v/>
      </c>
      <c r="I1908" s="9" t="str">
        <f>IF(OR(E1908="",H1908=""),"",E1908-H1908)</f>
        <v/>
      </c>
      <c r="J1908" s="4"/>
    </row>
    <row r="1909">
      <c r="A1909" s="7"/>
      <c r="B1909" s="4"/>
      <c r="C1909" s="6"/>
      <c r="D1909" s="5" t="str">
        <f>IF(B1909="","",IFERROR(INDEX(Articles!$E:$E,MATCH(B1909,Articles!$B:$B,0)),""))</f>
        <v/>
      </c>
      <c r="E1909" s="9" t="str">
        <f>IF(OR(C1909="",D1909=""),"",C1909*D1909)</f>
        <v/>
      </c>
      <c r="F1909" s="4"/>
      <c r="G1909" s="4"/>
      <c r="H1909" s="9" t="str">
        <f>IF(OR(B1909="",C1909=""),"",C1909*IFERROR(INDEX(Articles!$D:$D,MATCH(B1909,Articles!$B:$B,0)),0))</f>
        <v/>
      </c>
      <c r="I1909" s="9" t="str">
        <f>IF(OR(E1909="",H1909=""),"",E1909-H1909)</f>
        <v/>
      </c>
      <c r="J1909" s="4"/>
    </row>
    <row r="1910">
      <c r="A1910" s="7"/>
      <c r="B1910" s="4"/>
      <c r="C1910" s="6"/>
      <c r="D1910" s="5" t="str">
        <f>IF(B1910="","",IFERROR(INDEX(Articles!$E:$E,MATCH(B1910,Articles!$B:$B,0)),""))</f>
        <v/>
      </c>
      <c r="E1910" s="9" t="str">
        <f>IF(OR(C1910="",D1910=""),"",C1910*D1910)</f>
        <v/>
      </c>
      <c r="F1910" s="4"/>
      <c r="G1910" s="4"/>
      <c r="H1910" s="9" t="str">
        <f>IF(OR(B1910="",C1910=""),"",C1910*IFERROR(INDEX(Articles!$D:$D,MATCH(B1910,Articles!$B:$B,0)),0))</f>
        <v/>
      </c>
      <c r="I1910" s="9" t="str">
        <f>IF(OR(E1910="",H1910=""),"",E1910-H1910)</f>
        <v/>
      </c>
      <c r="J1910" s="4"/>
    </row>
    <row r="1911">
      <c r="A1911" s="7"/>
      <c r="B1911" s="4"/>
      <c r="C1911" s="6"/>
      <c r="D1911" s="5" t="str">
        <f>IF(B1911="","",IFERROR(INDEX(Articles!$E:$E,MATCH(B1911,Articles!$B:$B,0)),""))</f>
        <v/>
      </c>
      <c r="E1911" s="9" t="str">
        <f>IF(OR(C1911="",D1911=""),"",C1911*D1911)</f>
        <v/>
      </c>
      <c r="F1911" s="4"/>
      <c r="G1911" s="4"/>
      <c r="H1911" s="9" t="str">
        <f>IF(OR(B1911="",C1911=""),"",C1911*IFERROR(INDEX(Articles!$D:$D,MATCH(B1911,Articles!$B:$B,0)),0))</f>
        <v/>
      </c>
      <c r="I1911" s="9" t="str">
        <f>IF(OR(E1911="",H1911=""),"",E1911-H1911)</f>
        <v/>
      </c>
      <c r="J1911" s="4"/>
    </row>
    <row r="1912">
      <c r="A1912" s="7"/>
      <c r="B1912" s="4"/>
      <c r="C1912" s="6"/>
      <c r="D1912" s="5" t="str">
        <f>IF(B1912="","",IFERROR(INDEX(Articles!$E:$E,MATCH(B1912,Articles!$B:$B,0)),""))</f>
        <v/>
      </c>
      <c r="E1912" s="9" t="str">
        <f>IF(OR(C1912="",D1912=""),"",C1912*D1912)</f>
        <v/>
      </c>
      <c r="F1912" s="4"/>
      <c r="G1912" s="4"/>
      <c r="H1912" s="9" t="str">
        <f>IF(OR(B1912="",C1912=""),"",C1912*IFERROR(INDEX(Articles!$D:$D,MATCH(B1912,Articles!$B:$B,0)),0))</f>
        <v/>
      </c>
      <c r="I1912" s="9" t="str">
        <f>IF(OR(E1912="",H1912=""),"",E1912-H1912)</f>
        <v/>
      </c>
      <c r="J1912" s="4"/>
    </row>
    <row r="1913">
      <c r="A1913" s="7"/>
      <c r="B1913" s="4"/>
      <c r="C1913" s="6"/>
      <c r="D1913" s="5" t="str">
        <f>IF(B1913="","",IFERROR(INDEX(Articles!$E:$E,MATCH(B1913,Articles!$B:$B,0)),""))</f>
        <v/>
      </c>
      <c r="E1913" s="9" t="str">
        <f>IF(OR(C1913="",D1913=""),"",C1913*D1913)</f>
        <v/>
      </c>
      <c r="F1913" s="4"/>
      <c r="G1913" s="4"/>
      <c r="H1913" s="9" t="str">
        <f>IF(OR(B1913="",C1913=""),"",C1913*IFERROR(INDEX(Articles!$D:$D,MATCH(B1913,Articles!$B:$B,0)),0))</f>
        <v/>
      </c>
      <c r="I1913" s="9" t="str">
        <f>IF(OR(E1913="",H1913=""),"",E1913-H1913)</f>
        <v/>
      </c>
      <c r="J1913" s="4"/>
    </row>
    <row r="1914">
      <c r="A1914" s="7"/>
      <c r="B1914" s="4"/>
      <c r="C1914" s="6"/>
      <c r="D1914" s="5" t="str">
        <f>IF(B1914="","",IFERROR(INDEX(Articles!$E:$E,MATCH(B1914,Articles!$B:$B,0)),""))</f>
        <v/>
      </c>
      <c r="E1914" s="9" t="str">
        <f>IF(OR(C1914="",D1914=""),"",C1914*D1914)</f>
        <v/>
      </c>
      <c r="F1914" s="4"/>
      <c r="G1914" s="4"/>
      <c r="H1914" s="9" t="str">
        <f>IF(OR(B1914="",C1914=""),"",C1914*IFERROR(INDEX(Articles!$D:$D,MATCH(B1914,Articles!$B:$B,0)),0))</f>
        <v/>
      </c>
      <c r="I1914" s="9" t="str">
        <f>IF(OR(E1914="",H1914=""),"",E1914-H1914)</f>
        <v/>
      </c>
      <c r="J1914" s="4"/>
    </row>
    <row r="1915">
      <c r="A1915" s="7"/>
      <c r="B1915" s="4"/>
      <c r="C1915" s="6"/>
      <c r="D1915" s="5" t="str">
        <f>IF(B1915="","",IFERROR(INDEX(Articles!$E:$E,MATCH(B1915,Articles!$B:$B,0)),""))</f>
        <v/>
      </c>
      <c r="E1915" s="9" t="str">
        <f>IF(OR(C1915="",D1915=""),"",C1915*D1915)</f>
        <v/>
      </c>
      <c r="F1915" s="4"/>
      <c r="G1915" s="4"/>
      <c r="H1915" s="9" t="str">
        <f>IF(OR(B1915="",C1915=""),"",C1915*IFERROR(INDEX(Articles!$D:$D,MATCH(B1915,Articles!$B:$B,0)),0))</f>
        <v/>
      </c>
      <c r="I1915" s="9" t="str">
        <f>IF(OR(E1915="",H1915=""),"",E1915-H1915)</f>
        <v/>
      </c>
      <c r="J1915" s="4"/>
    </row>
    <row r="1916">
      <c r="A1916" s="7"/>
      <c r="B1916" s="4"/>
      <c r="C1916" s="6"/>
      <c r="D1916" s="5" t="str">
        <f>IF(B1916="","",IFERROR(INDEX(Articles!$E:$E,MATCH(B1916,Articles!$B:$B,0)),""))</f>
        <v/>
      </c>
      <c r="E1916" s="9" t="str">
        <f>IF(OR(C1916="",D1916=""),"",C1916*D1916)</f>
        <v/>
      </c>
      <c r="F1916" s="4"/>
      <c r="G1916" s="4"/>
      <c r="H1916" s="9" t="str">
        <f>IF(OR(B1916="",C1916=""),"",C1916*IFERROR(INDEX(Articles!$D:$D,MATCH(B1916,Articles!$B:$B,0)),0))</f>
        <v/>
      </c>
      <c r="I1916" s="9" t="str">
        <f>IF(OR(E1916="",H1916=""),"",E1916-H1916)</f>
        <v/>
      </c>
      <c r="J1916" s="4"/>
    </row>
    <row r="1917">
      <c r="A1917" s="7"/>
      <c r="B1917" s="4"/>
      <c r="C1917" s="6"/>
      <c r="D1917" s="5" t="str">
        <f>IF(B1917="","",IFERROR(INDEX(Articles!$E:$E,MATCH(B1917,Articles!$B:$B,0)),""))</f>
        <v/>
      </c>
      <c r="E1917" s="9" t="str">
        <f>IF(OR(C1917="",D1917=""),"",C1917*D1917)</f>
        <v/>
      </c>
      <c r="F1917" s="4"/>
      <c r="G1917" s="4"/>
      <c r="H1917" s="9" t="str">
        <f>IF(OR(B1917="",C1917=""),"",C1917*IFERROR(INDEX(Articles!$D:$D,MATCH(B1917,Articles!$B:$B,0)),0))</f>
        <v/>
      </c>
      <c r="I1917" s="9" t="str">
        <f>IF(OR(E1917="",H1917=""),"",E1917-H1917)</f>
        <v/>
      </c>
      <c r="J1917" s="4"/>
    </row>
    <row r="1918">
      <c r="A1918" s="7"/>
      <c r="B1918" s="4"/>
      <c r="C1918" s="6"/>
      <c r="D1918" s="5" t="str">
        <f>IF(B1918="","",IFERROR(INDEX(Articles!$E:$E,MATCH(B1918,Articles!$B:$B,0)),""))</f>
        <v/>
      </c>
      <c r="E1918" s="9" t="str">
        <f>IF(OR(C1918="",D1918=""),"",C1918*D1918)</f>
        <v/>
      </c>
      <c r="F1918" s="4"/>
      <c r="G1918" s="4"/>
      <c r="H1918" s="9" t="str">
        <f>IF(OR(B1918="",C1918=""),"",C1918*IFERROR(INDEX(Articles!$D:$D,MATCH(B1918,Articles!$B:$B,0)),0))</f>
        <v/>
      </c>
      <c r="I1918" s="9" t="str">
        <f>IF(OR(E1918="",H1918=""),"",E1918-H1918)</f>
        <v/>
      </c>
      <c r="J1918" s="4"/>
    </row>
    <row r="1919">
      <c r="A1919" s="7"/>
      <c r="B1919" s="4"/>
      <c r="C1919" s="6"/>
      <c r="D1919" s="5" t="str">
        <f>IF(B1919="","",IFERROR(INDEX(Articles!$E:$E,MATCH(B1919,Articles!$B:$B,0)),""))</f>
        <v/>
      </c>
      <c r="E1919" s="9" t="str">
        <f>IF(OR(C1919="",D1919=""),"",C1919*D1919)</f>
        <v/>
      </c>
      <c r="F1919" s="4"/>
      <c r="G1919" s="4"/>
      <c r="H1919" s="9" t="str">
        <f>IF(OR(B1919="",C1919=""),"",C1919*IFERROR(INDEX(Articles!$D:$D,MATCH(B1919,Articles!$B:$B,0)),0))</f>
        <v/>
      </c>
      <c r="I1919" s="9" t="str">
        <f>IF(OR(E1919="",H1919=""),"",E1919-H1919)</f>
        <v/>
      </c>
      <c r="J1919" s="4"/>
    </row>
    <row r="1920">
      <c r="A1920" s="7"/>
      <c r="B1920" s="4"/>
      <c r="C1920" s="6"/>
      <c r="D1920" s="5" t="str">
        <f>IF(B1920="","",IFERROR(INDEX(Articles!$E:$E,MATCH(B1920,Articles!$B:$B,0)),""))</f>
        <v/>
      </c>
      <c r="E1920" s="9" t="str">
        <f>IF(OR(C1920="",D1920=""),"",C1920*D1920)</f>
        <v/>
      </c>
      <c r="F1920" s="4"/>
      <c r="G1920" s="4"/>
      <c r="H1920" s="9" t="str">
        <f>IF(OR(B1920="",C1920=""),"",C1920*IFERROR(INDEX(Articles!$D:$D,MATCH(B1920,Articles!$B:$B,0)),0))</f>
        <v/>
      </c>
      <c r="I1920" s="9" t="str">
        <f>IF(OR(E1920="",H1920=""),"",E1920-H1920)</f>
        <v/>
      </c>
      <c r="J1920" s="4"/>
    </row>
    <row r="1921">
      <c r="A1921" s="7"/>
      <c r="B1921" s="4"/>
      <c r="C1921" s="6"/>
      <c r="D1921" s="5" t="str">
        <f>IF(B1921="","",IFERROR(INDEX(Articles!$E:$E,MATCH(B1921,Articles!$B:$B,0)),""))</f>
        <v/>
      </c>
      <c r="E1921" s="9" t="str">
        <f>IF(OR(C1921="",D1921=""),"",C1921*D1921)</f>
        <v/>
      </c>
      <c r="F1921" s="4"/>
      <c r="G1921" s="4"/>
      <c r="H1921" s="9" t="str">
        <f>IF(OR(B1921="",C1921=""),"",C1921*IFERROR(INDEX(Articles!$D:$D,MATCH(B1921,Articles!$B:$B,0)),0))</f>
        <v/>
      </c>
      <c r="I1921" s="9" t="str">
        <f>IF(OR(E1921="",H1921=""),"",E1921-H1921)</f>
        <v/>
      </c>
      <c r="J1921" s="4"/>
    </row>
    <row r="1922">
      <c r="A1922" s="7"/>
      <c r="B1922" s="4"/>
      <c r="C1922" s="6"/>
      <c r="D1922" s="5" t="str">
        <f>IF(B1922="","",IFERROR(INDEX(Articles!$E:$E,MATCH(B1922,Articles!$B:$B,0)),""))</f>
        <v/>
      </c>
      <c r="E1922" s="9" t="str">
        <f>IF(OR(C1922="",D1922=""),"",C1922*D1922)</f>
        <v/>
      </c>
      <c r="F1922" s="4"/>
      <c r="G1922" s="4"/>
      <c r="H1922" s="9" t="str">
        <f>IF(OR(B1922="",C1922=""),"",C1922*IFERROR(INDEX(Articles!$D:$D,MATCH(B1922,Articles!$B:$B,0)),0))</f>
        <v/>
      </c>
      <c r="I1922" s="9" t="str">
        <f>IF(OR(E1922="",H1922=""),"",E1922-H1922)</f>
        <v/>
      </c>
      <c r="J1922" s="4"/>
    </row>
    <row r="1923">
      <c r="A1923" s="7"/>
      <c r="B1923" s="4"/>
      <c r="C1923" s="6"/>
      <c r="D1923" s="5" t="str">
        <f>IF(B1923="","",IFERROR(INDEX(Articles!$E:$E,MATCH(B1923,Articles!$B:$B,0)),""))</f>
        <v/>
      </c>
      <c r="E1923" s="9" t="str">
        <f>IF(OR(C1923="",D1923=""),"",C1923*D1923)</f>
        <v/>
      </c>
      <c r="F1923" s="4"/>
      <c r="G1923" s="4"/>
      <c r="H1923" s="9" t="str">
        <f>IF(OR(B1923="",C1923=""),"",C1923*IFERROR(INDEX(Articles!$D:$D,MATCH(B1923,Articles!$B:$B,0)),0))</f>
        <v/>
      </c>
      <c r="I1923" s="9" t="str">
        <f>IF(OR(E1923="",H1923=""),"",E1923-H1923)</f>
        <v/>
      </c>
      <c r="J1923" s="4"/>
    </row>
    <row r="1924">
      <c r="A1924" s="7"/>
      <c r="B1924" s="4"/>
      <c r="C1924" s="6"/>
      <c r="D1924" s="5" t="str">
        <f>IF(B1924="","",IFERROR(INDEX(Articles!$E:$E,MATCH(B1924,Articles!$B:$B,0)),""))</f>
        <v/>
      </c>
      <c r="E1924" s="9" t="str">
        <f>IF(OR(C1924="",D1924=""),"",C1924*D1924)</f>
        <v/>
      </c>
      <c r="F1924" s="4"/>
      <c r="G1924" s="4"/>
      <c r="H1924" s="9" t="str">
        <f>IF(OR(B1924="",C1924=""),"",C1924*IFERROR(INDEX(Articles!$D:$D,MATCH(B1924,Articles!$B:$B,0)),0))</f>
        <v/>
      </c>
      <c r="I1924" s="9" t="str">
        <f>IF(OR(E1924="",H1924=""),"",E1924-H1924)</f>
        <v/>
      </c>
      <c r="J1924" s="4"/>
    </row>
    <row r="1925">
      <c r="A1925" s="7"/>
      <c r="B1925" s="4"/>
      <c r="C1925" s="6"/>
      <c r="D1925" s="5" t="str">
        <f>IF(B1925="","",IFERROR(INDEX(Articles!$E:$E,MATCH(B1925,Articles!$B:$B,0)),""))</f>
        <v/>
      </c>
      <c r="E1925" s="9" t="str">
        <f>IF(OR(C1925="",D1925=""),"",C1925*D1925)</f>
        <v/>
      </c>
      <c r="F1925" s="4"/>
      <c r="G1925" s="4"/>
      <c r="H1925" s="9" t="str">
        <f>IF(OR(B1925="",C1925=""),"",C1925*IFERROR(INDEX(Articles!$D:$D,MATCH(B1925,Articles!$B:$B,0)),0))</f>
        <v/>
      </c>
      <c r="I1925" s="9" t="str">
        <f>IF(OR(E1925="",H1925=""),"",E1925-H1925)</f>
        <v/>
      </c>
      <c r="J1925" s="4"/>
    </row>
    <row r="1926">
      <c r="A1926" s="7"/>
      <c r="B1926" s="4"/>
      <c r="C1926" s="6"/>
      <c r="D1926" s="5" t="str">
        <f>IF(B1926="","",IFERROR(INDEX(Articles!$E:$E,MATCH(B1926,Articles!$B:$B,0)),""))</f>
        <v/>
      </c>
      <c r="E1926" s="9" t="str">
        <f>IF(OR(C1926="",D1926=""),"",C1926*D1926)</f>
        <v/>
      </c>
      <c r="F1926" s="4"/>
      <c r="G1926" s="4"/>
      <c r="H1926" s="9" t="str">
        <f>IF(OR(B1926="",C1926=""),"",C1926*IFERROR(INDEX(Articles!$D:$D,MATCH(B1926,Articles!$B:$B,0)),0))</f>
        <v/>
      </c>
      <c r="I1926" s="9" t="str">
        <f>IF(OR(E1926="",H1926=""),"",E1926-H1926)</f>
        <v/>
      </c>
      <c r="J1926" s="4"/>
    </row>
    <row r="1927">
      <c r="A1927" s="7"/>
      <c r="B1927" s="4"/>
      <c r="C1927" s="6"/>
      <c r="D1927" s="5" t="str">
        <f>IF(B1927="","",IFERROR(INDEX(Articles!$E:$E,MATCH(B1927,Articles!$B:$B,0)),""))</f>
        <v/>
      </c>
      <c r="E1927" s="9" t="str">
        <f>IF(OR(C1927="",D1927=""),"",C1927*D1927)</f>
        <v/>
      </c>
      <c r="F1927" s="4"/>
      <c r="G1927" s="4"/>
      <c r="H1927" s="9" t="str">
        <f>IF(OR(B1927="",C1927=""),"",C1927*IFERROR(INDEX(Articles!$D:$D,MATCH(B1927,Articles!$B:$B,0)),0))</f>
        <v/>
      </c>
      <c r="I1927" s="9" t="str">
        <f>IF(OR(E1927="",H1927=""),"",E1927-H1927)</f>
        <v/>
      </c>
      <c r="J1927" s="4"/>
    </row>
    <row r="1928">
      <c r="A1928" s="7"/>
      <c r="B1928" s="4"/>
      <c r="C1928" s="6"/>
      <c r="D1928" s="5" t="str">
        <f>IF(B1928="","",IFERROR(INDEX(Articles!$E:$E,MATCH(B1928,Articles!$B:$B,0)),""))</f>
        <v/>
      </c>
      <c r="E1928" s="9" t="str">
        <f>IF(OR(C1928="",D1928=""),"",C1928*D1928)</f>
        <v/>
      </c>
      <c r="F1928" s="4"/>
      <c r="G1928" s="4"/>
      <c r="H1928" s="9" t="str">
        <f>IF(OR(B1928="",C1928=""),"",C1928*IFERROR(INDEX(Articles!$D:$D,MATCH(B1928,Articles!$B:$B,0)),0))</f>
        <v/>
      </c>
      <c r="I1928" s="9" t="str">
        <f>IF(OR(E1928="",H1928=""),"",E1928-H1928)</f>
        <v/>
      </c>
      <c r="J1928" s="4"/>
    </row>
    <row r="1929">
      <c r="A1929" s="7"/>
      <c r="B1929" s="4"/>
      <c r="C1929" s="6"/>
      <c r="D1929" s="5" t="str">
        <f>IF(B1929="","",IFERROR(INDEX(Articles!$E:$E,MATCH(B1929,Articles!$B:$B,0)),""))</f>
        <v/>
      </c>
      <c r="E1929" s="9" t="str">
        <f>IF(OR(C1929="",D1929=""),"",C1929*D1929)</f>
        <v/>
      </c>
      <c r="F1929" s="4"/>
      <c r="G1929" s="4"/>
      <c r="H1929" s="9" t="str">
        <f>IF(OR(B1929="",C1929=""),"",C1929*IFERROR(INDEX(Articles!$D:$D,MATCH(B1929,Articles!$B:$B,0)),0))</f>
        <v/>
      </c>
      <c r="I1929" s="9" t="str">
        <f>IF(OR(E1929="",H1929=""),"",E1929-H1929)</f>
        <v/>
      </c>
      <c r="J1929" s="4"/>
    </row>
    <row r="1930">
      <c r="A1930" s="7"/>
      <c r="B1930" s="4"/>
      <c r="C1930" s="6"/>
      <c r="D1930" s="5" t="str">
        <f>IF(B1930="","",IFERROR(INDEX(Articles!$E:$E,MATCH(B1930,Articles!$B:$B,0)),""))</f>
        <v/>
      </c>
      <c r="E1930" s="9" t="str">
        <f>IF(OR(C1930="",D1930=""),"",C1930*D1930)</f>
        <v/>
      </c>
      <c r="F1930" s="4"/>
      <c r="G1930" s="4"/>
      <c r="H1930" s="9" t="str">
        <f>IF(OR(B1930="",C1930=""),"",C1930*IFERROR(INDEX(Articles!$D:$D,MATCH(B1930,Articles!$B:$B,0)),0))</f>
        <v/>
      </c>
      <c r="I1930" s="9" t="str">
        <f>IF(OR(E1930="",H1930=""),"",E1930-H1930)</f>
        <v/>
      </c>
      <c r="J1930" s="4"/>
    </row>
    <row r="1931">
      <c r="A1931" s="7"/>
      <c r="B1931" s="4"/>
      <c r="C1931" s="6"/>
      <c r="D1931" s="5" t="str">
        <f>IF(B1931="","",IFERROR(INDEX(Articles!$E:$E,MATCH(B1931,Articles!$B:$B,0)),""))</f>
        <v/>
      </c>
      <c r="E1931" s="9" t="str">
        <f>IF(OR(C1931="",D1931=""),"",C1931*D1931)</f>
        <v/>
      </c>
      <c r="F1931" s="4"/>
      <c r="G1931" s="4"/>
      <c r="H1931" s="9" t="str">
        <f>IF(OR(B1931="",C1931=""),"",C1931*IFERROR(INDEX(Articles!$D:$D,MATCH(B1931,Articles!$B:$B,0)),0))</f>
        <v/>
      </c>
      <c r="I1931" s="9" t="str">
        <f>IF(OR(E1931="",H1931=""),"",E1931-H1931)</f>
        <v/>
      </c>
      <c r="J1931" s="4"/>
    </row>
    <row r="1932">
      <c r="A1932" s="7"/>
      <c r="B1932" s="4"/>
      <c r="C1932" s="6"/>
      <c r="D1932" s="5" t="str">
        <f>IF(B1932="","",IFERROR(INDEX(Articles!$E:$E,MATCH(B1932,Articles!$B:$B,0)),""))</f>
        <v/>
      </c>
      <c r="E1932" s="9" t="str">
        <f>IF(OR(C1932="",D1932=""),"",C1932*D1932)</f>
        <v/>
      </c>
      <c r="F1932" s="4"/>
      <c r="G1932" s="4"/>
      <c r="H1932" s="9" t="str">
        <f>IF(OR(B1932="",C1932=""),"",C1932*IFERROR(INDEX(Articles!$D:$D,MATCH(B1932,Articles!$B:$B,0)),0))</f>
        <v/>
      </c>
      <c r="I1932" s="9" t="str">
        <f>IF(OR(E1932="",H1932=""),"",E1932-H1932)</f>
        <v/>
      </c>
      <c r="J1932" s="4"/>
    </row>
    <row r="1933">
      <c r="A1933" s="7"/>
      <c r="B1933" s="4"/>
      <c r="C1933" s="6"/>
      <c r="D1933" s="5" t="str">
        <f>IF(B1933="","",IFERROR(INDEX(Articles!$E:$E,MATCH(B1933,Articles!$B:$B,0)),""))</f>
        <v/>
      </c>
      <c r="E1933" s="9" t="str">
        <f>IF(OR(C1933="",D1933=""),"",C1933*D1933)</f>
        <v/>
      </c>
      <c r="F1933" s="4"/>
      <c r="G1933" s="4"/>
      <c r="H1933" s="9" t="str">
        <f>IF(OR(B1933="",C1933=""),"",C1933*IFERROR(INDEX(Articles!$D:$D,MATCH(B1933,Articles!$B:$B,0)),0))</f>
        <v/>
      </c>
      <c r="I1933" s="9" t="str">
        <f>IF(OR(E1933="",H1933=""),"",E1933-H1933)</f>
        <v/>
      </c>
      <c r="J1933" s="4"/>
    </row>
    <row r="1934">
      <c r="A1934" s="7"/>
      <c r="B1934" s="4"/>
      <c r="C1934" s="6"/>
      <c r="D1934" s="5" t="str">
        <f>IF(B1934="","",IFERROR(INDEX(Articles!$E:$E,MATCH(B1934,Articles!$B:$B,0)),""))</f>
        <v/>
      </c>
      <c r="E1934" s="9" t="str">
        <f>IF(OR(C1934="",D1934=""),"",C1934*D1934)</f>
        <v/>
      </c>
      <c r="F1934" s="4"/>
      <c r="G1934" s="4"/>
      <c r="H1934" s="9" t="str">
        <f>IF(OR(B1934="",C1934=""),"",C1934*IFERROR(INDEX(Articles!$D:$D,MATCH(B1934,Articles!$B:$B,0)),0))</f>
        <v/>
      </c>
      <c r="I1934" s="9" t="str">
        <f>IF(OR(E1934="",H1934=""),"",E1934-H1934)</f>
        <v/>
      </c>
      <c r="J1934" s="4"/>
    </row>
    <row r="1935">
      <c r="A1935" s="7"/>
      <c r="B1935" s="4"/>
      <c r="C1935" s="6"/>
      <c r="D1935" s="5" t="str">
        <f>IF(B1935="","",IFERROR(INDEX(Articles!$E:$E,MATCH(B1935,Articles!$B:$B,0)),""))</f>
        <v/>
      </c>
      <c r="E1935" s="9" t="str">
        <f>IF(OR(C1935="",D1935=""),"",C1935*D1935)</f>
        <v/>
      </c>
      <c r="F1935" s="4"/>
      <c r="G1935" s="4"/>
      <c r="H1935" s="9" t="str">
        <f>IF(OR(B1935="",C1935=""),"",C1935*IFERROR(INDEX(Articles!$D:$D,MATCH(B1935,Articles!$B:$B,0)),0))</f>
        <v/>
      </c>
      <c r="I1935" s="9" t="str">
        <f>IF(OR(E1935="",H1935=""),"",E1935-H1935)</f>
        <v/>
      </c>
      <c r="J1935" s="4"/>
    </row>
    <row r="1936">
      <c r="A1936" s="7"/>
      <c r="B1936" s="4"/>
      <c r="C1936" s="6"/>
      <c r="D1936" s="5" t="str">
        <f>IF(B1936="","",IFERROR(INDEX(Articles!$E:$E,MATCH(B1936,Articles!$B:$B,0)),""))</f>
        <v/>
      </c>
      <c r="E1936" s="9" t="str">
        <f>IF(OR(C1936="",D1936=""),"",C1936*D1936)</f>
        <v/>
      </c>
      <c r="F1936" s="4"/>
      <c r="G1936" s="4"/>
      <c r="H1936" s="9" t="str">
        <f>IF(OR(B1936="",C1936=""),"",C1936*IFERROR(INDEX(Articles!$D:$D,MATCH(B1936,Articles!$B:$B,0)),0))</f>
        <v/>
      </c>
      <c r="I1936" s="9" t="str">
        <f>IF(OR(E1936="",H1936=""),"",E1936-H1936)</f>
        <v/>
      </c>
      <c r="J1936" s="4"/>
    </row>
    <row r="1937">
      <c r="A1937" s="7"/>
      <c r="B1937" s="4"/>
      <c r="C1937" s="6"/>
      <c r="D1937" s="5" t="str">
        <f>IF(B1937="","",IFERROR(INDEX(Articles!$E:$E,MATCH(B1937,Articles!$B:$B,0)),""))</f>
        <v/>
      </c>
      <c r="E1937" s="9" t="str">
        <f>IF(OR(C1937="",D1937=""),"",C1937*D1937)</f>
        <v/>
      </c>
      <c r="F1937" s="4"/>
      <c r="G1937" s="4"/>
      <c r="H1937" s="9" t="str">
        <f>IF(OR(B1937="",C1937=""),"",C1937*IFERROR(INDEX(Articles!$D:$D,MATCH(B1937,Articles!$B:$B,0)),0))</f>
        <v/>
      </c>
      <c r="I1937" s="9" t="str">
        <f>IF(OR(E1937="",H1937=""),"",E1937-H1937)</f>
        <v/>
      </c>
      <c r="J1937" s="4"/>
    </row>
    <row r="1938">
      <c r="A1938" s="7"/>
      <c r="B1938" s="4"/>
      <c r="C1938" s="6"/>
      <c r="D1938" s="5" t="str">
        <f>IF(B1938="","",IFERROR(INDEX(Articles!$E:$E,MATCH(B1938,Articles!$B:$B,0)),""))</f>
        <v/>
      </c>
      <c r="E1938" s="9" t="str">
        <f>IF(OR(C1938="",D1938=""),"",C1938*D1938)</f>
        <v/>
      </c>
      <c r="F1938" s="4"/>
      <c r="G1938" s="4"/>
      <c r="H1938" s="9" t="str">
        <f>IF(OR(B1938="",C1938=""),"",C1938*IFERROR(INDEX(Articles!$D:$D,MATCH(B1938,Articles!$B:$B,0)),0))</f>
        <v/>
      </c>
      <c r="I1938" s="9" t="str">
        <f>IF(OR(E1938="",H1938=""),"",E1938-H1938)</f>
        <v/>
      </c>
      <c r="J1938" s="4"/>
    </row>
    <row r="1939">
      <c r="A1939" s="7"/>
      <c r="B1939" s="4"/>
      <c r="C1939" s="6"/>
      <c r="D1939" s="5" t="str">
        <f>IF(B1939="","",IFERROR(INDEX(Articles!$E:$E,MATCH(B1939,Articles!$B:$B,0)),""))</f>
        <v/>
      </c>
      <c r="E1939" s="9" t="str">
        <f>IF(OR(C1939="",D1939=""),"",C1939*D1939)</f>
        <v/>
      </c>
      <c r="F1939" s="4"/>
      <c r="G1939" s="4"/>
      <c r="H1939" s="9" t="str">
        <f>IF(OR(B1939="",C1939=""),"",C1939*IFERROR(INDEX(Articles!$D:$D,MATCH(B1939,Articles!$B:$B,0)),0))</f>
        <v/>
      </c>
      <c r="I1939" s="9" t="str">
        <f>IF(OR(E1939="",H1939=""),"",E1939-H1939)</f>
        <v/>
      </c>
      <c r="J1939" s="4"/>
    </row>
    <row r="1940">
      <c r="A1940" s="7"/>
      <c r="B1940" s="4"/>
      <c r="C1940" s="6"/>
      <c r="D1940" s="5" t="str">
        <f>IF(B1940="","",IFERROR(INDEX(Articles!$E:$E,MATCH(B1940,Articles!$B:$B,0)),""))</f>
        <v/>
      </c>
      <c r="E1940" s="9" t="str">
        <f>IF(OR(C1940="",D1940=""),"",C1940*D1940)</f>
        <v/>
      </c>
      <c r="F1940" s="4"/>
      <c r="G1940" s="4"/>
      <c r="H1940" s="9" t="str">
        <f>IF(OR(B1940="",C1940=""),"",C1940*IFERROR(INDEX(Articles!$D:$D,MATCH(B1940,Articles!$B:$B,0)),0))</f>
        <v/>
      </c>
      <c r="I1940" s="9" t="str">
        <f>IF(OR(E1940="",H1940=""),"",E1940-H1940)</f>
        <v/>
      </c>
      <c r="J1940" s="4"/>
    </row>
    <row r="1941">
      <c r="A1941" s="7"/>
      <c r="B1941" s="4"/>
      <c r="C1941" s="6"/>
      <c r="D1941" s="5" t="str">
        <f>IF(B1941="","",IFERROR(INDEX(Articles!$E:$E,MATCH(B1941,Articles!$B:$B,0)),""))</f>
        <v/>
      </c>
      <c r="E1941" s="9" t="str">
        <f>IF(OR(C1941="",D1941=""),"",C1941*D1941)</f>
        <v/>
      </c>
      <c r="F1941" s="4"/>
      <c r="G1941" s="4"/>
      <c r="H1941" s="9" t="str">
        <f>IF(OR(B1941="",C1941=""),"",C1941*IFERROR(INDEX(Articles!$D:$D,MATCH(B1941,Articles!$B:$B,0)),0))</f>
        <v/>
      </c>
      <c r="I1941" s="9" t="str">
        <f>IF(OR(E1941="",H1941=""),"",E1941-H1941)</f>
        <v/>
      </c>
      <c r="J1941" s="4"/>
    </row>
    <row r="1942">
      <c r="A1942" s="7"/>
      <c r="B1942" s="4"/>
      <c r="C1942" s="6"/>
      <c r="D1942" s="5" t="str">
        <f>IF(B1942="","",IFERROR(INDEX(Articles!$E:$E,MATCH(B1942,Articles!$B:$B,0)),""))</f>
        <v/>
      </c>
      <c r="E1942" s="9" t="str">
        <f>IF(OR(C1942="",D1942=""),"",C1942*D1942)</f>
        <v/>
      </c>
      <c r="F1942" s="4"/>
      <c r="G1942" s="4"/>
      <c r="H1942" s="9" t="str">
        <f>IF(OR(B1942="",C1942=""),"",C1942*IFERROR(INDEX(Articles!$D:$D,MATCH(B1942,Articles!$B:$B,0)),0))</f>
        <v/>
      </c>
      <c r="I1942" s="9" t="str">
        <f>IF(OR(E1942="",H1942=""),"",E1942-H1942)</f>
        <v/>
      </c>
      <c r="J1942" s="4"/>
    </row>
    <row r="1943">
      <c r="A1943" s="7"/>
      <c r="B1943" s="4"/>
      <c r="C1943" s="6"/>
      <c r="D1943" s="5" t="str">
        <f>IF(B1943="","",IFERROR(INDEX(Articles!$E:$E,MATCH(B1943,Articles!$B:$B,0)),""))</f>
        <v/>
      </c>
      <c r="E1943" s="9" t="str">
        <f>IF(OR(C1943="",D1943=""),"",C1943*D1943)</f>
        <v/>
      </c>
      <c r="F1943" s="4"/>
      <c r="G1943" s="4"/>
      <c r="H1943" s="9" t="str">
        <f>IF(OR(B1943="",C1943=""),"",C1943*IFERROR(INDEX(Articles!$D:$D,MATCH(B1943,Articles!$B:$B,0)),0))</f>
        <v/>
      </c>
      <c r="I1943" s="9" t="str">
        <f>IF(OR(E1943="",H1943=""),"",E1943-H1943)</f>
        <v/>
      </c>
      <c r="J1943" s="4"/>
    </row>
    <row r="1944">
      <c r="A1944" s="7"/>
      <c r="B1944" s="4"/>
      <c r="C1944" s="6"/>
      <c r="D1944" s="5" t="str">
        <f>IF(B1944="","",IFERROR(INDEX(Articles!$E:$E,MATCH(B1944,Articles!$B:$B,0)),""))</f>
        <v/>
      </c>
      <c r="E1944" s="9" t="str">
        <f>IF(OR(C1944="",D1944=""),"",C1944*D1944)</f>
        <v/>
      </c>
      <c r="F1944" s="4"/>
      <c r="G1944" s="4"/>
      <c r="H1944" s="9" t="str">
        <f>IF(OR(B1944="",C1944=""),"",C1944*IFERROR(INDEX(Articles!$D:$D,MATCH(B1944,Articles!$B:$B,0)),0))</f>
        <v/>
      </c>
      <c r="I1944" s="9" t="str">
        <f>IF(OR(E1944="",H1944=""),"",E1944-H1944)</f>
        <v/>
      </c>
      <c r="J1944" s="4"/>
    </row>
    <row r="1945">
      <c r="A1945" s="7"/>
      <c r="B1945" s="4"/>
      <c r="C1945" s="6"/>
      <c r="D1945" s="5" t="str">
        <f>IF(B1945="","",IFERROR(INDEX(Articles!$E:$E,MATCH(B1945,Articles!$B:$B,0)),""))</f>
        <v/>
      </c>
      <c r="E1945" s="9" t="str">
        <f>IF(OR(C1945="",D1945=""),"",C1945*D1945)</f>
        <v/>
      </c>
      <c r="F1945" s="4"/>
      <c r="G1945" s="4"/>
      <c r="H1945" s="9" t="str">
        <f>IF(OR(B1945="",C1945=""),"",C1945*IFERROR(INDEX(Articles!$D:$D,MATCH(B1945,Articles!$B:$B,0)),0))</f>
        <v/>
      </c>
      <c r="I1945" s="9" t="str">
        <f>IF(OR(E1945="",H1945=""),"",E1945-H1945)</f>
        <v/>
      </c>
      <c r="J1945" s="4"/>
    </row>
    <row r="1946">
      <c r="A1946" s="7"/>
      <c r="B1946" s="4"/>
      <c r="C1946" s="6"/>
      <c r="D1946" s="5" t="str">
        <f>IF(B1946="","",IFERROR(INDEX(Articles!$E:$E,MATCH(B1946,Articles!$B:$B,0)),""))</f>
        <v/>
      </c>
      <c r="E1946" s="9" t="str">
        <f>IF(OR(C1946="",D1946=""),"",C1946*D1946)</f>
        <v/>
      </c>
      <c r="F1946" s="4"/>
      <c r="G1946" s="4"/>
      <c r="H1946" s="9" t="str">
        <f>IF(OR(B1946="",C1946=""),"",C1946*IFERROR(INDEX(Articles!$D:$D,MATCH(B1946,Articles!$B:$B,0)),0))</f>
        <v/>
      </c>
      <c r="I1946" s="9" t="str">
        <f>IF(OR(E1946="",H1946=""),"",E1946-H1946)</f>
        <v/>
      </c>
      <c r="J1946" s="4"/>
    </row>
    <row r="1947">
      <c r="A1947" s="7"/>
      <c r="B1947" s="4"/>
      <c r="C1947" s="6"/>
      <c r="D1947" s="5" t="str">
        <f>IF(B1947="","",IFERROR(INDEX(Articles!$E:$E,MATCH(B1947,Articles!$B:$B,0)),""))</f>
        <v/>
      </c>
      <c r="E1947" s="9" t="str">
        <f>IF(OR(C1947="",D1947=""),"",C1947*D1947)</f>
        <v/>
      </c>
      <c r="F1947" s="4"/>
      <c r="G1947" s="4"/>
      <c r="H1947" s="9" t="str">
        <f>IF(OR(B1947="",C1947=""),"",C1947*IFERROR(INDEX(Articles!$D:$D,MATCH(B1947,Articles!$B:$B,0)),0))</f>
        <v/>
      </c>
      <c r="I1947" s="9" t="str">
        <f>IF(OR(E1947="",H1947=""),"",E1947-H1947)</f>
        <v/>
      </c>
      <c r="J1947" s="4"/>
    </row>
    <row r="1948">
      <c r="A1948" s="7"/>
      <c r="B1948" s="4"/>
      <c r="C1948" s="6"/>
      <c r="D1948" s="5" t="str">
        <f>IF(B1948="","",IFERROR(INDEX(Articles!$E:$E,MATCH(B1948,Articles!$B:$B,0)),""))</f>
        <v/>
      </c>
      <c r="E1948" s="9" t="str">
        <f>IF(OR(C1948="",D1948=""),"",C1948*D1948)</f>
        <v/>
      </c>
      <c r="F1948" s="4"/>
      <c r="G1948" s="4"/>
      <c r="H1948" s="9" t="str">
        <f>IF(OR(B1948="",C1948=""),"",C1948*IFERROR(INDEX(Articles!$D:$D,MATCH(B1948,Articles!$B:$B,0)),0))</f>
        <v/>
      </c>
      <c r="I1948" s="9" t="str">
        <f>IF(OR(E1948="",H1948=""),"",E1948-H1948)</f>
        <v/>
      </c>
      <c r="J1948" s="4"/>
    </row>
    <row r="1949">
      <c r="A1949" s="7"/>
      <c r="B1949" s="4"/>
      <c r="C1949" s="6"/>
      <c r="D1949" s="5" t="str">
        <f>IF(B1949="","",IFERROR(INDEX(Articles!$E:$E,MATCH(B1949,Articles!$B:$B,0)),""))</f>
        <v/>
      </c>
      <c r="E1949" s="9" t="str">
        <f>IF(OR(C1949="",D1949=""),"",C1949*D1949)</f>
        <v/>
      </c>
      <c r="F1949" s="4"/>
      <c r="G1949" s="4"/>
      <c r="H1949" s="9" t="str">
        <f>IF(OR(B1949="",C1949=""),"",C1949*IFERROR(INDEX(Articles!$D:$D,MATCH(B1949,Articles!$B:$B,0)),0))</f>
        <v/>
      </c>
      <c r="I1949" s="9" t="str">
        <f>IF(OR(E1949="",H1949=""),"",E1949-H1949)</f>
        <v/>
      </c>
      <c r="J1949" s="4"/>
    </row>
    <row r="1950">
      <c r="A1950" s="7"/>
      <c r="B1950" s="4"/>
      <c r="C1950" s="6"/>
      <c r="D1950" s="5" t="str">
        <f>IF(B1950="","",IFERROR(INDEX(Articles!$E:$E,MATCH(B1950,Articles!$B:$B,0)),""))</f>
        <v/>
      </c>
      <c r="E1950" s="9" t="str">
        <f>IF(OR(C1950="",D1950=""),"",C1950*D1950)</f>
        <v/>
      </c>
      <c r="F1950" s="4"/>
      <c r="G1950" s="4"/>
      <c r="H1950" s="9" t="str">
        <f>IF(OR(B1950="",C1950=""),"",C1950*IFERROR(INDEX(Articles!$D:$D,MATCH(B1950,Articles!$B:$B,0)),0))</f>
        <v/>
      </c>
      <c r="I1950" s="9" t="str">
        <f>IF(OR(E1950="",H1950=""),"",E1950-H1950)</f>
        <v/>
      </c>
      <c r="J1950" s="4"/>
    </row>
    <row r="1951">
      <c r="A1951" s="7"/>
      <c r="B1951" s="4"/>
      <c r="C1951" s="6"/>
      <c r="D1951" s="5" t="str">
        <f>IF(B1951="","",IFERROR(INDEX(Articles!$E:$E,MATCH(B1951,Articles!$B:$B,0)),""))</f>
        <v/>
      </c>
      <c r="E1951" s="9" t="str">
        <f>IF(OR(C1951="",D1951=""),"",C1951*D1951)</f>
        <v/>
      </c>
      <c r="F1951" s="4"/>
      <c r="G1951" s="4"/>
      <c r="H1951" s="9" t="str">
        <f>IF(OR(B1951="",C1951=""),"",C1951*IFERROR(INDEX(Articles!$D:$D,MATCH(B1951,Articles!$B:$B,0)),0))</f>
        <v/>
      </c>
      <c r="I1951" s="9" t="str">
        <f>IF(OR(E1951="",H1951=""),"",E1951-H1951)</f>
        <v/>
      </c>
      <c r="J1951" s="4"/>
    </row>
    <row r="1952">
      <c r="A1952" s="7"/>
      <c r="B1952" s="4"/>
      <c r="C1952" s="6"/>
      <c r="D1952" s="5" t="str">
        <f>IF(B1952="","",IFERROR(INDEX(Articles!$E:$E,MATCH(B1952,Articles!$B:$B,0)),""))</f>
        <v/>
      </c>
      <c r="E1952" s="9" t="str">
        <f>IF(OR(C1952="",D1952=""),"",C1952*D1952)</f>
        <v/>
      </c>
      <c r="F1952" s="4"/>
      <c r="G1952" s="4"/>
      <c r="H1952" s="9" t="str">
        <f>IF(OR(B1952="",C1952=""),"",C1952*IFERROR(INDEX(Articles!$D:$D,MATCH(B1952,Articles!$B:$B,0)),0))</f>
        <v/>
      </c>
      <c r="I1952" s="9" t="str">
        <f>IF(OR(E1952="",H1952=""),"",E1952-H1952)</f>
        <v/>
      </c>
      <c r="J1952" s="4"/>
    </row>
    <row r="1953">
      <c r="A1953" s="7"/>
      <c r="B1953" s="4"/>
      <c r="C1953" s="6"/>
      <c r="D1953" s="5" t="str">
        <f>IF(B1953="","",IFERROR(INDEX(Articles!$E:$E,MATCH(B1953,Articles!$B:$B,0)),""))</f>
        <v/>
      </c>
      <c r="E1953" s="9" t="str">
        <f>IF(OR(C1953="",D1953=""),"",C1953*D1953)</f>
        <v/>
      </c>
      <c r="F1953" s="4"/>
      <c r="G1953" s="4"/>
      <c r="H1953" s="9" t="str">
        <f>IF(OR(B1953="",C1953=""),"",C1953*IFERROR(INDEX(Articles!$D:$D,MATCH(B1953,Articles!$B:$B,0)),0))</f>
        <v/>
      </c>
      <c r="I1953" s="9" t="str">
        <f>IF(OR(E1953="",H1953=""),"",E1953-H1953)</f>
        <v/>
      </c>
      <c r="J1953" s="4"/>
    </row>
    <row r="1954">
      <c r="A1954" s="7"/>
      <c r="B1954" s="4"/>
      <c r="C1954" s="6"/>
      <c r="D1954" s="5" t="str">
        <f>IF(B1954="","",IFERROR(INDEX(Articles!$E:$E,MATCH(B1954,Articles!$B:$B,0)),""))</f>
        <v/>
      </c>
      <c r="E1954" s="9" t="str">
        <f>IF(OR(C1954="",D1954=""),"",C1954*D1954)</f>
        <v/>
      </c>
      <c r="F1954" s="4"/>
      <c r="G1954" s="4"/>
      <c r="H1954" s="9" t="str">
        <f>IF(OR(B1954="",C1954=""),"",C1954*IFERROR(INDEX(Articles!$D:$D,MATCH(B1954,Articles!$B:$B,0)),0))</f>
        <v/>
      </c>
      <c r="I1954" s="9" t="str">
        <f>IF(OR(E1954="",H1954=""),"",E1954-H1954)</f>
        <v/>
      </c>
      <c r="J1954" s="4"/>
    </row>
    <row r="1955">
      <c r="A1955" s="7"/>
      <c r="B1955" s="4"/>
      <c r="C1955" s="6"/>
      <c r="D1955" s="5" t="str">
        <f>IF(B1955="","",IFERROR(INDEX(Articles!$E:$E,MATCH(B1955,Articles!$B:$B,0)),""))</f>
        <v/>
      </c>
      <c r="E1955" s="9" t="str">
        <f>IF(OR(C1955="",D1955=""),"",C1955*D1955)</f>
        <v/>
      </c>
      <c r="F1955" s="4"/>
      <c r="G1955" s="4"/>
      <c r="H1955" s="9" t="str">
        <f>IF(OR(B1955="",C1955=""),"",C1955*IFERROR(INDEX(Articles!$D:$D,MATCH(B1955,Articles!$B:$B,0)),0))</f>
        <v/>
      </c>
      <c r="I1955" s="9" t="str">
        <f>IF(OR(E1955="",H1955=""),"",E1955-H1955)</f>
        <v/>
      </c>
      <c r="J1955" s="4"/>
    </row>
    <row r="1956">
      <c r="A1956" s="7"/>
      <c r="B1956" s="4"/>
      <c r="C1956" s="6"/>
      <c r="D1956" s="5" t="str">
        <f>IF(B1956="","",IFERROR(INDEX(Articles!$E:$E,MATCH(B1956,Articles!$B:$B,0)),""))</f>
        <v/>
      </c>
      <c r="E1956" s="9" t="str">
        <f>IF(OR(C1956="",D1956=""),"",C1956*D1956)</f>
        <v/>
      </c>
      <c r="F1956" s="4"/>
      <c r="G1956" s="4"/>
      <c r="H1956" s="9" t="str">
        <f>IF(OR(B1956="",C1956=""),"",C1956*IFERROR(INDEX(Articles!$D:$D,MATCH(B1956,Articles!$B:$B,0)),0))</f>
        <v/>
      </c>
      <c r="I1956" s="9" t="str">
        <f>IF(OR(E1956="",H1956=""),"",E1956-H1956)</f>
        <v/>
      </c>
      <c r="J1956" s="4"/>
    </row>
    <row r="1957">
      <c r="A1957" s="7"/>
      <c r="B1957" s="4"/>
      <c r="C1957" s="6"/>
      <c r="D1957" s="5" t="str">
        <f>IF(B1957="","",IFERROR(INDEX(Articles!$E:$E,MATCH(B1957,Articles!$B:$B,0)),""))</f>
        <v/>
      </c>
      <c r="E1957" s="9" t="str">
        <f>IF(OR(C1957="",D1957=""),"",C1957*D1957)</f>
        <v/>
      </c>
      <c r="F1957" s="4"/>
      <c r="G1957" s="4"/>
      <c r="H1957" s="9" t="str">
        <f>IF(OR(B1957="",C1957=""),"",C1957*IFERROR(INDEX(Articles!$D:$D,MATCH(B1957,Articles!$B:$B,0)),0))</f>
        <v/>
      </c>
      <c r="I1957" s="9" t="str">
        <f>IF(OR(E1957="",H1957=""),"",E1957-H1957)</f>
        <v/>
      </c>
      <c r="J1957" s="4"/>
    </row>
    <row r="1958">
      <c r="A1958" s="7"/>
      <c r="B1958" s="4"/>
      <c r="C1958" s="6"/>
      <c r="D1958" s="5" t="str">
        <f>IF(B1958="","",IFERROR(INDEX(Articles!$E:$E,MATCH(B1958,Articles!$B:$B,0)),""))</f>
        <v/>
      </c>
      <c r="E1958" s="9" t="str">
        <f>IF(OR(C1958="",D1958=""),"",C1958*D1958)</f>
        <v/>
      </c>
      <c r="F1958" s="4"/>
      <c r="G1958" s="4"/>
      <c r="H1958" s="9" t="str">
        <f>IF(OR(B1958="",C1958=""),"",C1958*IFERROR(INDEX(Articles!$D:$D,MATCH(B1958,Articles!$B:$B,0)),0))</f>
        <v/>
      </c>
      <c r="I1958" s="9" t="str">
        <f>IF(OR(E1958="",H1958=""),"",E1958-H1958)</f>
        <v/>
      </c>
      <c r="J1958" s="4"/>
    </row>
    <row r="1959">
      <c r="A1959" s="7"/>
      <c r="B1959" s="4"/>
      <c r="C1959" s="6"/>
      <c r="D1959" s="5" t="str">
        <f>IF(B1959="","",IFERROR(INDEX(Articles!$E:$E,MATCH(B1959,Articles!$B:$B,0)),""))</f>
        <v/>
      </c>
      <c r="E1959" s="9" t="str">
        <f>IF(OR(C1959="",D1959=""),"",C1959*D1959)</f>
        <v/>
      </c>
      <c r="F1959" s="4"/>
      <c r="G1959" s="4"/>
      <c r="H1959" s="9" t="str">
        <f>IF(OR(B1959="",C1959=""),"",C1959*IFERROR(INDEX(Articles!$D:$D,MATCH(B1959,Articles!$B:$B,0)),0))</f>
        <v/>
      </c>
      <c r="I1959" s="9" t="str">
        <f>IF(OR(E1959="",H1959=""),"",E1959-H1959)</f>
        <v/>
      </c>
      <c r="J1959" s="4"/>
    </row>
    <row r="1960">
      <c r="A1960" s="7"/>
      <c r="B1960" s="4"/>
      <c r="C1960" s="6"/>
      <c r="D1960" s="5" t="str">
        <f>IF(B1960="","",IFERROR(INDEX(Articles!$E:$E,MATCH(B1960,Articles!$B:$B,0)),""))</f>
        <v/>
      </c>
      <c r="E1960" s="9" t="str">
        <f>IF(OR(C1960="",D1960=""),"",C1960*D1960)</f>
        <v/>
      </c>
      <c r="F1960" s="4"/>
      <c r="G1960" s="4"/>
      <c r="H1960" s="9" t="str">
        <f>IF(OR(B1960="",C1960=""),"",C1960*IFERROR(INDEX(Articles!$D:$D,MATCH(B1960,Articles!$B:$B,0)),0))</f>
        <v/>
      </c>
      <c r="I1960" s="9" t="str">
        <f>IF(OR(E1960="",H1960=""),"",E1960-H1960)</f>
        <v/>
      </c>
      <c r="J1960" s="4"/>
    </row>
    <row r="1961">
      <c r="A1961" s="7"/>
      <c r="B1961" s="4"/>
      <c r="C1961" s="6"/>
      <c r="D1961" s="5" t="str">
        <f>IF(B1961="","",IFERROR(INDEX(Articles!$E:$E,MATCH(B1961,Articles!$B:$B,0)),""))</f>
        <v/>
      </c>
      <c r="E1961" s="9" t="str">
        <f>IF(OR(C1961="",D1961=""),"",C1961*D1961)</f>
        <v/>
      </c>
      <c r="F1961" s="4"/>
      <c r="G1961" s="4"/>
      <c r="H1961" s="9" t="str">
        <f>IF(OR(B1961="",C1961=""),"",C1961*IFERROR(INDEX(Articles!$D:$D,MATCH(B1961,Articles!$B:$B,0)),0))</f>
        <v/>
      </c>
      <c r="I1961" s="9" t="str">
        <f>IF(OR(E1961="",H1961=""),"",E1961-H1961)</f>
        <v/>
      </c>
      <c r="J1961" s="4"/>
    </row>
    <row r="1962">
      <c r="A1962" s="7"/>
      <c r="B1962" s="4"/>
      <c r="C1962" s="6"/>
      <c r="D1962" s="5" t="str">
        <f>IF(B1962="","",IFERROR(INDEX(Articles!$E:$E,MATCH(B1962,Articles!$B:$B,0)),""))</f>
        <v/>
      </c>
      <c r="E1962" s="9" t="str">
        <f>IF(OR(C1962="",D1962=""),"",C1962*D1962)</f>
        <v/>
      </c>
      <c r="F1962" s="4"/>
      <c r="G1962" s="4"/>
      <c r="H1962" s="9" t="str">
        <f>IF(OR(B1962="",C1962=""),"",C1962*IFERROR(INDEX(Articles!$D:$D,MATCH(B1962,Articles!$B:$B,0)),0))</f>
        <v/>
      </c>
      <c r="I1962" s="9" t="str">
        <f>IF(OR(E1962="",H1962=""),"",E1962-H1962)</f>
        <v/>
      </c>
      <c r="J1962" s="4"/>
    </row>
    <row r="1963">
      <c r="A1963" s="7"/>
      <c r="B1963" s="4"/>
      <c r="C1963" s="6"/>
      <c r="D1963" s="5" t="str">
        <f>IF(B1963="","",IFERROR(INDEX(Articles!$E:$E,MATCH(B1963,Articles!$B:$B,0)),""))</f>
        <v/>
      </c>
      <c r="E1963" s="9" t="str">
        <f>IF(OR(C1963="",D1963=""),"",C1963*D1963)</f>
        <v/>
      </c>
      <c r="F1963" s="4"/>
      <c r="G1963" s="4"/>
      <c r="H1963" s="9" t="str">
        <f>IF(OR(B1963="",C1963=""),"",C1963*IFERROR(INDEX(Articles!$D:$D,MATCH(B1963,Articles!$B:$B,0)),0))</f>
        <v/>
      </c>
      <c r="I1963" s="9" t="str">
        <f>IF(OR(E1963="",H1963=""),"",E1963-H1963)</f>
        <v/>
      </c>
      <c r="J1963" s="4"/>
    </row>
    <row r="1964">
      <c r="A1964" s="7"/>
      <c r="B1964" s="4"/>
      <c r="C1964" s="6"/>
      <c r="D1964" s="5" t="str">
        <f>IF(B1964="","",IFERROR(INDEX(Articles!$E:$E,MATCH(B1964,Articles!$B:$B,0)),""))</f>
        <v/>
      </c>
      <c r="E1964" s="9" t="str">
        <f>IF(OR(C1964="",D1964=""),"",C1964*D1964)</f>
        <v/>
      </c>
      <c r="F1964" s="4"/>
      <c r="G1964" s="4"/>
      <c r="H1964" s="9" t="str">
        <f>IF(OR(B1964="",C1964=""),"",C1964*IFERROR(INDEX(Articles!$D:$D,MATCH(B1964,Articles!$B:$B,0)),0))</f>
        <v/>
      </c>
      <c r="I1964" s="9" t="str">
        <f>IF(OR(E1964="",H1964=""),"",E1964-H1964)</f>
        <v/>
      </c>
      <c r="J1964" s="4"/>
    </row>
    <row r="1965">
      <c r="A1965" s="7"/>
      <c r="B1965" s="4"/>
      <c r="C1965" s="6"/>
      <c r="D1965" s="5" t="str">
        <f>IF(B1965="","",IFERROR(INDEX(Articles!$E:$E,MATCH(B1965,Articles!$B:$B,0)),""))</f>
        <v/>
      </c>
      <c r="E1965" s="9" t="str">
        <f>IF(OR(C1965="",D1965=""),"",C1965*D1965)</f>
        <v/>
      </c>
      <c r="F1965" s="4"/>
      <c r="G1965" s="4"/>
      <c r="H1965" s="9" t="str">
        <f>IF(OR(B1965="",C1965=""),"",C1965*IFERROR(INDEX(Articles!$D:$D,MATCH(B1965,Articles!$B:$B,0)),0))</f>
        <v/>
      </c>
      <c r="I1965" s="9" t="str">
        <f>IF(OR(E1965="",H1965=""),"",E1965-H1965)</f>
        <v/>
      </c>
      <c r="J1965" s="4"/>
    </row>
    <row r="1966">
      <c r="A1966" s="7"/>
      <c r="B1966" s="4"/>
      <c r="C1966" s="6"/>
      <c r="D1966" s="5" t="str">
        <f>IF(B1966="","",IFERROR(INDEX(Articles!$E:$E,MATCH(B1966,Articles!$B:$B,0)),""))</f>
        <v/>
      </c>
      <c r="E1966" s="9" t="str">
        <f>IF(OR(C1966="",D1966=""),"",C1966*D1966)</f>
        <v/>
      </c>
      <c r="F1966" s="4"/>
      <c r="G1966" s="4"/>
      <c r="H1966" s="9" t="str">
        <f>IF(OR(B1966="",C1966=""),"",C1966*IFERROR(INDEX(Articles!$D:$D,MATCH(B1966,Articles!$B:$B,0)),0))</f>
        <v/>
      </c>
      <c r="I1966" s="9" t="str">
        <f>IF(OR(E1966="",H1966=""),"",E1966-H1966)</f>
        <v/>
      </c>
      <c r="J1966" s="4"/>
    </row>
    <row r="1967">
      <c r="A1967" s="7"/>
      <c r="B1967" s="4"/>
      <c r="C1967" s="6"/>
      <c r="D1967" s="5" t="str">
        <f>IF(B1967="","",IFERROR(INDEX(Articles!$E:$E,MATCH(B1967,Articles!$B:$B,0)),""))</f>
        <v/>
      </c>
      <c r="E1967" s="9" t="str">
        <f>IF(OR(C1967="",D1967=""),"",C1967*D1967)</f>
        <v/>
      </c>
      <c r="F1967" s="4"/>
      <c r="G1967" s="4"/>
      <c r="H1967" s="9" t="str">
        <f>IF(OR(B1967="",C1967=""),"",C1967*IFERROR(INDEX(Articles!$D:$D,MATCH(B1967,Articles!$B:$B,0)),0))</f>
        <v/>
      </c>
      <c r="I1967" s="9" t="str">
        <f>IF(OR(E1967="",H1967=""),"",E1967-H1967)</f>
        <v/>
      </c>
      <c r="J1967" s="4"/>
    </row>
    <row r="1968">
      <c r="A1968" s="7"/>
      <c r="B1968" s="4"/>
      <c r="C1968" s="6"/>
      <c r="D1968" s="5" t="str">
        <f>IF(B1968="","",IFERROR(INDEX(Articles!$E:$E,MATCH(B1968,Articles!$B:$B,0)),""))</f>
        <v/>
      </c>
      <c r="E1968" s="9" t="str">
        <f>IF(OR(C1968="",D1968=""),"",C1968*D1968)</f>
        <v/>
      </c>
      <c r="F1968" s="4"/>
      <c r="G1968" s="4"/>
      <c r="H1968" s="9" t="str">
        <f>IF(OR(B1968="",C1968=""),"",C1968*IFERROR(INDEX(Articles!$D:$D,MATCH(B1968,Articles!$B:$B,0)),0))</f>
        <v/>
      </c>
      <c r="I1968" s="9" t="str">
        <f>IF(OR(E1968="",H1968=""),"",E1968-H1968)</f>
        <v/>
      </c>
      <c r="J1968" s="4"/>
    </row>
    <row r="1969">
      <c r="A1969" s="7"/>
      <c r="B1969" s="4"/>
      <c r="C1969" s="6"/>
      <c r="D1969" s="5" t="str">
        <f>IF(B1969="","",IFERROR(INDEX(Articles!$E:$E,MATCH(B1969,Articles!$B:$B,0)),""))</f>
        <v/>
      </c>
      <c r="E1969" s="9" t="str">
        <f>IF(OR(C1969="",D1969=""),"",C1969*D1969)</f>
        <v/>
      </c>
      <c r="F1969" s="4"/>
      <c r="G1969" s="4"/>
      <c r="H1969" s="9" t="str">
        <f>IF(OR(B1969="",C1969=""),"",C1969*IFERROR(INDEX(Articles!$D:$D,MATCH(B1969,Articles!$B:$B,0)),0))</f>
        <v/>
      </c>
      <c r="I1969" s="9" t="str">
        <f>IF(OR(E1969="",H1969=""),"",E1969-H1969)</f>
        <v/>
      </c>
      <c r="J1969" s="4"/>
    </row>
    <row r="1970">
      <c r="A1970" s="7"/>
      <c r="B1970" s="4"/>
      <c r="C1970" s="6"/>
      <c r="D1970" s="5" t="str">
        <f>IF(B1970="","",IFERROR(INDEX(Articles!$E:$E,MATCH(B1970,Articles!$B:$B,0)),""))</f>
        <v/>
      </c>
      <c r="E1970" s="9" t="str">
        <f>IF(OR(C1970="",D1970=""),"",C1970*D1970)</f>
        <v/>
      </c>
      <c r="F1970" s="4"/>
      <c r="G1970" s="4"/>
      <c r="H1970" s="9" t="str">
        <f>IF(OR(B1970="",C1970=""),"",C1970*IFERROR(INDEX(Articles!$D:$D,MATCH(B1970,Articles!$B:$B,0)),0))</f>
        <v/>
      </c>
      <c r="I1970" s="9" t="str">
        <f>IF(OR(E1970="",H1970=""),"",E1970-H1970)</f>
        <v/>
      </c>
      <c r="J1970" s="4"/>
    </row>
    <row r="1971">
      <c r="A1971" s="7"/>
      <c r="B1971" s="4"/>
      <c r="C1971" s="6"/>
      <c r="D1971" s="5" t="str">
        <f>IF(B1971="","",IFERROR(INDEX(Articles!$E:$E,MATCH(B1971,Articles!$B:$B,0)),""))</f>
        <v/>
      </c>
      <c r="E1971" s="9" t="str">
        <f>IF(OR(C1971="",D1971=""),"",C1971*D1971)</f>
        <v/>
      </c>
      <c r="F1971" s="4"/>
      <c r="G1971" s="4"/>
      <c r="H1971" s="9" t="str">
        <f>IF(OR(B1971="",C1971=""),"",C1971*IFERROR(INDEX(Articles!$D:$D,MATCH(B1971,Articles!$B:$B,0)),0))</f>
        <v/>
      </c>
      <c r="I1971" s="9" t="str">
        <f>IF(OR(E1971="",H1971=""),"",E1971-H1971)</f>
        <v/>
      </c>
      <c r="J1971" s="4"/>
    </row>
    <row r="1972">
      <c r="A1972" s="7"/>
      <c r="B1972" s="4"/>
      <c r="C1972" s="6"/>
      <c r="D1972" s="5" t="str">
        <f>IF(B1972="","",IFERROR(INDEX(Articles!$E:$E,MATCH(B1972,Articles!$B:$B,0)),""))</f>
        <v/>
      </c>
      <c r="E1972" s="9" t="str">
        <f>IF(OR(C1972="",D1972=""),"",C1972*D1972)</f>
        <v/>
      </c>
      <c r="F1972" s="4"/>
      <c r="G1972" s="4"/>
      <c r="H1972" s="9" t="str">
        <f>IF(OR(B1972="",C1972=""),"",C1972*IFERROR(INDEX(Articles!$D:$D,MATCH(B1972,Articles!$B:$B,0)),0))</f>
        <v/>
      </c>
      <c r="I1972" s="9" t="str">
        <f>IF(OR(E1972="",H1972=""),"",E1972-H1972)</f>
        <v/>
      </c>
      <c r="J1972" s="4"/>
    </row>
    <row r="1973">
      <c r="A1973" s="7"/>
      <c r="B1973" s="4"/>
      <c r="C1973" s="6"/>
      <c r="D1973" s="5" t="str">
        <f>IF(B1973="","",IFERROR(INDEX(Articles!$E:$E,MATCH(B1973,Articles!$B:$B,0)),""))</f>
        <v/>
      </c>
      <c r="E1973" s="9" t="str">
        <f>IF(OR(C1973="",D1973=""),"",C1973*D1973)</f>
        <v/>
      </c>
      <c r="F1973" s="4"/>
      <c r="G1973" s="4"/>
      <c r="H1973" s="9" t="str">
        <f>IF(OR(B1973="",C1973=""),"",C1973*IFERROR(INDEX(Articles!$D:$D,MATCH(B1973,Articles!$B:$B,0)),0))</f>
        <v/>
      </c>
      <c r="I1973" s="9" t="str">
        <f>IF(OR(E1973="",H1973=""),"",E1973-H1973)</f>
        <v/>
      </c>
      <c r="J1973" s="4"/>
    </row>
    <row r="1974">
      <c r="A1974" s="7"/>
      <c r="B1974" s="4"/>
      <c r="C1974" s="6"/>
      <c r="D1974" s="5" t="str">
        <f>IF(B1974="","",IFERROR(INDEX(Articles!$E:$E,MATCH(B1974,Articles!$B:$B,0)),""))</f>
        <v/>
      </c>
      <c r="E1974" s="9" t="str">
        <f>IF(OR(C1974="",D1974=""),"",C1974*D1974)</f>
        <v/>
      </c>
      <c r="F1974" s="4"/>
      <c r="G1974" s="4"/>
      <c r="H1974" s="9" t="str">
        <f>IF(OR(B1974="",C1974=""),"",C1974*IFERROR(INDEX(Articles!$D:$D,MATCH(B1974,Articles!$B:$B,0)),0))</f>
        <v/>
      </c>
      <c r="I1974" s="9" t="str">
        <f>IF(OR(E1974="",H1974=""),"",E1974-H1974)</f>
        <v/>
      </c>
      <c r="J1974" s="4"/>
    </row>
    <row r="1975">
      <c r="A1975" s="7"/>
      <c r="B1975" s="4"/>
      <c r="C1975" s="6"/>
      <c r="D1975" s="5" t="str">
        <f>IF(B1975="","",IFERROR(INDEX(Articles!$E:$E,MATCH(B1975,Articles!$B:$B,0)),""))</f>
        <v/>
      </c>
      <c r="E1975" s="9" t="str">
        <f>IF(OR(C1975="",D1975=""),"",C1975*D1975)</f>
        <v/>
      </c>
      <c r="F1975" s="4"/>
      <c r="G1975" s="4"/>
      <c r="H1975" s="9" t="str">
        <f>IF(OR(B1975="",C1975=""),"",C1975*IFERROR(INDEX(Articles!$D:$D,MATCH(B1975,Articles!$B:$B,0)),0))</f>
        <v/>
      </c>
      <c r="I1975" s="9" t="str">
        <f>IF(OR(E1975="",H1975=""),"",E1975-H1975)</f>
        <v/>
      </c>
      <c r="J1975" s="4"/>
    </row>
    <row r="1976">
      <c r="A1976" s="7"/>
      <c r="B1976" s="4"/>
      <c r="C1976" s="6"/>
      <c r="D1976" s="5" t="str">
        <f>IF(B1976="","",IFERROR(INDEX(Articles!$E:$E,MATCH(B1976,Articles!$B:$B,0)),""))</f>
        <v/>
      </c>
      <c r="E1976" s="9" t="str">
        <f>IF(OR(C1976="",D1976=""),"",C1976*D1976)</f>
        <v/>
      </c>
      <c r="F1976" s="4"/>
      <c r="G1976" s="4"/>
      <c r="H1976" s="9" t="str">
        <f>IF(OR(B1976="",C1976=""),"",C1976*IFERROR(INDEX(Articles!$D:$D,MATCH(B1976,Articles!$B:$B,0)),0))</f>
        <v/>
      </c>
      <c r="I1976" s="9" t="str">
        <f>IF(OR(E1976="",H1976=""),"",E1976-H1976)</f>
        <v/>
      </c>
      <c r="J1976" s="4"/>
    </row>
    <row r="1977">
      <c r="A1977" s="7"/>
      <c r="B1977" s="4"/>
      <c r="C1977" s="6"/>
      <c r="D1977" s="5" t="str">
        <f>IF(B1977="","",IFERROR(INDEX(Articles!$E:$E,MATCH(B1977,Articles!$B:$B,0)),""))</f>
        <v/>
      </c>
      <c r="E1977" s="9" t="str">
        <f>IF(OR(C1977="",D1977=""),"",C1977*D1977)</f>
        <v/>
      </c>
      <c r="F1977" s="4"/>
      <c r="G1977" s="4"/>
      <c r="H1977" s="9" t="str">
        <f>IF(OR(B1977="",C1977=""),"",C1977*IFERROR(INDEX(Articles!$D:$D,MATCH(B1977,Articles!$B:$B,0)),0))</f>
        <v/>
      </c>
      <c r="I1977" s="9" t="str">
        <f>IF(OR(E1977="",H1977=""),"",E1977-H1977)</f>
        <v/>
      </c>
      <c r="J1977" s="4"/>
    </row>
    <row r="1978">
      <c r="A1978" s="7"/>
      <c r="B1978" s="4"/>
      <c r="C1978" s="6"/>
      <c r="D1978" s="5" t="str">
        <f>IF(B1978="","",IFERROR(INDEX(Articles!$E:$E,MATCH(B1978,Articles!$B:$B,0)),""))</f>
        <v/>
      </c>
      <c r="E1978" s="9" t="str">
        <f>IF(OR(C1978="",D1978=""),"",C1978*D1978)</f>
        <v/>
      </c>
      <c r="F1978" s="4"/>
      <c r="G1978" s="4"/>
      <c r="H1978" s="9" t="str">
        <f>IF(OR(B1978="",C1978=""),"",C1978*IFERROR(INDEX(Articles!$D:$D,MATCH(B1978,Articles!$B:$B,0)),0))</f>
        <v/>
      </c>
      <c r="I1978" s="9" t="str">
        <f>IF(OR(E1978="",H1978=""),"",E1978-H1978)</f>
        <v/>
      </c>
      <c r="J1978" s="4"/>
    </row>
    <row r="1979">
      <c r="A1979" s="7"/>
      <c r="B1979" s="4"/>
      <c r="C1979" s="6"/>
      <c r="D1979" s="5" t="str">
        <f>IF(B1979="","",IFERROR(INDEX(Articles!$E:$E,MATCH(B1979,Articles!$B:$B,0)),""))</f>
        <v/>
      </c>
      <c r="E1979" s="9" t="str">
        <f>IF(OR(C1979="",D1979=""),"",C1979*D1979)</f>
        <v/>
      </c>
      <c r="F1979" s="4"/>
      <c r="G1979" s="4"/>
      <c r="H1979" s="9" t="str">
        <f>IF(OR(B1979="",C1979=""),"",C1979*IFERROR(INDEX(Articles!$D:$D,MATCH(B1979,Articles!$B:$B,0)),0))</f>
        <v/>
      </c>
      <c r="I1979" s="9" t="str">
        <f>IF(OR(E1979="",H1979=""),"",E1979-H1979)</f>
        <v/>
      </c>
      <c r="J1979" s="4"/>
    </row>
    <row r="1980">
      <c r="A1980" s="7"/>
      <c r="B1980" s="4"/>
      <c r="C1980" s="6"/>
      <c r="D1980" s="5" t="str">
        <f>IF(B1980="","",IFERROR(INDEX(Articles!$E:$E,MATCH(B1980,Articles!$B:$B,0)),""))</f>
        <v/>
      </c>
      <c r="E1980" s="9" t="str">
        <f>IF(OR(C1980="",D1980=""),"",C1980*D1980)</f>
        <v/>
      </c>
      <c r="F1980" s="4"/>
      <c r="G1980" s="4"/>
      <c r="H1980" s="9" t="str">
        <f>IF(OR(B1980="",C1980=""),"",C1980*IFERROR(INDEX(Articles!$D:$D,MATCH(B1980,Articles!$B:$B,0)),0))</f>
        <v/>
      </c>
      <c r="I1980" s="9" t="str">
        <f>IF(OR(E1980="",H1980=""),"",E1980-H1980)</f>
        <v/>
      </c>
      <c r="J1980" s="4"/>
    </row>
    <row r="1981">
      <c r="A1981" s="7"/>
      <c r="B1981" s="4"/>
      <c r="C1981" s="6"/>
      <c r="D1981" s="5" t="str">
        <f>IF(B1981="","",IFERROR(INDEX(Articles!$E:$E,MATCH(B1981,Articles!$B:$B,0)),""))</f>
        <v/>
      </c>
      <c r="E1981" s="9" t="str">
        <f>IF(OR(C1981="",D1981=""),"",C1981*D1981)</f>
        <v/>
      </c>
      <c r="F1981" s="4"/>
      <c r="G1981" s="4"/>
      <c r="H1981" s="9" t="str">
        <f>IF(OR(B1981="",C1981=""),"",C1981*IFERROR(INDEX(Articles!$D:$D,MATCH(B1981,Articles!$B:$B,0)),0))</f>
        <v/>
      </c>
      <c r="I1981" s="9" t="str">
        <f>IF(OR(E1981="",H1981=""),"",E1981-H1981)</f>
        <v/>
      </c>
      <c r="J1981" s="4"/>
    </row>
    <row r="1982">
      <c r="A1982" s="7"/>
      <c r="B1982" s="4"/>
      <c r="C1982" s="6"/>
      <c r="D1982" s="5" t="str">
        <f>IF(B1982="","",IFERROR(INDEX(Articles!$E:$E,MATCH(B1982,Articles!$B:$B,0)),""))</f>
        <v/>
      </c>
      <c r="E1982" s="9" t="str">
        <f>IF(OR(C1982="",D1982=""),"",C1982*D1982)</f>
        <v/>
      </c>
      <c r="F1982" s="4"/>
      <c r="G1982" s="4"/>
      <c r="H1982" s="9" t="str">
        <f>IF(OR(B1982="",C1982=""),"",C1982*IFERROR(INDEX(Articles!$D:$D,MATCH(B1982,Articles!$B:$B,0)),0))</f>
        <v/>
      </c>
      <c r="I1982" s="9" t="str">
        <f>IF(OR(E1982="",H1982=""),"",E1982-H1982)</f>
        <v/>
      </c>
      <c r="J1982" s="4"/>
    </row>
    <row r="1983">
      <c r="A1983" s="7"/>
      <c r="B1983" s="4"/>
      <c r="C1983" s="6"/>
      <c r="D1983" s="5" t="str">
        <f>IF(B1983="","",IFERROR(INDEX(Articles!$E:$E,MATCH(B1983,Articles!$B:$B,0)),""))</f>
        <v/>
      </c>
      <c r="E1983" s="9" t="str">
        <f>IF(OR(C1983="",D1983=""),"",C1983*D1983)</f>
        <v/>
      </c>
      <c r="F1983" s="4"/>
      <c r="G1983" s="4"/>
      <c r="H1983" s="9" t="str">
        <f>IF(OR(B1983="",C1983=""),"",C1983*IFERROR(INDEX(Articles!$D:$D,MATCH(B1983,Articles!$B:$B,0)),0))</f>
        <v/>
      </c>
      <c r="I1983" s="9" t="str">
        <f>IF(OR(E1983="",H1983=""),"",E1983-H1983)</f>
        <v/>
      </c>
      <c r="J1983" s="4"/>
    </row>
    <row r="1984">
      <c r="A1984" s="7"/>
      <c r="B1984" s="4"/>
      <c r="C1984" s="6"/>
      <c r="D1984" s="5" t="str">
        <f>IF(B1984="","",IFERROR(INDEX(Articles!$E:$E,MATCH(B1984,Articles!$B:$B,0)),""))</f>
        <v/>
      </c>
      <c r="E1984" s="9" t="str">
        <f>IF(OR(C1984="",D1984=""),"",C1984*D1984)</f>
        <v/>
      </c>
      <c r="F1984" s="4"/>
      <c r="G1984" s="4"/>
      <c r="H1984" s="9" t="str">
        <f>IF(OR(B1984="",C1984=""),"",C1984*IFERROR(INDEX(Articles!$D:$D,MATCH(B1984,Articles!$B:$B,0)),0))</f>
        <v/>
      </c>
      <c r="I1984" s="9" t="str">
        <f>IF(OR(E1984="",H1984=""),"",E1984-H1984)</f>
        <v/>
      </c>
      <c r="J1984" s="4"/>
    </row>
    <row r="1985">
      <c r="A1985" s="7"/>
      <c r="B1985" s="4"/>
      <c r="C1985" s="6"/>
      <c r="D1985" s="5" t="str">
        <f>IF(B1985="","",IFERROR(INDEX(Articles!$E:$E,MATCH(B1985,Articles!$B:$B,0)),""))</f>
        <v/>
      </c>
      <c r="E1985" s="9" t="str">
        <f>IF(OR(C1985="",D1985=""),"",C1985*D1985)</f>
        <v/>
      </c>
      <c r="F1985" s="4"/>
      <c r="G1985" s="4"/>
      <c r="H1985" s="9" t="str">
        <f>IF(OR(B1985="",C1985=""),"",C1985*IFERROR(INDEX(Articles!$D:$D,MATCH(B1985,Articles!$B:$B,0)),0))</f>
        <v/>
      </c>
      <c r="I1985" s="9" t="str">
        <f>IF(OR(E1985="",H1985=""),"",E1985-H1985)</f>
        <v/>
      </c>
      <c r="J1985" s="4"/>
    </row>
    <row r="1986">
      <c r="A1986" s="7"/>
      <c r="B1986" s="4"/>
      <c r="C1986" s="6"/>
      <c r="D1986" s="5" t="str">
        <f>IF(B1986="","",IFERROR(INDEX(Articles!$E:$E,MATCH(B1986,Articles!$B:$B,0)),""))</f>
        <v/>
      </c>
      <c r="E1986" s="9" t="str">
        <f>IF(OR(C1986="",D1986=""),"",C1986*D1986)</f>
        <v/>
      </c>
      <c r="F1986" s="4"/>
      <c r="G1986" s="4"/>
      <c r="H1986" s="9" t="str">
        <f>IF(OR(B1986="",C1986=""),"",C1986*IFERROR(INDEX(Articles!$D:$D,MATCH(B1986,Articles!$B:$B,0)),0))</f>
        <v/>
      </c>
      <c r="I1986" s="9" t="str">
        <f>IF(OR(E1986="",H1986=""),"",E1986-H1986)</f>
        <v/>
      </c>
      <c r="J1986" s="4"/>
    </row>
    <row r="1987">
      <c r="A1987" s="7"/>
      <c r="B1987" s="4"/>
      <c r="C1987" s="6"/>
      <c r="D1987" s="5" t="str">
        <f>IF(B1987="","",IFERROR(INDEX(Articles!$E:$E,MATCH(B1987,Articles!$B:$B,0)),""))</f>
        <v/>
      </c>
      <c r="E1987" s="9" t="str">
        <f>IF(OR(C1987="",D1987=""),"",C1987*D1987)</f>
        <v/>
      </c>
      <c r="F1987" s="4"/>
      <c r="G1987" s="4"/>
      <c r="H1987" s="9" t="str">
        <f>IF(OR(B1987="",C1987=""),"",C1987*IFERROR(INDEX(Articles!$D:$D,MATCH(B1987,Articles!$B:$B,0)),0))</f>
        <v/>
      </c>
      <c r="I1987" s="9" t="str">
        <f>IF(OR(E1987="",H1987=""),"",E1987-H1987)</f>
        <v/>
      </c>
      <c r="J1987" s="4"/>
    </row>
    <row r="1988">
      <c r="A1988" s="7"/>
      <c r="B1988" s="4"/>
      <c r="C1988" s="6"/>
      <c r="D1988" s="5" t="str">
        <f>IF(B1988="","",IFERROR(INDEX(Articles!$E:$E,MATCH(B1988,Articles!$B:$B,0)),""))</f>
        <v/>
      </c>
      <c r="E1988" s="9" t="str">
        <f>IF(OR(C1988="",D1988=""),"",C1988*D1988)</f>
        <v/>
      </c>
      <c r="F1988" s="4"/>
      <c r="G1988" s="4"/>
      <c r="H1988" s="9" t="str">
        <f>IF(OR(B1988="",C1988=""),"",C1988*IFERROR(INDEX(Articles!$D:$D,MATCH(B1988,Articles!$B:$B,0)),0))</f>
        <v/>
      </c>
      <c r="I1988" s="9" t="str">
        <f>IF(OR(E1988="",H1988=""),"",E1988-H1988)</f>
        <v/>
      </c>
      <c r="J1988" s="4"/>
    </row>
    <row r="1989">
      <c r="A1989" s="7"/>
      <c r="B1989" s="4"/>
      <c r="C1989" s="6"/>
      <c r="D1989" s="5" t="str">
        <f>IF(B1989="","",IFERROR(INDEX(Articles!$E:$E,MATCH(B1989,Articles!$B:$B,0)),""))</f>
        <v/>
      </c>
      <c r="E1989" s="9" t="str">
        <f>IF(OR(C1989="",D1989=""),"",C1989*D1989)</f>
        <v/>
      </c>
      <c r="F1989" s="4"/>
      <c r="G1989" s="4"/>
      <c r="H1989" s="9" t="str">
        <f>IF(OR(B1989="",C1989=""),"",C1989*IFERROR(INDEX(Articles!$D:$D,MATCH(B1989,Articles!$B:$B,0)),0))</f>
        <v/>
      </c>
      <c r="I1989" s="9" t="str">
        <f>IF(OR(E1989="",H1989=""),"",E1989-H1989)</f>
        <v/>
      </c>
      <c r="J1989" s="4"/>
    </row>
    <row r="1990">
      <c r="A1990" s="7"/>
      <c r="B1990" s="4"/>
      <c r="C1990" s="6"/>
      <c r="D1990" s="5" t="str">
        <f>IF(B1990="","",IFERROR(INDEX(Articles!$E:$E,MATCH(B1990,Articles!$B:$B,0)),""))</f>
        <v/>
      </c>
      <c r="E1990" s="9" t="str">
        <f>IF(OR(C1990="",D1990=""),"",C1990*D1990)</f>
        <v/>
      </c>
      <c r="F1990" s="4"/>
      <c r="G1990" s="4"/>
      <c r="H1990" s="9" t="str">
        <f>IF(OR(B1990="",C1990=""),"",C1990*IFERROR(INDEX(Articles!$D:$D,MATCH(B1990,Articles!$B:$B,0)),0))</f>
        <v/>
      </c>
      <c r="I1990" s="9" t="str">
        <f>IF(OR(E1990="",H1990=""),"",E1990-H1990)</f>
        <v/>
      </c>
      <c r="J1990" s="4"/>
    </row>
    <row r="1991">
      <c r="A1991" s="7"/>
      <c r="B1991" s="4"/>
      <c r="C1991" s="6"/>
      <c r="D1991" s="5" t="str">
        <f>IF(B1991="","",IFERROR(INDEX(Articles!$E:$E,MATCH(B1991,Articles!$B:$B,0)),""))</f>
        <v/>
      </c>
      <c r="E1991" s="9" t="str">
        <f>IF(OR(C1991="",D1991=""),"",C1991*D1991)</f>
        <v/>
      </c>
      <c r="F1991" s="4"/>
      <c r="G1991" s="4"/>
      <c r="H1991" s="9" t="str">
        <f>IF(OR(B1991="",C1991=""),"",C1991*IFERROR(INDEX(Articles!$D:$D,MATCH(B1991,Articles!$B:$B,0)),0))</f>
        <v/>
      </c>
      <c r="I1991" s="9" t="str">
        <f>IF(OR(E1991="",H1991=""),"",E1991-H1991)</f>
        <v/>
      </c>
      <c r="J1991" s="4"/>
    </row>
    <row r="1992">
      <c r="A1992" s="7"/>
      <c r="B1992" s="4"/>
      <c r="C1992" s="6"/>
      <c r="D1992" s="5" t="str">
        <f>IF(B1992="","",IFERROR(INDEX(Articles!$E:$E,MATCH(B1992,Articles!$B:$B,0)),""))</f>
        <v/>
      </c>
      <c r="E1992" s="9" t="str">
        <f>IF(OR(C1992="",D1992=""),"",C1992*D1992)</f>
        <v/>
      </c>
      <c r="F1992" s="4"/>
      <c r="G1992" s="4"/>
      <c r="H1992" s="9" t="str">
        <f>IF(OR(B1992="",C1992=""),"",C1992*IFERROR(INDEX(Articles!$D:$D,MATCH(B1992,Articles!$B:$B,0)),0))</f>
        <v/>
      </c>
      <c r="I1992" s="9" t="str">
        <f>IF(OR(E1992="",H1992=""),"",E1992-H1992)</f>
        <v/>
      </c>
      <c r="J1992" s="4"/>
    </row>
    <row r="1993">
      <c r="A1993" s="7"/>
      <c r="B1993" s="4"/>
      <c r="C1993" s="6"/>
      <c r="D1993" s="5" t="str">
        <f>IF(B1993="","",IFERROR(INDEX(Articles!$E:$E,MATCH(B1993,Articles!$B:$B,0)),""))</f>
        <v/>
      </c>
      <c r="E1993" s="9" t="str">
        <f>IF(OR(C1993="",D1993=""),"",C1993*D1993)</f>
        <v/>
      </c>
      <c r="F1993" s="4"/>
      <c r="G1993" s="4"/>
      <c r="H1993" s="9" t="str">
        <f>IF(OR(B1993="",C1993=""),"",C1993*IFERROR(INDEX(Articles!$D:$D,MATCH(B1993,Articles!$B:$B,0)),0))</f>
        <v/>
      </c>
      <c r="I1993" s="9" t="str">
        <f>IF(OR(E1993="",H1993=""),"",E1993-H1993)</f>
        <v/>
      </c>
      <c r="J1993" s="4"/>
    </row>
    <row r="1994">
      <c r="A1994" s="7"/>
      <c r="B1994" s="4"/>
      <c r="C1994" s="6"/>
      <c r="D1994" s="5" t="str">
        <f>IF(B1994="","",IFERROR(INDEX(Articles!$E:$E,MATCH(B1994,Articles!$B:$B,0)),""))</f>
        <v/>
      </c>
      <c r="E1994" s="9" t="str">
        <f>IF(OR(C1994="",D1994=""),"",C1994*D1994)</f>
        <v/>
      </c>
      <c r="F1994" s="4"/>
      <c r="G1994" s="4"/>
      <c r="H1994" s="9" t="str">
        <f>IF(OR(B1994="",C1994=""),"",C1994*IFERROR(INDEX(Articles!$D:$D,MATCH(B1994,Articles!$B:$B,0)),0))</f>
        <v/>
      </c>
      <c r="I1994" s="9" t="str">
        <f>IF(OR(E1994="",H1994=""),"",E1994-H1994)</f>
        <v/>
      </c>
      <c r="J1994" s="4"/>
    </row>
    <row r="1995">
      <c r="A1995" s="7"/>
      <c r="B1995" s="4"/>
      <c r="C1995" s="6"/>
      <c r="D1995" s="5" t="str">
        <f>IF(B1995="","",IFERROR(INDEX(Articles!$E:$E,MATCH(B1995,Articles!$B:$B,0)),""))</f>
        <v/>
      </c>
      <c r="E1995" s="9" t="str">
        <f>IF(OR(C1995="",D1995=""),"",C1995*D1995)</f>
        <v/>
      </c>
      <c r="F1995" s="4"/>
      <c r="G1995" s="4"/>
      <c r="H1995" s="9" t="str">
        <f>IF(OR(B1995="",C1995=""),"",C1995*IFERROR(INDEX(Articles!$D:$D,MATCH(B1995,Articles!$B:$B,0)),0))</f>
        <v/>
      </c>
      <c r="I1995" s="9" t="str">
        <f>IF(OR(E1995="",H1995=""),"",E1995-H1995)</f>
        <v/>
      </c>
      <c r="J1995" s="4"/>
    </row>
    <row r="1996">
      <c r="A1996" s="7"/>
      <c r="B1996" s="4"/>
      <c r="C1996" s="6"/>
      <c r="D1996" s="5" t="str">
        <f>IF(B1996="","",IFERROR(INDEX(Articles!$E:$E,MATCH(B1996,Articles!$B:$B,0)),""))</f>
        <v/>
      </c>
      <c r="E1996" s="9" t="str">
        <f>IF(OR(C1996="",D1996=""),"",C1996*D1996)</f>
        <v/>
      </c>
      <c r="F1996" s="4"/>
      <c r="G1996" s="4"/>
      <c r="H1996" s="9" t="str">
        <f>IF(OR(B1996="",C1996=""),"",C1996*IFERROR(INDEX(Articles!$D:$D,MATCH(B1996,Articles!$B:$B,0)),0))</f>
        <v/>
      </c>
      <c r="I1996" s="9" t="str">
        <f>IF(OR(E1996="",H1996=""),"",E1996-H1996)</f>
        <v/>
      </c>
      <c r="J1996" s="4"/>
    </row>
    <row r="1997">
      <c r="A1997" s="7"/>
      <c r="B1997" s="4"/>
      <c r="C1997" s="6"/>
      <c r="D1997" s="5" t="str">
        <f>IF(B1997="","",IFERROR(INDEX(Articles!$E:$E,MATCH(B1997,Articles!$B:$B,0)),""))</f>
        <v/>
      </c>
      <c r="E1997" s="9" t="str">
        <f>IF(OR(C1997="",D1997=""),"",C1997*D1997)</f>
        <v/>
      </c>
      <c r="F1997" s="4"/>
      <c r="G1997" s="4"/>
      <c r="H1997" s="9" t="str">
        <f>IF(OR(B1997="",C1997=""),"",C1997*IFERROR(INDEX(Articles!$D:$D,MATCH(B1997,Articles!$B:$B,0)),0))</f>
        <v/>
      </c>
      <c r="I1997" s="9" t="str">
        <f>IF(OR(E1997="",H1997=""),"",E1997-H1997)</f>
        <v/>
      </c>
      <c r="J1997" s="4"/>
    </row>
    <row r="1998">
      <c r="A1998" s="7"/>
      <c r="B1998" s="4"/>
      <c r="C1998" s="6"/>
      <c r="D1998" s="5" t="str">
        <f>IF(B1998="","",IFERROR(INDEX(Articles!$E:$E,MATCH(B1998,Articles!$B:$B,0)),""))</f>
        <v/>
      </c>
      <c r="E1998" s="9" t="str">
        <f>IF(OR(C1998="",D1998=""),"",C1998*D1998)</f>
        <v/>
      </c>
      <c r="F1998" s="4"/>
      <c r="G1998" s="4"/>
      <c r="H1998" s="9" t="str">
        <f>IF(OR(B1998="",C1998=""),"",C1998*IFERROR(INDEX(Articles!$D:$D,MATCH(B1998,Articles!$B:$B,0)),0))</f>
        <v/>
      </c>
      <c r="I1998" s="9" t="str">
        <f>IF(OR(E1998="",H1998=""),"",E1998-H1998)</f>
        <v/>
      </c>
      <c r="J1998" s="4"/>
    </row>
    <row r="1999">
      <c r="A1999" s="7"/>
      <c r="B1999" s="4"/>
      <c r="C1999" s="6"/>
      <c r="D1999" s="5" t="str">
        <f>IF(B1999="","",IFERROR(INDEX(Articles!$E:$E,MATCH(B1999,Articles!$B:$B,0)),""))</f>
        <v/>
      </c>
      <c r="E1999" s="9" t="str">
        <f>IF(OR(C1999="",D1999=""),"",C1999*D1999)</f>
        <v/>
      </c>
      <c r="F1999" s="4"/>
      <c r="G1999" s="4"/>
      <c r="H1999" s="9" t="str">
        <f>IF(OR(B1999="",C1999=""),"",C1999*IFERROR(INDEX(Articles!$D:$D,MATCH(B1999,Articles!$B:$B,0)),0))</f>
        <v/>
      </c>
      <c r="I1999" s="9" t="str">
        <f>IF(OR(E1999="",H1999=""),"",E1999-H1999)</f>
        <v/>
      </c>
      <c r="J1999" s="4"/>
    </row>
    <row r="2000">
      <c r="A2000" s="7"/>
      <c r="B2000" s="4"/>
      <c r="C2000" s="6"/>
      <c r="D2000" s="5" t="str">
        <f>IF(B2000="","",IFERROR(INDEX(Articles!$E:$E,MATCH(B2000,Articles!$B:$B,0)),""))</f>
        <v/>
      </c>
      <c r="E2000" s="9" t="str">
        <f>IF(OR(C2000="",D2000=""),"",C2000*D2000)</f>
        <v/>
      </c>
      <c r="F2000" s="4"/>
      <c r="G2000" s="4"/>
      <c r="H2000" s="9" t="str">
        <f>IF(OR(B2000="",C2000=""),"",C2000*IFERROR(INDEX(Articles!$D:$D,MATCH(B2000,Articles!$B:$B,0)),0))</f>
        <v/>
      </c>
      <c r="I2000" s="9" t="str">
        <f>IF(OR(E2000="",H2000=""),"",E2000-H2000)</f>
        <v/>
      </c>
      <c r="J2000" s="4"/>
    </row>
    <row r="2001">
      <c r="A2001" s="7"/>
      <c r="B2001" s="4"/>
      <c r="C2001" s="6"/>
      <c r="D2001" s="5" t="str">
        <f>IF(B2001="","",IFERROR(INDEX(Articles!$E:$E,MATCH(B2001,Articles!$B:$B,0)),""))</f>
        <v/>
      </c>
      <c r="E2001" s="9" t="str">
        <f>IF(OR(C2001="",D2001=""),"",C2001*D2001)</f>
        <v/>
      </c>
      <c r="F2001" s="4"/>
      <c r="G2001" s="4"/>
      <c r="H2001" s="9" t="str">
        <f>IF(OR(B2001="",C2001=""),"",C2001*IFERROR(INDEX(Articles!$D:$D,MATCH(B2001,Articles!$B:$B,0)),0))</f>
        <v/>
      </c>
      <c r="I2001" s="9" t="str">
        <f>IF(OR(E2001="",H2001=""),"",E2001-H2001)</f>
        <v/>
      </c>
      <c r="J2001" s="4"/>
    </row>
    <row r="2002">
      <c r="A2002" s="7"/>
      <c r="B2002" s="4"/>
      <c r="C2002" s="6"/>
      <c r="D2002" s="5" t="str">
        <f>IF(B2002="","",IFERROR(INDEX(Articles!$E:$E,MATCH(B2002,Articles!$B:$B,0)),""))</f>
        <v/>
      </c>
      <c r="E2002" s="9" t="str">
        <f>IF(OR(C2002="",D2002=""),"",C2002*D2002)</f>
        <v/>
      </c>
      <c r="F2002" s="4"/>
      <c r="G2002" s="4"/>
      <c r="H2002" s="9" t="str">
        <f>IF(OR(B2002="",C2002=""),"",C2002*IFERROR(INDEX(Articles!$D:$D,MATCH(B2002,Articles!$B:$B,0)),0))</f>
        <v/>
      </c>
      <c r="I2002" s="9" t="str">
        <f>IF(OR(E2002="",H2002=""),"",E2002-H2002)</f>
        <v/>
      </c>
      <c r="J2002" s="4"/>
    </row>
    <row r="2003">
      <c r="A2003" s="7"/>
      <c r="B2003" s="4"/>
      <c r="C2003" s="6"/>
      <c r="D2003" s="5" t="str">
        <f>IF(B2003="","",IFERROR(INDEX(Articles!$E:$E,MATCH(B2003,Articles!$B:$B,0)),""))</f>
        <v/>
      </c>
      <c r="E2003" s="9" t="str">
        <f>IF(OR(C2003="",D2003=""),"",C2003*D2003)</f>
        <v/>
      </c>
      <c r="F2003" s="4"/>
      <c r="G2003" s="4"/>
      <c r="H2003" s="9" t="str">
        <f>IF(OR(B2003="",C2003=""),"",C2003*IFERROR(INDEX(Articles!$D:$D,MATCH(B2003,Articles!$B:$B,0)),0))</f>
        <v/>
      </c>
      <c r="I2003" s="9" t="str">
        <f>IF(OR(E2003="",H2003=""),"",E2003-H2003)</f>
        <v/>
      </c>
      <c r="J2003" s="4"/>
    </row>
  </sheetData>
  <mergeCells count="1">
    <mergeCell ref="A2:J2"/>
  </mergeCells>
  <conditionalFormatting sqref="D4:E2003 H4:I2003">
    <cfRule type="expression" dxfId="0" priority="1">
      <formula>MOD(D4,1)&lt;&gt;0</formula>
    </cfRule>
  </conditionalFormatting>
  <dataValidations count="2">
    <dataValidation type="list" allowBlank="1" showInputMessage="1" showErrorMessage="0" sqref="B4:B2003">
      <formula1>Articles!$B$2:$B$301</formula1>
    </dataValidation>
    <dataValidation type="list" allowBlank="1" showInputMessage="1" showErrorMessage="0" sqref="F4:F2003">
      <formula1>"Espèces,Mobile money,Carte,Crédit"</formula1>
    </dataValidation>
  </dataValidations>
  <pageMargins left="0.4" right="0.4" top="0.5" bottom="0.5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09F3E"/>
    <pageSetUpPr fitToPage="1"/>
  </sheetPr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12" customWidth="1"/>
    <col min="2" max="2" width="15" customWidth="1"/>
    <col min="3" max="3" width="14" customWidth="1"/>
    <col min="4" max="4" width="15" customWidth="1"/>
    <col min="5" max="5" width="14" customWidth="1"/>
    <col min="6" max="6" width="15" customWidth="1"/>
    <col min="7" max="7" width="15" customWidth="1"/>
    <col min="8" max="8" width="12" customWidth="1"/>
    <col min="9" max="9" width="22" customWidth="1"/>
    <col min="10" max="10" width="34" customWidth="1"/>
  </cols>
  <sheetData>
    <row r="1" ht="24" customHeight="1">
      <c r="A1" s="1" t="inlineStr">
        <is>
          <t xml:space="preserve">Caisse du jour — une ligne par jour</t>
        </is>
      </c>
    </row>
    <row r="2" ht="44" customHeight="1">
      <c r="A2" s="2" t="inlineStr">
        <is>
          <t xml:space="preserve">Le matin : la date et le fond de caisse. Pendant la journée : ce qui entre ou sort de la caisse en dehors des ventes (une dépense, de l'argent pris pour la maison). Le soir : compte les billets et les pièces, écris « Caisse comptée ». L'écart doit être 0.</t>
        </is>
      </c>
    </row>
    <row r="3" ht="32" customHeight="1">
      <c r="A3" s="3" t="inlineStr">
        <is>
          <t xml:space="preserve">Date</t>
        </is>
      </c>
      <c r="B3" s="3" t="inlineStr">
        <is>
          <t xml:space="preserve">Fond de caisse (matin)</t>
        </is>
      </c>
      <c r="C3" s="3" t="inlineStr">
        <is>
          <t xml:space="preserve">Ventes en espèces</t>
        </is>
      </c>
      <c r="D3" s="3" t="inlineStr">
        <is>
          <t xml:space="preserve">Autres entrées d'espèces</t>
        </is>
      </c>
      <c r="E3" s="3" t="inlineStr">
        <is>
          <t xml:space="preserve">Sorties d'espèces</t>
        </is>
      </c>
      <c r="F3" s="3" t="inlineStr">
        <is>
          <t xml:space="preserve">Caisse attendue</t>
        </is>
      </c>
      <c r="G3" s="3" t="inlineStr">
        <is>
          <t xml:space="preserve">Caisse comptée (soir)</t>
        </is>
      </c>
      <c r="H3" s="3" t="inlineStr">
        <is>
          <t xml:space="preserve">Écart</t>
        </is>
      </c>
      <c r="I3" s="3" t="inlineStr">
        <is>
          <t xml:space="preserve">Ventes en mobile money (à vérifier sur le téléphone)</t>
        </is>
      </c>
      <c r="J3" s="3" t="inlineStr">
        <is>
          <t xml:space="preserve">Explication</t>
        </is>
      </c>
    </row>
    <row r="4">
      <c r="A4" s="14">
        <v>46266</v>
      </c>
      <c r="B4" s="12">
        <v>500</v>
      </c>
      <c r="C4" s="9">
        <f>IF(A4="","",SUMIFS('Ventes du jour'!$E:$E,'Ventes du jour'!$A:$A,A4,'Ventes du jour'!$F:$F,"Espèces"))</f>
        <v>450</v>
      </c>
      <c r="D4" s="12">
        <v>0</v>
      </c>
      <c r="E4" s="12">
        <v>100</v>
      </c>
      <c r="F4" s="9">
        <f>IF(A4="","",N(B4)+N(C4)+N(D4)-N(E4))</f>
        <v>850</v>
      </c>
      <c r="G4" s="12">
        <v>800</v>
      </c>
      <c r="H4" s="9">
        <f>IF(OR(A4="",G4=""),"",G4-F4)</f>
        <v>-50</v>
      </c>
      <c r="I4" s="9">
        <f>IF(A4="","",SUMIFS('Ventes du jour'!$E:$E,'Ventes du jour'!$A:$A,A4,'Ventes du jour'!$F:$F,"Mobile money"))</f>
        <v>600</v>
      </c>
      <c r="J4" s="11" t="inlineStr">
        <is>
          <t xml:space="preserve">EXEMPLE — monnaie mal rendue ? À effacer</t>
        </is>
      </c>
    </row>
    <row r="5">
      <c r="A5" s="7"/>
      <c r="B5" s="5"/>
      <c r="C5" s="9" t="str">
        <f>IF(A5="","",SUMIFS('Ventes du jour'!$E:$E,'Ventes du jour'!$A:$A,A5,'Ventes du jour'!$F:$F,"Espèces"))</f>
        <v/>
      </c>
      <c r="D5" s="5"/>
      <c r="E5" s="5"/>
      <c r="F5" s="9" t="str">
        <f>IF(A5="","",N(B5)+N(C5)+N(D5)-N(E5))</f>
        <v/>
      </c>
      <c r="G5" s="5"/>
      <c r="H5" s="9" t="str">
        <f>IF(OR(A5="",G5=""),"",G5-F5)</f>
        <v/>
      </c>
      <c r="I5" s="9" t="str">
        <f>IF(A5="","",SUMIFS('Ventes du jour'!$E:$E,'Ventes du jour'!$A:$A,A5,'Ventes du jour'!$F:$F,"Mobile money"))</f>
        <v/>
      </c>
      <c r="J5" s="4"/>
    </row>
    <row r="6">
      <c r="A6" s="7"/>
      <c r="B6" s="5"/>
      <c r="C6" s="9" t="str">
        <f>IF(A6="","",SUMIFS('Ventes du jour'!$E:$E,'Ventes du jour'!$A:$A,A6,'Ventes du jour'!$F:$F,"Espèces"))</f>
        <v/>
      </c>
      <c r="D6" s="5"/>
      <c r="E6" s="5"/>
      <c r="F6" s="9" t="str">
        <f>IF(A6="","",N(B6)+N(C6)+N(D6)-N(E6))</f>
        <v/>
      </c>
      <c r="G6" s="5"/>
      <c r="H6" s="9" t="str">
        <f>IF(OR(A6="",G6=""),"",G6-F6)</f>
        <v/>
      </c>
      <c r="I6" s="9" t="str">
        <f>IF(A6="","",SUMIFS('Ventes du jour'!$E:$E,'Ventes du jour'!$A:$A,A6,'Ventes du jour'!$F:$F,"Mobile money"))</f>
        <v/>
      </c>
      <c r="J6" s="4"/>
    </row>
    <row r="7">
      <c r="A7" s="7"/>
      <c r="B7" s="5"/>
      <c r="C7" s="9" t="str">
        <f>IF(A7="","",SUMIFS('Ventes du jour'!$E:$E,'Ventes du jour'!$A:$A,A7,'Ventes du jour'!$F:$F,"Espèces"))</f>
        <v/>
      </c>
      <c r="D7" s="5"/>
      <c r="E7" s="5"/>
      <c r="F7" s="9" t="str">
        <f>IF(A7="","",N(B7)+N(C7)+N(D7)-N(E7))</f>
        <v/>
      </c>
      <c r="G7" s="5"/>
      <c r="H7" s="9" t="str">
        <f>IF(OR(A7="",G7=""),"",G7-F7)</f>
        <v/>
      </c>
      <c r="I7" s="9" t="str">
        <f>IF(A7="","",SUMIFS('Ventes du jour'!$E:$E,'Ventes du jour'!$A:$A,A7,'Ventes du jour'!$F:$F,"Mobile money"))</f>
        <v/>
      </c>
      <c r="J7" s="4"/>
    </row>
    <row r="8">
      <c r="A8" s="7"/>
      <c r="B8" s="5"/>
      <c r="C8" s="9" t="str">
        <f>IF(A8="","",SUMIFS('Ventes du jour'!$E:$E,'Ventes du jour'!$A:$A,A8,'Ventes du jour'!$F:$F,"Espèces"))</f>
        <v/>
      </c>
      <c r="D8" s="5"/>
      <c r="E8" s="5"/>
      <c r="F8" s="9" t="str">
        <f>IF(A8="","",N(B8)+N(C8)+N(D8)-N(E8))</f>
        <v/>
      </c>
      <c r="G8" s="5"/>
      <c r="H8" s="9" t="str">
        <f>IF(OR(A8="",G8=""),"",G8-F8)</f>
        <v/>
      </c>
      <c r="I8" s="9" t="str">
        <f>IF(A8="","",SUMIFS('Ventes du jour'!$E:$E,'Ventes du jour'!$A:$A,A8,'Ventes du jour'!$F:$F,"Mobile money"))</f>
        <v/>
      </c>
      <c r="J8" s="4"/>
    </row>
    <row r="9">
      <c r="A9" s="7"/>
      <c r="B9" s="5"/>
      <c r="C9" s="9" t="str">
        <f>IF(A9="","",SUMIFS('Ventes du jour'!$E:$E,'Ventes du jour'!$A:$A,A9,'Ventes du jour'!$F:$F,"Espèces"))</f>
        <v/>
      </c>
      <c r="D9" s="5"/>
      <c r="E9" s="5"/>
      <c r="F9" s="9" t="str">
        <f>IF(A9="","",N(B9)+N(C9)+N(D9)-N(E9))</f>
        <v/>
      </c>
      <c r="G9" s="5"/>
      <c r="H9" s="9" t="str">
        <f>IF(OR(A9="",G9=""),"",G9-F9)</f>
        <v/>
      </c>
      <c r="I9" s="9" t="str">
        <f>IF(A9="","",SUMIFS('Ventes du jour'!$E:$E,'Ventes du jour'!$A:$A,A9,'Ventes du jour'!$F:$F,"Mobile money"))</f>
        <v/>
      </c>
      <c r="J9" s="4"/>
    </row>
    <row r="10">
      <c r="A10" s="7"/>
      <c r="B10" s="5"/>
      <c r="C10" s="9" t="str">
        <f>IF(A10="","",SUMIFS('Ventes du jour'!$E:$E,'Ventes du jour'!$A:$A,A10,'Ventes du jour'!$F:$F,"Espèces"))</f>
        <v/>
      </c>
      <c r="D10" s="5"/>
      <c r="E10" s="5"/>
      <c r="F10" s="9" t="str">
        <f>IF(A10="","",N(B10)+N(C10)+N(D10)-N(E10))</f>
        <v/>
      </c>
      <c r="G10" s="5"/>
      <c r="H10" s="9" t="str">
        <f>IF(OR(A10="",G10=""),"",G10-F10)</f>
        <v/>
      </c>
      <c r="I10" s="9" t="str">
        <f>IF(A10="","",SUMIFS('Ventes du jour'!$E:$E,'Ventes du jour'!$A:$A,A10,'Ventes du jour'!$F:$F,"Mobile money"))</f>
        <v/>
      </c>
      <c r="J10" s="4"/>
    </row>
    <row r="11">
      <c r="A11" s="7"/>
      <c r="B11" s="5"/>
      <c r="C11" s="9" t="str">
        <f>IF(A11="","",SUMIFS('Ventes du jour'!$E:$E,'Ventes du jour'!$A:$A,A11,'Ventes du jour'!$F:$F,"Espèces"))</f>
        <v/>
      </c>
      <c r="D11" s="5"/>
      <c r="E11" s="5"/>
      <c r="F11" s="9" t="str">
        <f>IF(A11="","",N(B11)+N(C11)+N(D11)-N(E11))</f>
        <v/>
      </c>
      <c r="G11" s="5"/>
      <c r="H11" s="9" t="str">
        <f>IF(OR(A11="",G11=""),"",G11-F11)</f>
        <v/>
      </c>
      <c r="I11" s="9" t="str">
        <f>IF(A11="","",SUMIFS('Ventes du jour'!$E:$E,'Ventes du jour'!$A:$A,A11,'Ventes du jour'!$F:$F,"Mobile money"))</f>
        <v/>
      </c>
      <c r="J11" s="4"/>
    </row>
    <row r="12">
      <c r="A12" s="7"/>
      <c r="B12" s="5"/>
      <c r="C12" s="9" t="str">
        <f>IF(A12="","",SUMIFS('Ventes du jour'!$E:$E,'Ventes du jour'!$A:$A,A12,'Ventes du jour'!$F:$F,"Espèces"))</f>
        <v/>
      </c>
      <c r="D12" s="5"/>
      <c r="E12" s="5"/>
      <c r="F12" s="9" t="str">
        <f>IF(A12="","",N(B12)+N(C12)+N(D12)-N(E12))</f>
        <v/>
      </c>
      <c r="G12" s="5"/>
      <c r="H12" s="9" t="str">
        <f>IF(OR(A12="",G12=""),"",G12-F12)</f>
        <v/>
      </c>
      <c r="I12" s="9" t="str">
        <f>IF(A12="","",SUMIFS('Ventes du jour'!$E:$E,'Ventes du jour'!$A:$A,A12,'Ventes du jour'!$F:$F,"Mobile money"))</f>
        <v/>
      </c>
      <c r="J12" s="4"/>
    </row>
    <row r="13">
      <c r="A13" s="7"/>
      <c r="B13" s="5"/>
      <c r="C13" s="9" t="str">
        <f>IF(A13="","",SUMIFS('Ventes du jour'!$E:$E,'Ventes du jour'!$A:$A,A13,'Ventes du jour'!$F:$F,"Espèces"))</f>
        <v/>
      </c>
      <c r="D13" s="5"/>
      <c r="E13" s="5"/>
      <c r="F13" s="9" t="str">
        <f>IF(A13="","",N(B13)+N(C13)+N(D13)-N(E13))</f>
        <v/>
      </c>
      <c r="G13" s="5"/>
      <c r="H13" s="9" t="str">
        <f>IF(OR(A13="",G13=""),"",G13-F13)</f>
        <v/>
      </c>
      <c r="I13" s="9" t="str">
        <f>IF(A13="","",SUMIFS('Ventes du jour'!$E:$E,'Ventes du jour'!$A:$A,A13,'Ventes du jour'!$F:$F,"Mobile money"))</f>
        <v/>
      </c>
      <c r="J13" s="4"/>
    </row>
    <row r="14">
      <c r="A14" s="7"/>
      <c r="B14" s="5"/>
      <c r="C14" s="9" t="str">
        <f>IF(A14="","",SUMIFS('Ventes du jour'!$E:$E,'Ventes du jour'!$A:$A,A14,'Ventes du jour'!$F:$F,"Espèces"))</f>
        <v/>
      </c>
      <c r="D14" s="5"/>
      <c r="E14" s="5"/>
      <c r="F14" s="9" t="str">
        <f>IF(A14="","",N(B14)+N(C14)+N(D14)-N(E14))</f>
        <v/>
      </c>
      <c r="G14" s="5"/>
      <c r="H14" s="9" t="str">
        <f>IF(OR(A14="",G14=""),"",G14-F14)</f>
        <v/>
      </c>
      <c r="I14" s="9" t="str">
        <f>IF(A14="","",SUMIFS('Ventes du jour'!$E:$E,'Ventes du jour'!$A:$A,A14,'Ventes du jour'!$F:$F,"Mobile money"))</f>
        <v/>
      </c>
      <c r="J14" s="4"/>
    </row>
    <row r="15">
      <c r="A15" s="7"/>
      <c r="B15" s="5"/>
      <c r="C15" s="9" t="str">
        <f>IF(A15="","",SUMIFS('Ventes du jour'!$E:$E,'Ventes du jour'!$A:$A,A15,'Ventes du jour'!$F:$F,"Espèces"))</f>
        <v/>
      </c>
      <c r="D15" s="5"/>
      <c r="E15" s="5"/>
      <c r="F15" s="9" t="str">
        <f>IF(A15="","",N(B15)+N(C15)+N(D15)-N(E15))</f>
        <v/>
      </c>
      <c r="G15" s="5"/>
      <c r="H15" s="9" t="str">
        <f>IF(OR(A15="",G15=""),"",G15-F15)</f>
        <v/>
      </c>
      <c r="I15" s="9" t="str">
        <f>IF(A15="","",SUMIFS('Ventes du jour'!$E:$E,'Ventes du jour'!$A:$A,A15,'Ventes du jour'!$F:$F,"Mobile money"))</f>
        <v/>
      </c>
      <c r="J15" s="4"/>
    </row>
    <row r="16">
      <c r="A16" s="7"/>
      <c r="B16" s="5"/>
      <c r="C16" s="9" t="str">
        <f>IF(A16="","",SUMIFS('Ventes du jour'!$E:$E,'Ventes du jour'!$A:$A,A16,'Ventes du jour'!$F:$F,"Espèces"))</f>
        <v/>
      </c>
      <c r="D16" s="5"/>
      <c r="E16" s="5"/>
      <c r="F16" s="9" t="str">
        <f>IF(A16="","",N(B16)+N(C16)+N(D16)-N(E16))</f>
        <v/>
      </c>
      <c r="G16" s="5"/>
      <c r="H16" s="9" t="str">
        <f>IF(OR(A16="",G16=""),"",G16-F16)</f>
        <v/>
      </c>
      <c r="I16" s="9" t="str">
        <f>IF(A16="","",SUMIFS('Ventes du jour'!$E:$E,'Ventes du jour'!$A:$A,A16,'Ventes du jour'!$F:$F,"Mobile money"))</f>
        <v/>
      </c>
      <c r="J16" s="4"/>
    </row>
    <row r="17">
      <c r="A17" s="7"/>
      <c r="B17" s="5"/>
      <c r="C17" s="9" t="str">
        <f>IF(A17="","",SUMIFS('Ventes du jour'!$E:$E,'Ventes du jour'!$A:$A,A17,'Ventes du jour'!$F:$F,"Espèces"))</f>
        <v/>
      </c>
      <c r="D17" s="5"/>
      <c r="E17" s="5"/>
      <c r="F17" s="9" t="str">
        <f>IF(A17="","",N(B17)+N(C17)+N(D17)-N(E17))</f>
        <v/>
      </c>
      <c r="G17" s="5"/>
      <c r="H17" s="9" t="str">
        <f>IF(OR(A17="",G17=""),"",G17-F17)</f>
        <v/>
      </c>
      <c r="I17" s="9" t="str">
        <f>IF(A17="","",SUMIFS('Ventes du jour'!$E:$E,'Ventes du jour'!$A:$A,A17,'Ventes du jour'!$F:$F,"Mobile money"))</f>
        <v/>
      </c>
      <c r="J17" s="4"/>
    </row>
    <row r="18">
      <c r="A18" s="7"/>
      <c r="B18" s="5"/>
      <c r="C18" s="9" t="str">
        <f>IF(A18="","",SUMIFS('Ventes du jour'!$E:$E,'Ventes du jour'!$A:$A,A18,'Ventes du jour'!$F:$F,"Espèces"))</f>
        <v/>
      </c>
      <c r="D18" s="5"/>
      <c r="E18" s="5"/>
      <c r="F18" s="9" t="str">
        <f>IF(A18="","",N(B18)+N(C18)+N(D18)-N(E18))</f>
        <v/>
      </c>
      <c r="G18" s="5"/>
      <c r="H18" s="9" t="str">
        <f>IF(OR(A18="",G18=""),"",G18-F18)</f>
        <v/>
      </c>
      <c r="I18" s="9" t="str">
        <f>IF(A18="","",SUMIFS('Ventes du jour'!$E:$E,'Ventes du jour'!$A:$A,A18,'Ventes du jour'!$F:$F,"Mobile money"))</f>
        <v/>
      </c>
      <c r="J18" s="4"/>
    </row>
    <row r="19">
      <c r="A19" s="7"/>
      <c r="B19" s="5"/>
      <c r="C19" s="9" t="str">
        <f>IF(A19="","",SUMIFS('Ventes du jour'!$E:$E,'Ventes du jour'!$A:$A,A19,'Ventes du jour'!$F:$F,"Espèces"))</f>
        <v/>
      </c>
      <c r="D19" s="5"/>
      <c r="E19" s="5"/>
      <c r="F19" s="9" t="str">
        <f>IF(A19="","",N(B19)+N(C19)+N(D19)-N(E19))</f>
        <v/>
      </c>
      <c r="G19" s="5"/>
      <c r="H19" s="9" t="str">
        <f>IF(OR(A19="",G19=""),"",G19-F19)</f>
        <v/>
      </c>
      <c r="I19" s="9" t="str">
        <f>IF(A19="","",SUMIFS('Ventes du jour'!$E:$E,'Ventes du jour'!$A:$A,A19,'Ventes du jour'!$F:$F,"Mobile money"))</f>
        <v/>
      </c>
      <c r="J19" s="4"/>
    </row>
    <row r="20">
      <c r="A20" s="7"/>
      <c r="B20" s="5"/>
      <c r="C20" s="9" t="str">
        <f>IF(A20="","",SUMIFS('Ventes du jour'!$E:$E,'Ventes du jour'!$A:$A,A20,'Ventes du jour'!$F:$F,"Espèces"))</f>
        <v/>
      </c>
      <c r="D20" s="5"/>
      <c r="E20" s="5"/>
      <c r="F20" s="9" t="str">
        <f>IF(A20="","",N(B20)+N(C20)+N(D20)-N(E20))</f>
        <v/>
      </c>
      <c r="G20" s="5"/>
      <c r="H20" s="9" t="str">
        <f>IF(OR(A20="",G20=""),"",G20-F20)</f>
        <v/>
      </c>
      <c r="I20" s="9" t="str">
        <f>IF(A20="","",SUMIFS('Ventes du jour'!$E:$E,'Ventes du jour'!$A:$A,A20,'Ventes du jour'!$F:$F,"Mobile money"))</f>
        <v/>
      </c>
      <c r="J20" s="4"/>
    </row>
    <row r="21">
      <c r="A21" s="7"/>
      <c r="B21" s="5"/>
      <c r="C21" s="9" t="str">
        <f>IF(A21="","",SUMIFS('Ventes du jour'!$E:$E,'Ventes du jour'!$A:$A,A21,'Ventes du jour'!$F:$F,"Espèces"))</f>
        <v/>
      </c>
      <c r="D21" s="5"/>
      <c r="E21" s="5"/>
      <c r="F21" s="9" t="str">
        <f>IF(A21="","",N(B21)+N(C21)+N(D21)-N(E21))</f>
        <v/>
      </c>
      <c r="G21" s="5"/>
      <c r="H21" s="9" t="str">
        <f>IF(OR(A21="",G21=""),"",G21-F21)</f>
        <v/>
      </c>
      <c r="I21" s="9" t="str">
        <f>IF(A21="","",SUMIFS('Ventes du jour'!$E:$E,'Ventes du jour'!$A:$A,A21,'Ventes du jour'!$F:$F,"Mobile money"))</f>
        <v/>
      </c>
      <c r="J21" s="4"/>
    </row>
    <row r="22">
      <c r="A22" s="7"/>
      <c r="B22" s="5"/>
      <c r="C22" s="9" t="str">
        <f>IF(A22="","",SUMIFS('Ventes du jour'!$E:$E,'Ventes du jour'!$A:$A,A22,'Ventes du jour'!$F:$F,"Espèces"))</f>
        <v/>
      </c>
      <c r="D22" s="5"/>
      <c r="E22" s="5"/>
      <c r="F22" s="9" t="str">
        <f>IF(A22="","",N(B22)+N(C22)+N(D22)-N(E22))</f>
        <v/>
      </c>
      <c r="G22" s="5"/>
      <c r="H22" s="9" t="str">
        <f>IF(OR(A22="",G22=""),"",G22-F22)</f>
        <v/>
      </c>
      <c r="I22" s="9" t="str">
        <f>IF(A22="","",SUMIFS('Ventes du jour'!$E:$E,'Ventes du jour'!$A:$A,A22,'Ventes du jour'!$F:$F,"Mobile money"))</f>
        <v/>
      </c>
      <c r="J22" s="4"/>
    </row>
    <row r="23">
      <c r="A23" s="7"/>
      <c r="B23" s="5"/>
      <c r="C23" s="9" t="str">
        <f>IF(A23="","",SUMIFS('Ventes du jour'!$E:$E,'Ventes du jour'!$A:$A,A23,'Ventes du jour'!$F:$F,"Espèces"))</f>
        <v/>
      </c>
      <c r="D23" s="5"/>
      <c r="E23" s="5"/>
      <c r="F23" s="9" t="str">
        <f>IF(A23="","",N(B23)+N(C23)+N(D23)-N(E23))</f>
        <v/>
      </c>
      <c r="G23" s="5"/>
      <c r="H23" s="9" t="str">
        <f>IF(OR(A23="",G23=""),"",G23-F23)</f>
        <v/>
      </c>
      <c r="I23" s="9" t="str">
        <f>IF(A23="","",SUMIFS('Ventes du jour'!$E:$E,'Ventes du jour'!$A:$A,A23,'Ventes du jour'!$F:$F,"Mobile money"))</f>
        <v/>
      </c>
      <c r="J23" s="4"/>
    </row>
    <row r="24">
      <c r="A24" s="7"/>
      <c r="B24" s="5"/>
      <c r="C24" s="9" t="str">
        <f>IF(A24="","",SUMIFS('Ventes du jour'!$E:$E,'Ventes du jour'!$A:$A,A24,'Ventes du jour'!$F:$F,"Espèces"))</f>
        <v/>
      </c>
      <c r="D24" s="5"/>
      <c r="E24" s="5"/>
      <c r="F24" s="9" t="str">
        <f>IF(A24="","",N(B24)+N(C24)+N(D24)-N(E24))</f>
        <v/>
      </c>
      <c r="G24" s="5"/>
      <c r="H24" s="9" t="str">
        <f>IF(OR(A24="",G24=""),"",G24-F24)</f>
        <v/>
      </c>
      <c r="I24" s="9" t="str">
        <f>IF(A24="","",SUMIFS('Ventes du jour'!$E:$E,'Ventes du jour'!$A:$A,A24,'Ventes du jour'!$F:$F,"Mobile money"))</f>
        <v/>
      </c>
      <c r="J24" s="4"/>
    </row>
    <row r="25">
      <c r="A25" s="7"/>
      <c r="B25" s="5"/>
      <c r="C25" s="9" t="str">
        <f>IF(A25="","",SUMIFS('Ventes du jour'!$E:$E,'Ventes du jour'!$A:$A,A25,'Ventes du jour'!$F:$F,"Espèces"))</f>
        <v/>
      </c>
      <c r="D25" s="5"/>
      <c r="E25" s="5"/>
      <c r="F25" s="9" t="str">
        <f>IF(A25="","",N(B25)+N(C25)+N(D25)-N(E25))</f>
        <v/>
      </c>
      <c r="G25" s="5"/>
      <c r="H25" s="9" t="str">
        <f>IF(OR(A25="",G25=""),"",G25-F25)</f>
        <v/>
      </c>
      <c r="I25" s="9" t="str">
        <f>IF(A25="","",SUMIFS('Ventes du jour'!$E:$E,'Ventes du jour'!$A:$A,A25,'Ventes du jour'!$F:$F,"Mobile money"))</f>
        <v/>
      </c>
      <c r="J25" s="4"/>
    </row>
    <row r="26">
      <c r="A26" s="7"/>
      <c r="B26" s="5"/>
      <c r="C26" s="9" t="str">
        <f>IF(A26="","",SUMIFS('Ventes du jour'!$E:$E,'Ventes du jour'!$A:$A,A26,'Ventes du jour'!$F:$F,"Espèces"))</f>
        <v/>
      </c>
      <c r="D26" s="5"/>
      <c r="E26" s="5"/>
      <c r="F26" s="9" t="str">
        <f>IF(A26="","",N(B26)+N(C26)+N(D26)-N(E26))</f>
        <v/>
      </c>
      <c r="G26" s="5"/>
      <c r="H26" s="9" t="str">
        <f>IF(OR(A26="",G26=""),"",G26-F26)</f>
        <v/>
      </c>
      <c r="I26" s="9" t="str">
        <f>IF(A26="","",SUMIFS('Ventes du jour'!$E:$E,'Ventes du jour'!$A:$A,A26,'Ventes du jour'!$F:$F,"Mobile money"))</f>
        <v/>
      </c>
      <c r="J26" s="4"/>
    </row>
    <row r="27">
      <c r="A27" s="7"/>
      <c r="B27" s="5"/>
      <c r="C27" s="9" t="str">
        <f>IF(A27="","",SUMIFS('Ventes du jour'!$E:$E,'Ventes du jour'!$A:$A,A27,'Ventes du jour'!$F:$F,"Espèces"))</f>
        <v/>
      </c>
      <c r="D27" s="5"/>
      <c r="E27" s="5"/>
      <c r="F27" s="9" t="str">
        <f>IF(A27="","",N(B27)+N(C27)+N(D27)-N(E27))</f>
        <v/>
      </c>
      <c r="G27" s="5"/>
      <c r="H27" s="9" t="str">
        <f>IF(OR(A27="",G27=""),"",G27-F27)</f>
        <v/>
      </c>
      <c r="I27" s="9" t="str">
        <f>IF(A27="","",SUMIFS('Ventes du jour'!$E:$E,'Ventes du jour'!$A:$A,A27,'Ventes du jour'!$F:$F,"Mobile money"))</f>
        <v/>
      </c>
      <c r="J27" s="4"/>
    </row>
    <row r="28">
      <c r="A28" s="7"/>
      <c r="B28" s="5"/>
      <c r="C28" s="9" t="str">
        <f>IF(A28="","",SUMIFS('Ventes du jour'!$E:$E,'Ventes du jour'!$A:$A,A28,'Ventes du jour'!$F:$F,"Espèces"))</f>
        <v/>
      </c>
      <c r="D28" s="5"/>
      <c r="E28" s="5"/>
      <c r="F28" s="9" t="str">
        <f>IF(A28="","",N(B28)+N(C28)+N(D28)-N(E28))</f>
        <v/>
      </c>
      <c r="G28" s="5"/>
      <c r="H28" s="9" t="str">
        <f>IF(OR(A28="",G28=""),"",G28-F28)</f>
        <v/>
      </c>
      <c r="I28" s="9" t="str">
        <f>IF(A28="","",SUMIFS('Ventes du jour'!$E:$E,'Ventes du jour'!$A:$A,A28,'Ventes du jour'!$F:$F,"Mobile money"))</f>
        <v/>
      </c>
      <c r="J28" s="4"/>
    </row>
    <row r="29">
      <c r="A29" s="7"/>
      <c r="B29" s="5"/>
      <c r="C29" s="9" t="str">
        <f>IF(A29="","",SUMIFS('Ventes du jour'!$E:$E,'Ventes du jour'!$A:$A,A29,'Ventes du jour'!$F:$F,"Espèces"))</f>
        <v/>
      </c>
      <c r="D29" s="5"/>
      <c r="E29" s="5"/>
      <c r="F29" s="9" t="str">
        <f>IF(A29="","",N(B29)+N(C29)+N(D29)-N(E29))</f>
        <v/>
      </c>
      <c r="G29" s="5"/>
      <c r="H29" s="9" t="str">
        <f>IF(OR(A29="",G29=""),"",G29-F29)</f>
        <v/>
      </c>
      <c r="I29" s="9" t="str">
        <f>IF(A29="","",SUMIFS('Ventes du jour'!$E:$E,'Ventes du jour'!$A:$A,A29,'Ventes du jour'!$F:$F,"Mobile money"))</f>
        <v/>
      </c>
      <c r="J29" s="4"/>
    </row>
    <row r="30">
      <c r="A30" s="7"/>
      <c r="B30" s="5"/>
      <c r="C30" s="9" t="str">
        <f>IF(A30="","",SUMIFS('Ventes du jour'!$E:$E,'Ventes du jour'!$A:$A,A30,'Ventes du jour'!$F:$F,"Espèces"))</f>
        <v/>
      </c>
      <c r="D30" s="5"/>
      <c r="E30" s="5"/>
      <c r="F30" s="9" t="str">
        <f>IF(A30="","",N(B30)+N(C30)+N(D30)-N(E30))</f>
        <v/>
      </c>
      <c r="G30" s="5"/>
      <c r="H30" s="9" t="str">
        <f>IF(OR(A30="",G30=""),"",G30-F30)</f>
        <v/>
      </c>
      <c r="I30" s="9" t="str">
        <f>IF(A30="","",SUMIFS('Ventes du jour'!$E:$E,'Ventes du jour'!$A:$A,A30,'Ventes du jour'!$F:$F,"Mobile money"))</f>
        <v/>
      </c>
      <c r="J30" s="4"/>
    </row>
    <row r="31">
      <c r="A31" s="7"/>
      <c r="B31" s="5"/>
      <c r="C31" s="9" t="str">
        <f>IF(A31="","",SUMIFS('Ventes du jour'!$E:$E,'Ventes du jour'!$A:$A,A31,'Ventes du jour'!$F:$F,"Espèces"))</f>
        <v/>
      </c>
      <c r="D31" s="5"/>
      <c r="E31" s="5"/>
      <c r="F31" s="9" t="str">
        <f>IF(A31="","",N(B31)+N(C31)+N(D31)-N(E31))</f>
        <v/>
      </c>
      <c r="G31" s="5"/>
      <c r="H31" s="9" t="str">
        <f>IF(OR(A31="",G31=""),"",G31-F31)</f>
        <v/>
      </c>
      <c r="I31" s="9" t="str">
        <f>IF(A31="","",SUMIFS('Ventes du jour'!$E:$E,'Ventes du jour'!$A:$A,A31,'Ventes du jour'!$F:$F,"Mobile money"))</f>
        <v/>
      </c>
      <c r="J31" s="4"/>
    </row>
    <row r="32">
      <c r="A32" s="7"/>
      <c r="B32" s="5"/>
      <c r="C32" s="9" t="str">
        <f>IF(A32="","",SUMIFS('Ventes du jour'!$E:$E,'Ventes du jour'!$A:$A,A32,'Ventes du jour'!$F:$F,"Espèces"))</f>
        <v/>
      </c>
      <c r="D32" s="5"/>
      <c r="E32" s="5"/>
      <c r="F32" s="9" t="str">
        <f>IF(A32="","",N(B32)+N(C32)+N(D32)-N(E32))</f>
        <v/>
      </c>
      <c r="G32" s="5"/>
      <c r="H32" s="9" t="str">
        <f>IF(OR(A32="",G32=""),"",G32-F32)</f>
        <v/>
      </c>
      <c r="I32" s="9" t="str">
        <f>IF(A32="","",SUMIFS('Ventes du jour'!$E:$E,'Ventes du jour'!$A:$A,A32,'Ventes du jour'!$F:$F,"Mobile money"))</f>
        <v/>
      </c>
      <c r="J32" s="4"/>
    </row>
    <row r="33">
      <c r="A33" s="7"/>
      <c r="B33" s="5"/>
      <c r="C33" s="9" t="str">
        <f>IF(A33="","",SUMIFS('Ventes du jour'!$E:$E,'Ventes du jour'!$A:$A,A33,'Ventes du jour'!$F:$F,"Espèces"))</f>
        <v/>
      </c>
      <c r="D33" s="5"/>
      <c r="E33" s="5"/>
      <c r="F33" s="9" t="str">
        <f>IF(A33="","",N(B33)+N(C33)+N(D33)-N(E33))</f>
        <v/>
      </c>
      <c r="G33" s="5"/>
      <c r="H33" s="9" t="str">
        <f>IF(OR(A33="",G33=""),"",G33-F33)</f>
        <v/>
      </c>
      <c r="I33" s="9" t="str">
        <f>IF(A33="","",SUMIFS('Ventes du jour'!$E:$E,'Ventes du jour'!$A:$A,A33,'Ventes du jour'!$F:$F,"Mobile money"))</f>
        <v/>
      </c>
      <c r="J33" s="4"/>
    </row>
    <row r="34">
      <c r="A34" s="7"/>
      <c r="B34" s="5"/>
      <c r="C34" s="9" t="str">
        <f>IF(A34="","",SUMIFS('Ventes du jour'!$E:$E,'Ventes du jour'!$A:$A,A34,'Ventes du jour'!$F:$F,"Espèces"))</f>
        <v/>
      </c>
      <c r="D34" s="5"/>
      <c r="E34" s="5"/>
      <c r="F34" s="9" t="str">
        <f>IF(A34="","",N(B34)+N(C34)+N(D34)-N(E34))</f>
        <v/>
      </c>
      <c r="G34" s="5"/>
      <c r="H34" s="9" t="str">
        <f>IF(OR(A34="",G34=""),"",G34-F34)</f>
        <v/>
      </c>
      <c r="I34" s="9" t="str">
        <f>IF(A34="","",SUMIFS('Ventes du jour'!$E:$E,'Ventes du jour'!$A:$A,A34,'Ventes du jour'!$F:$F,"Mobile money"))</f>
        <v/>
      </c>
      <c r="J34" s="4"/>
    </row>
    <row r="35">
      <c r="A35" s="7"/>
      <c r="B35" s="5"/>
      <c r="C35" s="9" t="str">
        <f>IF(A35="","",SUMIFS('Ventes du jour'!$E:$E,'Ventes du jour'!$A:$A,A35,'Ventes du jour'!$F:$F,"Espèces"))</f>
        <v/>
      </c>
      <c r="D35" s="5"/>
      <c r="E35" s="5"/>
      <c r="F35" s="9" t="str">
        <f>IF(A35="","",N(B35)+N(C35)+N(D35)-N(E35))</f>
        <v/>
      </c>
      <c r="G35" s="5"/>
      <c r="H35" s="9" t="str">
        <f>IF(OR(A35="",G35=""),"",G35-F35)</f>
        <v/>
      </c>
      <c r="I35" s="9" t="str">
        <f>IF(A35="","",SUMIFS('Ventes du jour'!$E:$E,'Ventes du jour'!$A:$A,A35,'Ventes du jour'!$F:$F,"Mobile money"))</f>
        <v/>
      </c>
      <c r="J35" s="4"/>
    </row>
    <row r="36">
      <c r="A36" s="7"/>
      <c r="B36" s="5"/>
      <c r="C36" s="9" t="str">
        <f>IF(A36="","",SUMIFS('Ventes du jour'!$E:$E,'Ventes du jour'!$A:$A,A36,'Ventes du jour'!$F:$F,"Espèces"))</f>
        <v/>
      </c>
      <c r="D36" s="5"/>
      <c r="E36" s="5"/>
      <c r="F36" s="9" t="str">
        <f>IF(A36="","",N(B36)+N(C36)+N(D36)-N(E36))</f>
        <v/>
      </c>
      <c r="G36" s="5"/>
      <c r="H36" s="9" t="str">
        <f>IF(OR(A36="",G36=""),"",G36-F36)</f>
        <v/>
      </c>
      <c r="I36" s="9" t="str">
        <f>IF(A36="","",SUMIFS('Ventes du jour'!$E:$E,'Ventes du jour'!$A:$A,A36,'Ventes du jour'!$F:$F,"Mobile money"))</f>
        <v/>
      </c>
      <c r="J36" s="4"/>
    </row>
    <row r="37">
      <c r="A37" s="7"/>
      <c r="B37" s="5"/>
      <c r="C37" s="9" t="str">
        <f>IF(A37="","",SUMIFS('Ventes du jour'!$E:$E,'Ventes du jour'!$A:$A,A37,'Ventes du jour'!$F:$F,"Espèces"))</f>
        <v/>
      </c>
      <c r="D37" s="5"/>
      <c r="E37" s="5"/>
      <c r="F37" s="9" t="str">
        <f>IF(A37="","",N(B37)+N(C37)+N(D37)-N(E37))</f>
        <v/>
      </c>
      <c r="G37" s="5"/>
      <c r="H37" s="9" t="str">
        <f>IF(OR(A37="",G37=""),"",G37-F37)</f>
        <v/>
      </c>
      <c r="I37" s="9" t="str">
        <f>IF(A37="","",SUMIFS('Ventes du jour'!$E:$E,'Ventes du jour'!$A:$A,A37,'Ventes du jour'!$F:$F,"Mobile money"))</f>
        <v/>
      </c>
      <c r="J37" s="4"/>
    </row>
    <row r="38">
      <c r="A38" s="7"/>
      <c r="B38" s="5"/>
      <c r="C38" s="9" t="str">
        <f>IF(A38="","",SUMIFS('Ventes du jour'!$E:$E,'Ventes du jour'!$A:$A,A38,'Ventes du jour'!$F:$F,"Espèces"))</f>
        <v/>
      </c>
      <c r="D38" s="5"/>
      <c r="E38" s="5"/>
      <c r="F38" s="9" t="str">
        <f>IF(A38="","",N(B38)+N(C38)+N(D38)-N(E38))</f>
        <v/>
      </c>
      <c r="G38" s="5"/>
      <c r="H38" s="9" t="str">
        <f>IF(OR(A38="",G38=""),"",G38-F38)</f>
        <v/>
      </c>
      <c r="I38" s="9" t="str">
        <f>IF(A38="","",SUMIFS('Ventes du jour'!$E:$E,'Ventes du jour'!$A:$A,A38,'Ventes du jour'!$F:$F,"Mobile money"))</f>
        <v/>
      </c>
      <c r="J38" s="4"/>
    </row>
    <row r="39">
      <c r="A39" s="7"/>
      <c r="B39" s="5"/>
      <c r="C39" s="9" t="str">
        <f>IF(A39="","",SUMIFS('Ventes du jour'!$E:$E,'Ventes du jour'!$A:$A,A39,'Ventes du jour'!$F:$F,"Espèces"))</f>
        <v/>
      </c>
      <c r="D39" s="5"/>
      <c r="E39" s="5"/>
      <c r="F39" s="9" t="str">
        <f>IF(A39="","",N(B39)+N(C39)+N(D39)-N(E39))</f>
        <v/>
      </c>
      <c r="G39" s="5"/>
      <c r="H39" s="9" t="str">
        <f>IF(OR(A39="",G39=""),"",G39-F39)</f>
        <v/>
      </c>
      <c r="I39" s="9" t="str">
        <f>IF(A39="","",SUMIFS('Ventes du jour'!$E:$E,'Ventes du jour'!$A:$A,A39,'Ventes du jour'!$F:$F,"Mobile money"))</f>
        <v/>
      </c>
      <c r="J39" s="4"/>
    </row>
    <row r="40">
      <c r="A40" s="7"/>
      <c r="B40" s="5"/>
      <c r="C40" s="9" t="str">
        <f>IF(A40="","",SUMIFS('Ventes du jour'!$E:$E,'Ventes du jour'!$A:$A,A40,'Ventes du jour'!$F:$F,"Espèces"))</f>
        <v/>
      </c>
      <c r="D40" s="5"/>
      <c r="E40" s="5"/>
      <c r="F40" s="9" t="str">
        <f>IF(A40="","",N(B40)+N(C40)+N(D40)-N(E40))</f>
        <v/>
      </c>
      <c r="G40" s="5"/>
      <c r="H40" s="9" t="str">
        <f>IF(OR(A40="",G40=""),"",G40-F40)</f>
        <v/>
      </c>
      <c r="I40" s="9" t="str">
        <f>IF(A40="","",SUMIFS('Ventes du jour'!$E:$E,'Ventes du jour'!$A:$A,A40,'Ventes du jour'!$F:$F,"Mobile money"))</f>
        <v/>
      </c>
      <c r="J40" s="4"/>
    </row>
    <row r="41">
      <c r="A41" s="7"/>
      <c r="B41" s="5"/>
      <c r="C41" s="9" t="str">
        <f>IF(A41="","",SUMIFS('Ventes du jour'!$E:$E,'Ventes du jour'!$A:$A,A41,'Ventes du jour'!$F:$F,"Espèces"))</f>
        <v/>
      </c>
      <c r="D41" s="5"/>
      <c r="E41" s="5"/>
      <c r="F41" s="9" t="str">
        <f>IF(A41="","",N(B41)+N(C41)+N(D41)-N(E41))</f>
        <v/>
      </c>
      <c r="G41" s="5"/>
      <c r="H41" s="9" t="str">
        <f>IF(OR(A41="",G41=""),"",G41-F41)</f>
        <v/>
      </c>
      <c r="I41" s="9" t="str">
        <f>IF(A41="","",SUMIFS('Ventes du jour'!$E:$E,'Ventes du jour'!$A:$A,A41,'Ventes du jour'!$F:$F,"Mobile money"))</f>
        <v/>
      </c>
      <c r="J41" s="4"/>
    </row>
    <row r="42">
      <c r="A42" s="7"/>
      <c r="B42" s="5"/>
      <c r="C42" s="9" t="str">
        <f>IF(A42="","",SUMIFS('Ventes du jour'!$E:$E,'Ventes du jour'!$A:$A,A42,'Ventes du jour'!$F:$F,"Espèces"))</f>
        <v/>
      </c>
      <c r="D42" s="5"/>
      <c r="E42" s="5"/>
      <c r="F42" s="9" t="str">
        <f>IF(A42="","",N(B42)+N(C42)+N(D42)-N(E42))</f>
        <v/>
      </c>
      <c r="G42" s="5"/>
      <c r="H42" s="9" t="str">
        <f>IF(OR(A42="",G42=""),"",G42-F42)</f>
        <v/>
      </c>
      <c r="I42" s="9" t="str">
        <f>IF(A42="","",SUMIFS('Ventes du jour'!$E:$E,'Ventes du jour'!$A:$A,A42,'Ventes du jour'!$F:$F,"Mobile money"))</f>
        <v/>
      </c>
      <c r="J42" s="4"/>
    </row>
    <row r="43">
      <c r="A43" s="7"/>
      <c r="B43" s="5"/>
      <c r="C43" s="9" t="str">
        <f>IF(A43="","",SUMIFS('Ventes du jour'!$E:$E,'Ventes du jour'!$A:$A,A43,'Ventes du jour'!$F:$F,"Espèces"))</f>
        <v/>
      </c>
      <c r="D43" s="5"/>
      <c r="E43" s="5"/>
      <c r="F43" s="9" t="str">
        <f>IF(A43="","",N(B43)+N(C43)+N(D43)-N(E43))</f>
        <v/>
      </c>
      <c r="G43" s="5"/>
      <c r="H43" s="9" t="str">
        <f>IF(OR(A43="",G43=""),"",G43-F43)</f>
        <v/>
      </c>
      <c r="I43" s="9" t="str">
        <f>IF(A43="","",SUMIFS('Ventes du jour'!$E:$E,'Ventes du jour'!$A:$A,A43,'Ventes du jour'!$F:$F,"Mobile money"))</f>
        <v/>
      </c>
      <c r="J43" s="4"/>
    </row>
    <row r="44">
      <c r="A44" s="7"/>
      <c r="B44" s="5"/>
      <c r="C44" s="9" t="str">
        <f>IF(A44="","",SUMIFS('Ventes du jour'!$E:$E,'Ventes du jour'!$A:$A,A44,'Ventes du jour'!$F:$F,"Espèces"))</f>
        <v/>
      </c>
      <c r="D44" s="5"/>
      <c r="E44" s="5"/>
      <c r="F44" s="9" t="str">
        <f>IF(A44="","",N(B44)+N(C44)+N(D44)-N(E44))</f>
        <v/>
      </c>
      <c r="G44" s="5"/>
      <c r="H44" s="9" t="str">
        <f>IF(OR(A44="",G44=""),"",G44-F44)</f>
        <v/>
      </c>
      <c r="I44" s="9" t="str">
        <f>IF(A44="","",SUMIFS('Ventes du jour'!$E:$E,'Ventes du jour'!$A:$A,A44,'Ventes du jour'!$F:$F,"Mobile money"))</f>
        <v/>
      </c>
      <c r="J44" s="4"/>
    </row>
    <row r="45">
      <c r="A45" s="7"/>
      <c r="B45" s="5"/>
      <c r="C45" s="9" t="str">
        <f>IF(A45="","",SUMIFS('Ventes du jour'!$E:$E,'Ventes du jour'!$A:$A,A45,'Ventes du jour'!$F:$F,"Espèces"))</f>
        <v/>
      </c>
      <c r="D45" s="5"/>
      <c r="E45" s="5"/>
      <c r="F45" s="9" t="str">
        <f>IF(A45="","",N(B45)+N(C45)+N(D45)-N(E45))</f>
        <v/>
      </c>
      <c r="G45" s="5"/>
      <c r="H45" s="9" t="str">
        <f>IF(OR(A45="",G45=""),"",G45-F45)</f>
        <v/>
      </c>
      <c r="I45" s="9" t="str">
        <f>IF(A45="","",SUMIFS('Ventes du jour'!$E:$E,'Ventes du jour'!$A:$A,A45,'Ventes du jour'!$F:$F,"Mobile money"))</f>
        <v/>
      </c>
      <c r="J45" s="4"/>
    </row>
    <row r="46">
      <c r="A46" s="7"/>
      <c r="B46" s="5"/>
      <c r="C46" s="9" t="str">
        <f>IF(A46="","",SUMIFS('Ventes du jour'!$E:$E,'Ventes du jour'!$A:$A,A46,'Ventes du jour'!$F:$F,"Espèces"))</f>
        <v/>
      </c>
      <c r="D46" s="5"/>
      <c r="E46" s="5"/>
      <c r="F46" s="9" t="str">
        <f>IF(A46="","",N(B46)+N(C46)+N(D46)-N(E46))</f>
        <v/>
      </c>
      <c r="G46" s="5"/>
      <c r="H46" s="9" t="str">
        <f>IF(OR(A46="",G46=""),"",G46-F46)</f>
        <v/>
      </c>
      <c r="I46" s="9" t="str">
        <f>IF(A46="","",SUMIFS('Ventes du jour'!$E:$E,'Ventes du jour'!$A:$A,A46,'Ventes du jour'!$F:$F,"Mobile money"))</f>
        <v/>
      </c>
      <c r="J46" s="4"/>
    </row>
    <row r="47">
      <c r="A47" s="7"/>
      <c r="B47" s="5"/>
      <c r="C47" s="9" t="str">
        <f>IF(A47="","",SUMIFS('Ventes du jour'!$E:$E,'Ventes du jour'!$A:$A,A47,'Ventes du jour'!$F:$F,"Espèces"))</f>
        <v/>
      </c>
      <c r="D47" s="5"/>
      <c r="E47" s="5"/>
      <c r="F47" s="9" t="str">
        <f>IF(A47="","",N(B47)+N(C47)+N(D47)-N(E47))</f>
        <v/>
      </c>
      <c r="G47" s="5"/>
      <c r="H47" s="9" t="str">
        <f>IF(OR(A47="",G47=""),"",G47-F47)</f>
        <v/>
      </c>
      <c r="I47" s="9" t="str">
        <f>IF(A47="","",SUMIFS('Ventes du jour'!$E:$E,'Ventes du jour'!$A:$A,A47,'Ventes du jour'!$F:$F,"Mobile money"))</f>
        <v/>
      </c>
      <c r="J47" s="4"/>
    </row>
    <row r="48">
      <c r="A48" s="7"/>
      <c r="B48" s="5"/>
      <c r="C48" s="9" t="str">
        <f>IF(A48="","",SUMIFS('Ventes du jour'!$E:$E,'Ventes du jour'!$A:$A,A48,'Ventes du jour'!$F:$F,"Espèces"))</f>
        <v/>
      </c>
      <c r="D48" s="5"/>
      <c r="E48" s="5"/>
      <c r="F48" s="9" t="str">
        <f>IF(A48="","",N(B48)+N(C48)+N(D48)-N(E48))</f>
        <v/>
      </c>
      <c r="G48" s="5"/>
      <c r="H48" s="9" t="str">
        <f>IF(OR(A48="",G48=""),"",G48-F48)</f>
        <v/>
      </c>
      <c r="I48" s="9" t="str">
        <f>IF(A48="","",SUMIFS('Ventes du jour'!$E:$E,'Ventes du jour'!$A:$A,A48,'Ventes du jour'!$F:$F,"Mobile money"))</f>
        <v/>
      </c>
      <c r="J48" s="4"/>
    </row>
    <row r="49">
      <c r="A49" s="7"/>
      <c r="B49" s="5"/>
      <c r="C49" s="9" t="str">
        <f>IF(A49="","",SUMIFS('Ventes du jour'!$E:$E,'Ventes du jour'!$A:$A,A49,'Ventes du jour'!$F:$F,"Espèces"))</f>
        <v/>
      </c>
      <c r="D49" s="5"/>
      <c r="E49" s="5"/>
      <c r="F49" s="9" t="str">
        <f>IF(A49="","",N(B49)+N(C49)+N(D49)-N(E49))</f>
        <v/>
      </c>
      <c r="G49" s="5"/>
      <c r="H49" s="9" t="str">
        <f>IF(OR(A49="",G49=""),"",G49-F49)</f>
        <v/>
      </c>
      <c r="I49" s="9" t="str">
        <f>IF(A49="","",SUMIFS('Ventes du jour'!$E:$E,'Ventes du jour'!$A:$A,A49,'Ventes du jour'!$F:$F,"Mobile money"))</f>
        <v/>
      </c>
      <c r="J49" s="4"/>
    </row>
    <row r="50">
      <c r="A50" s="7"/>
      <c r="B50" s="5"/>
      <c r="C50" s="9" t="str">
        <f>IF(A50="","",SUMIFS('Ventes du jour'!$E:$E,'Ventes du jour'!$A:$A,A50,'Ventes du jour'!$F:$F,"Espèces"))</f>
        <v/>
      </c>
      <c r="D50" s="5"/>
      <c r="E50" s="5"/>
      <c r="F50" s="9" t="str">
        <f>IF(A50="","",N(B50)+N(C50)+N(D50)-N(E50))</f>
        <v/>
      </c>
      <c r="G50" s="5"/>
      <c r="H50" s="9" t="str">
        <f>IF(OR(A50="",G50=""),"",G50-F50)</f>
        <v/>
      </c>
      <c r="I50" s="9" t="str">
        <f>IF(A50="","",SUMIFS('Ventes du jour'!$E:$E,'Ventes du jour'!$A:$A,A50,'Ventes du jour'!$F:$F,"Mobile money"))</f>
        <v/>
      </c>
      <c r="J50" s="4"/>
    </row>
    <row r="51">
      <c r="A51" s="7"/>
      <c r="B51" s="5"/>
      <c r="C51" s="9" t="str">
        <f>IF(A51="","",SUMIFS('Ventes du jour'!$E:$E,'Ventes du jour'!$A:$A,A51,'Ventes du jour'!$F:$F,"Espèces"))</f>
        <v/>
      </c>
      <c r="D51" s="5"/>
      <c r="E51" s="5"/>
      <c r="F51" s="9" t="str">
        <f>IF(A51="","",N(B51)+N(C51)+N(D51)-N(E51))</f>
        <v/>
      </c>
      <c r="G51" s="5"/>
      <c r="H51" s="9" t="str">
        <f>IF(OR(A51="",G51=""),"",G51-F51)</f>
        <v/>
      </c>
      <c r="I51" s="9" t="str">
        <f>IF(A51="","",SUMIFS('Ventes du jour'!$E:$E,'Ventes du jour'!$A:$A,A51,'Ventes du jour'!$F:$F,"Mobile money"))</f>
        <v/>
      </c>
      <c r="J51" s="4"/>
    </row>
    <row r="52">
      <c r="A52" s="7"/>
      <c r="B52" s="5"/>
      <c r="C52" s="9" t="str">
        <f>IF(A52="","",SUMIFS('Ventes du jour'!$E:$E,'Ventes du jour'!$A:$A,A52,'Ventes du jour'!$F:$F,"Espèces"))</f>
        <v/>
      </c>
      <c r="D52" s="5"/>
      <c r="E52" s="5"/>
      <c r="F52" s="9" t="str">
        <f>IF(A52="","",N(B52)+N(C52)+N(D52)-N(E52))</f>
        <v/>
      </c>
      <c r="G52" s="5"/>
      <c r="H52" s="9" t="str">
        <f>IF(OR(A52="",G52=""),"",G52-F52)</f>
        <v/>
      </c>
      <c r="I52" s="9" t="str">
        <f>IF(A52="","",SUMIFS('Ventes du jour'!$E:$E,'Ventes du jour'!$A:$A,A52,'Ventes du jour'!$F:$F,"Mobile money"))</f>
        <v/>
      </c>
      <c r="J52" s="4"/>
    </row>
    <row r="53">
      <c r="A53" s="7"/>
      <c r="B53" s="5"/>
      <c r="C53" s="9" t="str">
        <f>IF(A53="","",SUMIFS('Ventes du jour'!$E:$E,'Ventes du jour'!$A:$A,A53,'Ventes du jour'!$F:$F,"Espèces"))</f>
        <v/>
      </c>
      <c r="D53" s="5"/>
      <c r="E53" s="5"/>
      <c r="F53" s="9" t="str">
        <f>IF(A53="","",N(B53)+N(C53)+N(D53)-N(E53))</f>
        <v/>
      </c>
      <c r="G53" s="5"/>
      <c r="H53" s="9" t="str">
        <f>IF(OR(A53="",G53=""),"",G53-F53)</f>
        <v/>
      </c>
      <c r="I53" s="9" t="str">
        <f>IF(A53="","",SUMIFS('Ventes du jour'!$E:$E,'Ventes du jour'!$A:$A,A53,'Ventes du jour'!$F:$F,"Mobile money"))</f>
        <v/>
      </c>
      <c r="J53" s="4"/>
    </row>
    <row r="54">
      <c r="A54" s="7"/>
      <c r="B54" s="5"/>
      <c r="C54" s="9" t="str">
        <f>IF(A54="","",SUMIFS('Ventes du jour'!$E:$E,'Ventes du jour'!$A:$A,A54,'Ventes du jour'!$F:$F,"Espèces"))</f>
        <v/>
      </c>
      <c r="D54" s="5"/>
      <c r="E54" s="5"/>
      <c r="F54" s="9" t="str">
        <f>IF(A54="","",N(B54)+N(C54)+N(D54)-N(E54))</f>
        <v/>
      </c>
      <c r="G54" s="5"/>
      <c r="H54" s="9" t="str">
        <f>IF(OR(A54="",G54=""),"",G54-F54)</f>
        <v/>
      </c>
      <c r="I54" s="9" t="str">
        <f>IF(A54="","",SUMIFS('Ventes du jour'!$E:$E,'Ventes du jour'!$A:$A,A54,'Ventes du jour'!$F:$F,"Mobile money"))</f>
        <v/>
      </c>
      <c r="J54" s="4"/>
    </row>
    <row r="55">
      <c r="A55" s="7"/>
      <c r="B55" s="5"/>
      <c r="C55" s="9" t="str">
        <f>IF(A55="","",SUMIFS('Ventes du jour'!$E:$E,'Ventes du jour'!$A:$A,A55,'Ventes du jour'!$F:$F,"Espèces"))</f>
        <v/>
      </c>
      <c r="D55" s="5"/>
      <c r="E55" s="5"/>
      <c r="F55" s="9" t="str">
        <f>IF(A55="","",N(B55)+N(C55)+N(D55)-N(E55))</f>
        <v/>
      </c>
      <c r="G55" s="5"/>
      <c r="H55" s="9" t="str">
        <f>IF(OR(A55="",G55=""),"",G55-F55)</f>
        <v/>
      </c>
      <c r="I55" s="9" t="str">
        <f>IF(A55="","",SUMIFS('Ventes du jour'!$E:$E,'Ventes du jour'!$A:$A,A55,'Ventes du jour'!$F:$F,"Mobile money"))</f>
        <v/>
      </c>
      <c r="J55" s="4"/>
    </row>
    <row r="56">
      <c r="A56" s="7"/>
      <c r="B56" s="5"/>
      <c r="C56" s="9" t="str">
        <f>IF(A56="","",SUMIFS('Ventes du jour'!$E:$E,'Ventes du jour'!$A:$A,A56,'Ventes du jour'!$F:$F,"Espèces"))</f>
        <v/>
      </c>
      <c r="D56" s="5"/>
      <c r="E56" s="5"/>
      <c r="F56" s="9" t="str">
        <f>IF(A56="","",N(B56)+N(C56)+N(D56)-N(E56))</f>
        <v/>
      </c>
      <c r="G56" s="5"/>
      <c r="H56" s="9" t="str">
        <f>IF(OR(A56="",G56=""),"",G56-F56)</f>
        <v/>
      </c>
      <c r="I56" s="9" t="str">
        <f>IF(A56="","",SUMIFS('Ventes du jour'!$E:$E,'Ventes du jour'!$A:$A,A56,'Ventes du jour'!$F:$F,"Mobile money"))</f>
        <v/>
      </c>
      <c r="J56" s="4"/>
    </row>
    <row r="57">
      <c r="A57" s="7"/>
      <c r="B57" s="5"/>
      <c r="C57" s="9" t="str">
        <f>IF(A57="","",SUMIFS('Ventes du jour'!$E:$E,'Ventes du jour'!$A:$A,A57,'Ventes du jour'!$F:$F,"Espèces"))</f>
        <v/>
      </c>
      <c r="D57" s="5"/>
      <c r="E57" s="5"/>
      <c r="F57" s="9" t="str">
        <f>IF(A57="","",N(B57)+N(C57)+N(D57)-N(E57))</f>
        <v/>
      </c>
      <c r="G57" s="5"/>
      <c r="H57" s="9" t="str">
        <f>IF(OR(A57="",G57=""),"",G57-F57)</f>
        <v/>
      </c>
      <c r="I57" s="9" t="str">
        <f>IF(A57="","",SUMIFS('Ventes du jour'!$E:$E,'Ventes du jour'!$A:$A,A57,'Ventes du jour'!$F:$F,"Mobile money"))</f>
        <v/>
      </c>
      <c r="J57" s="4"/>
    </row>
    <row r="58">
      <c r="A58" s="7"/>
      <c r="B58" s="5"/>
      <c r="C58" s="9" t="str">
        <f>IF(A58="","",SUMIFS('Ventes du jour'!$E:$E,'Ventes du jour'!$A:$A,A58,'Ventes du jour'!$F:$F,"Espèces"))</f>
        <v/>
      </c>
      <c r="D58" s="5"/>
      <c r="E58" s="5"/>
      <c r="F58" s="9" t="str">
        <f>IF(A58="","",N(B58)+N(C58)+N(D58)-N(E58))</f>
        <v/>
      </c>
      <c r="G58" s="5"/>
      <c r="H58" s="9" t="str">
        <f>IF(OR(A58="",G58=""),"",G58-F58)</f>
        <v/>
      </c>
      <c r="I58" s="9" t="str">
        <f>IF(A58="","",SUMIFS('Ventes du jour'!$E:$E,'Ventes du jour'!$A:$A,A58,'Ventes du jour'!$F:$F,"Mobile money"))</f>
        <v/>
      </c>
      <c r="J58" s="4"/>
    </row>
    <row r="59">
      <c r="A59" s="7"/>
      <c r="B59" s="5"/>
      <c r="C59" s="9" t="str">
        <f>IF(A59="","",SUMIFS('Ventes du jour'!$E:$E,'Ventes du jour'!$A:$A,A59,'Ventes du jour'!$F:$F,"Espèces"))</f>
        <v/>
      </c>
      <c r="D59" s="5"/>
      <c r="E59" s="5"/>
      <c r="F59" s="9" t="str">
        <f>IF(A59="","",N(B59)+N(C59)+N(D59)-N(E59))</f>
        <v/>
      </c>
      <c r="G59" s="5"/>
      <c r="H59" s="9" t="str">
        <f>IF(OR(A59="",G59=""),"",G59-F59)</f>
        <v/>
      </c>
      <c r="I59" s="9" t="str">
        <f>IF(A59="","",SUMIFS('Ventes du jour'!$E:$E,'Ventes du jour'!$A:$A,A59,'Ventes du jour'!$F:$F,"Mobile money"))</f>
        <v/>
      </c>
      <c r="J59" s="4"/>
    </row>
    <row r="60">
      <c r="A60" s="7"/>
      <c r="B60" s="5"/>
      <c r="C60" s="9" t="str">
        <f>IF(A60="","",SUMIFS('Ventes du jour'!$E:$E,'Ventes du jour'!$A:$A,A60,'Ventes du jour'!$F:$F,"Espèces"))</f>
        <v/>
      </c>
      <c r="D60" s="5"/>
      <c r="E60" s="5"/>
      <c r="F60" s="9" t="str">
        <f>IF(A60="","",N(B60)+N(C60)+N(D60)-N(E60))</f>
        <v/>
      </c>
      <c r="G60" s="5"/>
      <c r="H60" s="9" t="str">
        <f>IF(OR(A60="",G60=""),"",G60-F60)</f>
        <v/>
      </c>
      <c r="I60" s="9" t="str">
        <f>IF(A60="","",SUMIFS('Ventes du jour'!$E:$E,'Ventes du jour'!$A:$A,A60,'Ventes du jour'!$F:$F,"Mobile money"))</f>
        <v/>
      </c>
      <c r="J60" s="4"/>
    </row>
    <row r="61">
      <c r="A61" s="7"/>
      <c r="B61" s="5"/>
      <c r="C61" s="9" t="str">
        <f>IF(A61="","",SUMIFS('Ventes du jour'!$E:$E,'Ventes du jour'!$A:$A,A61,'Ventes du jour'!$F:$F,"Espèces"))</f>
        <v/>
      </c>
      <c r="D61" s="5"/>
      <c r="E61" s="5"/>
      <c r="F61" s="9" t="str">
        <f>IF(A61="","",N(B61)+N(C61)+N(D61)-N(E61))</f>
        <v/>
      </c>
      <c r="G61" s="5"/>
      <c r="H61" s="9" t="str">
        <f>IF(OR(A61="",G61=""),"",G61-F61)</f>
        <v/>
      </c>
      <c r="I61" s="9" t="str">
        <f>IF(A61="","",SUMIFS('Ventes du jour'!$E:$E,'Ventes du jour'!$A:$A,A61,'Ventes du jour'!$F:$F,"Mobile money"))</f>
        <v/>
      </c>
      <c r="J61" s="4"/>
    </row>
    <row r="62">
      <c r="A62" s="7"/>
      <c r="B62" s="5"/>
      <c r="C62" s="9" t="str">
        <f>IF(A62="","",SUMIFS('Ventes du jour'!$E:$E,'Ventes du jour'!$A:$A,A62,'Ventes du jour'!$F:$F,"Espèces"))</f>
        <v/>
      </c>
      <c r="D62" s="5"/>
      <c r="E62" s="5"/>
      <c r="F62" s="9" t="str">
        <f>IF(A62="","",N(B62)+N(C62)+N(D62)-N(E62))</f>
        <v/>
      </c>
      <c r="G62" s="5"/>
      <c r="H62" s="9" t="str">
        <f>IF(OR(A62="",G62=""),"",G62-F62)</f>
        <v/>
      </c>
      <c r="I62" s="9" t="str">
        <f>IF(A62="","",SUMIFS('Ventes du jour'!$E:$E,'Ventes du jour'!$A:$A,A62,'Ventes du jour'!$F:$F,"Mobile money"))</f>
        <v/>
      </c>
      <c r="J62" s="4"/>
    </row>
    <row r="63">
      <c r="A63" s="7"/>
      <c r="B63" s="5"/>
      <c r="C63" s="9" t="str">
        <f>IF(A63="","",SUMIFS('Ventes du jour'!$E:$E,'Ventes du jour'!$A:$A,A63,'Ventes du jour'!$F:$F,"Espèces"))</f>
        <v/>
      </c>
      <c r="D63" s="5"/>
      <c r="E63" s="5"/>
      <c r="F63" s="9" t="str">
        <f>IF(A63="","",N(B63)+N(C63)+N(D63)-N(E63))</f>
        <v/>
      </c>
      <c r="G63" s="5"/>
      <c r="H63" s="9" t="str">
        <f>IF(OR(A63="",G63=""),"",G63-F63)</f>
        <v/>
      </c>
      <c r="I63" s="9" t="str">
        <f>IF(A63="","",SUMIFS('Ventes du jour'!$E:$E,'Ventes du jour'!$A:$A,A63,'Ventes du jour'!$F:$F,"Mobile money"))</f>
        <v/>
      </c>
      <c r="J63" s="4"/>
    </row>
    <row r="64">
      <c r="A64" s="7"/>
      <c r="B64" s="5"/>
      <c r="C64" s="9" t="str">
        <f>IF(A64="","",SUMIFS('Ventes du jour'!$E:$E,'Ventes du jour'!$A:$A,A64,'Ventes du jour'!$F:$F,"Espèces"))</f>
        <v/>
      </c>
      <c r="D64" s="5"/>
      <c r="E64" s="5"/>
      <c r="F64" s="9" t="str">
        <f>IF(A64="","",N(B64)+N(C64)+N(D64)-N(E64))</f>
        <v/>
      </c>
      <c r="G64" s="5"/>
      <c r="H64" s="9" t="str">
        <f>IF(OR(A64="",G64=""),"",G64-F64)</f>
        <v/>
      </c>
      <c r="I64" s="9" t="str">
        <f>IF(A64="","",SUMIFS('Ventes du jour'!$E:$E,'Ventes du jour'!$A:$A,A64,'Ventes du jour'!$F:$F,"Mobile money"))</f>
        <v/>
      </c>
      <c r="J64" s="4"/>
    </row>
    <row r="65">
      <c r="A65" s="7"/>
      <c r="B65" s="5"/>
      <c r="C65" s="9" t="str">
        <f>IF(A65="","",SUMIFS('Ventes du jour'!$E:$E,'Ventes du jour'!$A:$A,A65,'Ventes du jour'!$F:$F,"Espèces"))</f>
        <v/>
      </c>
      <c r="D65" s="5"/>
      <c r="E65" s="5"/>
      <c r="F65" s="9" t="str">
        <f>IF(A65="","",N(B65)+N(C65)+N(D65)-N(E65))</f>
        <v/>
      </c>
      <c r="G65" s="5"/>
      <c r="H65" s="9" t="str">
        <f>IF(OR(A65="",G65=""),"",G65-F65)</f>
        <v/>
      </c>
      <c r="I65" s="9" t="str">
        <f>IF(A65="","",SUMIFS('Ventes du jour'!$E:$E,'Ventes du jour'!$A:$A,A65,'Ventes du jour'!$F:$F,"Mobile money"))</f>
        <v/>
      </c>
      <c r="J65" s="4"/>
    </row>
    <row r="66">
      <c r="A66" s="7"/>
      <c r="B66" s="5"/>
      <c r="C66" s="9" t="str">
        <f>IF(A66="","",SUMIFS('Ventes du jour'!$E:$E,'Ventes du jour'!$A:$A,A66,'Ventes du jour'!$F:$F,"Espèces"))</f>
        <v/>
      </c>
      <c r="D66" s="5"/>
      <c r="E66" s="5"/>
      <c r="F66" s="9" t="str">
        <f>IF(A66="","",N(B66)+N(C66)+N(D66)-N(E66))</f>
        <v/>
      </c>
      <c r="G66" s="5"/>
      <c r="H66" s="9" t="str">
        <f>IF(OR(A66="",G66=""),"",G66-F66)</f>
        <v/>
      </c>
      <c r="I66" s="9" t="str">
        <f>IF(A66="","",SUMIFS('Ventes du jour'!$E:$E,'Ventes du jour'!$A:$A,A66,'Ventes du jour'!$F:$F,"Mobile money"))</f>
        <v/>
      </c>
      <c r="J66" s="4"/>
    </row>
    <row r="67">
      <c r="A67" s="7"/>
      <c r="B67" s="5"/>
      <c r="C67" s="9" t="str">
        <f>IF(A67="","",SUMIFS('Ventes du jour'!$E:$E,'Ventes du jour'!$A:$A,A67,'Ventes du jour'!$F:$F,"Espèces"))</f>
        <v/>
      </c>
      <c r="D67" s="5"/>
      <c r="E67" s="5"/>
      <c r="F67" s="9" t="str">
        <f>IF(A67="","",N(B67)+N(C67)+N(D67)-N(E67))</f>
        <v/>
      </c>
      <c r="G67" s="5"/>
      <c r="H67" s="9" t="str">
        <f>IF(OR(A67="",G67=""),"",G67-F67)</f>
        <v/>
      </c>
      <c r="I67" s="9" t="str">
        <f>IF(A67="","",SUMIFS('Ventes du jour'!$E:$E,'Ventes du jour'!$A:$A,A67,'Ventes du jour'!$F:$F,"Mobile money"))</f>
        <v/>
      </c>
      <c r="J67" s="4"/>
    </row>
    <row r="68">
      <c r="A68" s="7"/>
      <c r="B68" s="5"/>
      <c r="C68" s="9" t="str">
        <f>IF(A68="","",SUMIFS('Ventes du jour'!$E:$E,'Ventes du jour'!$A:$A,A68,'Ventes du jour'!$F:$F,"Espèces"))</f>
        <v/>
      </c>
      <c r="D68" s="5"/>
      <c r="E68" s="5"/>
      <c r="F68" s="9" t="str">
        <f>IF(A68="","",N(B68)+N(C68)+N(D68)-N(E68))</f>
        <v/>
      </c>
      <c r="G68" s="5"/>
      <c r="H68" s="9" t="str">
        <f>IF(OR(A68="",G68=""),"",G68-F68)</f>
        <v/>
      </c>
      <c r="I68" s="9" t="str">
        <f>IF(A68="","",SUMIFS('Ventes du jour'!$E:$E,'Ventes du jour'!$A:$A,A68,'Ventes du jour'!$F:$F,"Mobile money"))</f>
        <v/>
      </c>
      <c r="J68" s="4"/>
    </row>
    <row r="69">
      <c r="A69" s="7"/>
      <c r="B69" s="5"/>
      <c r="C69" s="9" t="str">
        <f>IF(A69="","",SUMIFS('Ventes du jour'!$E:$E,'Ventes du jour'!$A:$A,A69,'Ventes du jour'!$F:$F,"Espèces"))</f>
        <v/>
      </c>
      <c r="D69" s="5"/>
      <c r="E69" s="5"/>
      <c r="F69" s="9" t="str">
        <f>IF(A69="","",N(B69)+N(C69)+N(D69)-N(E69))</f>
        <v/>
      </c>
      <c r="G69" s="5"/>
      <c r="H69" s="9" t="str">
        <f>IF(OR(A69="",G69=""),"",G69-F69)</f>
        <v/>
      </c>
      <c r="I69" s="9" t="str">
        <f>IF(A69="","",SUMIFS('Ventes du jour'!$E:$E,'Ventes du jour'!$A:$A,A69,'Ventes du jour'!$F:$F,"Mobile money"))</f>
        <v/>
      </c>
      <c r="J69" s="4"/>
    </row>
    <row r="70">
      <c r="A70" s="7"/>
      <c r="B70" s="5"/>
      <c r="C70" s="9" t="str">
        <f>IF(A70="","",SUMIFS('Ventes du jour'!$E:$E,'Ventes du jour'!$A:$A,A70,'Ventes du jour'!$F:$F,"Espèces"))</f>
        <v/>
      </c>
      <c r="D70" s="5"/>
      <c r="E70" s="5"/>
      <c r="F70" s="9" t="str">
        <f>IF(A70="","",N(B70)+N(C70)+N(D70)-N(E70))</f>
        <v/>
      </c>
      <c r="G70" s="5"/>
      <c r="H70" s="9" t="str">
        <f>IF(OR(A70="",G70=""),"",G70-F70)</f>
        <v/>
      </c>
      <c r="I70" s="9" t="str">
        <f>IF(A70="","",SUMIFS('Ventes du jour'!$E:$E,'Ventes du jour'!$A:$A,A70,'Ventes du jour'!$F:$F,"Mobile money"))</f>
        <v/>
      </c>
      <c r="J70" s="4"/>
    </row>
    <row r="71">
      <c r="A71" s="7"/>
      <c r="B71" s="5"/>
      <c r="C71" s="9" t="str">
        <f>IF(A71="","",SUMIFS('Ventes du jour'!$E:$E,'Ventes du jour'!$A:$A,A71,'Ventes du jour'!$F:$F,"Espèces"))</f>
        <v/>
      </c>
      <c r="D71" s="5"/>
      <c r="E71" s="5"/>
      <c r="F71" s="9" t="str">
        <f>IF(A71="","",N(B71)+N(C71)+N(D71)-N(E71))</f>
        <v/>
      </c>
      <c r="G71" s="5"/>
      <c r="H71" s="9" t="str">
        <f>IF(OR(A71="",G71=""),"",G71-F71)</f>
        <v/>
      </c>
      <c r="I71" s="9" t="str">
        <f>IF(A71="","",SUMIFS('Ventes du jour'!$E:$E,'Ventes du jour'!$A:$A,A71,'Ventes du jour'!$F:$F,"Mobile money"))</f>
        <v/>
      </c>
      <c r="J71" s="4"/>
    </row>
    <row r="72">
      <c r="A72" s="7"/>
      <c r="B72" s="5"/>
      <c r="C72" s="9" t="str">
        <f>IF(A72="","",SUMIFS('Ventes du jour'!$E:$E,'Ventes du jour'!$A:$A,A72,'Ventes du jour'!$F:$F,"Espèces"))</f>
        <v/>
      </c>
      <c r="D72" s="5"/>
      <c r="E72" s="5"/>
      <c r="F72" s="9" t="str">
        <f>IF(A72="","",N(B72)+N(C72)+N(D72)-N(E72))</f>
        <v/>
      </c>
      <c r="G72" s="5"/>
      <c r="H72" s="9" t="str">
        <f>IF(OR(A72="",G72=""),"",G72-F72)</f>
        <v/>
      </c>
      <c r="I72" s="9" t="str">
        <f>IF(A72="","",SUMIFS('Ventes du jour'!$E:$E,'Ventes du jour'!$A:$A,A72,'Ventes du jour'!$F:$F,"Mobile money"))</f>
        <v/>
      </c>
      <c r="J72" s="4"/>
    </row>
    <row r="73">
      <c r="A73" s="7"/>
      <c r="B73" s="5"/>
      <c r="C73" s="9" t="str">
        <f>IF(A73="","",SUMIFS('Ventes du jour'!$E:$E,'Ventes du jour'!$A:$A,A73,'Ventes du jour'!$F:$F,"Espèces"))</f>
        <v/>
      </c>
      <c r="D73" s="5"/>
      <c r="E73" s="5"/>
      <c r="F73" s="9" t="str">
        <f>IF(A73="","",N(B73)+N(C73)+N(D73)-N(E73))</f>
        <v/>
      </c>
      <c r="G73" s="5"/>
      <c r="H73" s="9" t="str">
        <f>IF(OR(A73="",G73=""),"",G73-F73)</f>
        <v/>
      </c>
      <c r="I73" s="9" t="str">
        <f>IF(A73="","",SUMIFS('Ventes du jour'!$E:$E,'Ventes du jour'!$A:$A,A73,'Ventes du jour'!$F:$F,"Mobile money"))</f>
        <v/>
      </c>
      <c r="J73" s="4"/>
    </row>
    <row r="74">
      <c r="A74" s="7"/>
      <c r="B74" s="5"/>
      <c r="C74" s="9" t="str">
        <f>IF(A74="","",SUMIFS('Ventes du jour'!$E:$E,'Ventes du jour'!$A:$A,A74,'Ventes du jour'!$F:$F,"Espèces"))</f>
        <v/>
      </c>
      <c r="D74" s="5"/>
      <c r="E74" s="5"/>
      <c r="F74" s="9" t="str">
        <f>IF(A74="","",N(B74)+N(C74)+N(D74)-N(E74))</f>
        <v/>
      </c>
      <c r="G74" s="5"/>
      <c r="H74" s="9" t="str">
        <f>IF(OR(A74="",G74=""),"",G74-F74)</f>
        <v/>
      </c>
      <c r="I74" s="9" t="str">
        <f>IF(A74="","",SUMIFS('Ventes du jour'!$E:$E,'Ventes du jour'!$A:$A,A74,'Ventes du jour'!$F:$F,"Mobile money"))</f>
        <v/>
      </c>
      <c r="J74" s="4"/>
    </row>
    <row r="75">
      <c r="A75" s="7"/>
      <c r="B75" s="5"/>
      <c r="C75" s="9" t="str">
        <f>IF(A75="","",SUMIFS('Ventes du jour'!$E:$E,'Ventes du jour'!$A:$A,A75,'Ventes du jour'!$F:$F,"Espèces"))</f>
        <v/>
      </c>
      <c r="D75" s="5"/>
      <c r="E75" s="5"/>
      <c r="F75" s="9" t="str">
        <f>IF(A75="","",N(B75)+N(C75)+N(D75)-N(E75))</f>
        <v/>
      </c>
      <c r="G75" s="5"/>
      <c r="H75" s="9" t="str">
        <f>IF(OR(A75="",G75=""),"",G75-F75)</f>
        <v/>
      </c>
      <c r="I75" s="9" t="str">
        <f>IF(A75="","",SUMIFS('Ventes du jour'!$E:$E,'Ventes du jour'!$A:$A,A75,'Ventes du jour'!$F:$F,"Mobile money"))</f>
        <v/>
      </c>
      <c r="J75" s="4"/>
    </row>
    <row r="76">
      <c r="A76" s="7"/>
      <c r="B76" s="5"/>
      <c r="C76" s="9" t="str">
        <f>IF(A76="","",SUMIFS('Ventes du jour'!$E:$E,'Ventes du jour'!$A:$A,A76,'Ventes du jour'!$F:$F,"Espèces"))</f>
        <v/>
      </c>
      <c r="D76" s="5"/>
      <c r="E76" s="5"/>
      <c r="F76" s="9" t="str">
        <f>IF(A76="","",N(B76)+N(C76)+N(D76)-N(E76))</f>
        <v/>
      </c>
      <c r="G76" s="5"/>
      <c r="H76" s="9" t="str">
        <f>IF(OR(A76="",G76=""),"",G76-F76)</f>
        <v/>
      </c>
      <c r="I76" s="9" t="str">
        <f>IF(A76="","",SUMIFS('Ventes du jour'!$E:$E,'Ventes du jour'!$A:$A,A76,'Ventes du jour'!$F:$F,"Mobile money"))</f>
        <v/>
      </c>
      <c r="J76" s="4"/>
    </row>
    <row r="77">
      <c r="A77" s="7"/>
      <c r="B77" s="5"/>
      <c r="C77" s="9" t="str">
        <f>IF(A77="","",SUMIFS('Ventes du jour'!$E:$E,'Ventes du jour'!$A:$A,A77,'Ventes du jour'!$F:$F,"Espèces"))</f>
        <v/>
      </c>
      <c r="D77" s="5"/>
      <c r="E77" s="5"/>
      <c r="F77" s="9" t="str">
        <f>IF(A77="","",N(B77)+N(C77)+N(D77)-N(E77))</f>
        <v/>
      </c>
      <c r="G77" s="5"/>
      <c r="H77" s="9" t="str">
        <f>IF(OR(A77="",G77=""),"",G77-F77)</f>
        <v/>
      </c>
      <c r="I77" s="9" t="str">
        <f>IF(A77="","",SUMIFS('Ventes du jour'!$E:$E,'Ventes du jour'!$A:$A,A77,'Ventes du jour'!$F:$F,"Mobile money"))</f>
        <v/>
      </c>
      <c r="J77" s="4"/>
    </row>
    <row r="78">
      <c r="A78" s="7"/>
      <c r="B78" s="5"/>
      <c r="C78" s="9" t="str">
        <f>IF(A78="","",SUMIFS('Ventes du jour'!$E:$E,'Ventes du jour'!$A:$A,A78,'Ventes du jour'!$F:$F,"Espèces"))</f>
        <v/>
      </c>
      <c r="D78" s="5"/>
      <c r="E78" s="5"/>
      <c r="F78" s="9" t="str">
        <f>IF(A78="","",N(B78)+N(C78)+N(D78)-N(E78))</f>
        <v/>
      </c>
      <c r="G78" s="5"/>
      <c r="H78" s="9" t="str">
        <f>IF(OR(A78="",G78=""),"",G78-F78)</f>
        <v/>
      </c>
      <c r="I78" s="9" t="str">
        <f>IF(A78="","",SUMIFS('Ventes du jour'!$E:$E,'Ventes du jour'!$A:$A,A78,'Ventes du jour'!$F:$F,"Mobile money"))</f>
        <v/>
      </c>
      <c r="J78" s="4"/>
    </row>
    <row r="79">
      <c r="A79" s="7"/>
      <c r="B79" s="5"/>
      <c r="C79" s="9" t="str">
        <f>IF(A79="","",SUMIFS('Ventes du jour'!$E:$E,'Ventes du jour'!$A:$A,A79,'Ventes du jour'!$F:$F,"Espèces"))</f>
        <v/>
      </c>
      <c r="D79" s="5"/>
      <c r="E79" s="5"/>
      <c r="F79" s="9" t="str">
        <f>IF(A79="","",N(B79)+N(C79)+N(D79)-N(E79))</f>
        <v/>
      </c>
      <c r="G79" s="5"/>
      <c r="H79" s="9" t="str">
        <f>IF(OR(A79="",G79=""),"",G79-F79)</f>
        <v/>
      </c>
      <c r="I79" s="9" t="str">
        <f>IF(A79="","",SUMIFS('Ventes du jour'!$E:$E,'Ventes du jour'!$A:$A,A79,'Ventes du jour'!$F:$F,"Mobile money"))</f>
        <v/>
      </c>
      <c r="J79" s="4"/>
    </row>
    <row r="80">
      <c r="A80" s="7"/>
      <c r="B80" s="5"/>
      <c r="C80" s="9" t="str">
        <f>IF(A80="","",SUMIFS('Ventes du jour'!$E:$E,'Ventes du jour'!$A:$A,A80,'Ventes du jour'!$F:$F,"Espèces"))</f>
        <v/>
      </c>
      <c r="D80" s="5"/>
      <c r="E80" s="5"/>
      <c r="F80" s="9" t="str">
        <f>IF(A80="","",N(B80)+N(C80)+N(D80)-N(E80))</f>
        <v/>
      </c>
      <c r="G80" s="5"/>
      <c r="H80" s="9" t="str">
        <f>IF(OR(A80="",G80=""),"",G80-F80)</f>
        <v/>
      </c>
      <c r="I80" s="9" t="str">
        <f>IF(A80="","",SUMIFS('Ventes du jour'!$E:$E,'Ventes du jour'!$A:$A,A80,'Ventes du jour'!$F:$F,"Mobile money"))</f>
        <v/>
      </c>
      <c r="J80" s="4"/>
    </row>
    <row r="81">
      <c r="A81" s="7"/>
      <c r="B81" s="5"/>
      <c r="C81" s="9" t="str">
        <f>IF(A81="","",SUMIFS('Ventes du jour'!$E:$E,'Ventes du jour'!$A:$A,A81,'Ventes du jour'!$F:$F,"Espèces"))</f>
        <v/>
      </c>
      <c r="D81" s="5"/>
      <c r="E81" s="5"/>
      <c r="F81" s="9" t="str">
        <f>IF(A81="","",N(B81)+N(C81)+N(D81)-N(E81))</f>
        <v/>
      </c>
      <c r="G81" s="5"/>
      <c r="H81" s="9" t="str">
        <f>IF(OR(A81="",G81=""),"",G81-F81)</f>
        <v/>
      </c>
      <c r="I81" s="9" t="str">
        <f>IF(A81="","",SUMIFS('Ventes du jour'!$E:$E,'Ventes du jour'!$A:$A,A81,'Ventes du jour'!$F:$F,"Mobile money"))</f>
        <v/>
      </c>
      <c r="J81" s="4"/>
    </row>
    <row r="82">
      <c r="A82" s="7"/>
      <c r="B82" s="5"/>
      <c r="C82" s="9" t="str">
        <f>IF(A82="","",SUMIFS('Ventes du jour'!$E:$E,'Ventes du jour'!$A:$A,A82,'Ventes du jour'!$F:$F,"Espèces"))</f>
        <v/>
      </c>
      <c r="D82" s="5"/>
      <c r="E82" s="5"/>
      <c r="F82" s="9" t="str">
        <f>IF(A82="","",N(B82)+N(C82)+N(D82)-N(E82))</f>
        <v/>
      </c>
      <c r="G82" s="5"/>
      <c r="H82" s="9" t="str">
        <f>IF(OR(A82="",G82=""),"",G82-F82)</f>
        <v/>
      </c>
      <c r="I82" s="9" t="str">
        <f>IF(A82="","",SUMIFS('Ventes du jour'!$E:$E,'Ventes du jour'!$A:$A,A82,'Ventes du jour'!$F:$F,"Mobile money"))</f>
        <v/>
      </c>
      <c r="J82" s="4"/>
    </row>
    <row r="83">
      <c r="A83" s="7"/>
      <c r="B83" s="5"/>
      <c r="C83" s="9" t="str">
        <f>IF(A83="","",SUMIFS('Ventes du jour'!$E:$E,'Ventes du jour'!$A:$A,A83,'Ventes du jour'!$F:$F,"Espèces"))</f>
        <v/>
      </c>
      <c r="D83" s="5"/>
      <c r="E83" s="5"/>
      <c r="F83" s="9" t="str">
        <f>IF(A83="","",N(B83)+N(C83)+N(D83)-N(E83))</f>
        <v/>
      </c>
      <c r="G83" s="5"/>
      <c r="H83" s="9" t="str">
        <f>IF(OR(A83="",G83=""),"",G83-F83)</f>
        <v/>
      </c>
      <c r="I83" s="9" t="str">
        <f>IF(A83="","",SUMIFS('Ventes du jour'!$E:$E,'Ventes du jour'!$A:$A,A83,'Ventes du jour'!$F:$F,"Mobile money"))</f>
        <v/>
      </c>
      <c r="J83" s="4"/>
    </row>
    <row r="84">
      <c r="A84" s="7"/>
      <c r="B84" s="5"/>
      <c r="C84" s="9" t="str">
        <f>IF(A84="","",SUMIFS('Ventes du jour'!$E:$E,'Ventes du jour'!$A:$A,A84,'Ventes du jour'!$F:$F,"Espèces"))</f>
        <v/>
      </c>
      <c r="D84" s="5"/>
      <c r="E84" s="5"/>
      <c r="F84" s="9" t="str">
        <f>IF(A84="","",N(B84)+N(C84)+N(D84)-N(E84))</f>
        <v/>
      </c>
      <c r="G84" s="5"/>
      <c r="H84" s="9" t="str">
        <f>IF(OR(A84="",G84=""),"",G84-F84)</f>
        <v/>
      </c>
      <c r="I84" s="9" t="str">
        <f>IF(A84="","",SUMIFS('Ventes du jour'!$E:$E,'Ventes du jour'!$A:$A,A84,'Ventes du jour'!$F:$F,"Mobile money"))</f>
        <v/>
      </c>
      <c r="J84" s="4"/>
    </row>
    <row r="85">
      <c r="A85" s="7"/>
      <c r="B85" s="5"/>
      <c r="C85" s="9" t="str">
        <f>IF(A85="","",SUMIFS('Ventes du jour'!$E:$E,'Ventes du jour'!$A:$A,A85,'Ventes du jour'!$F:$F,"Espèces"))</f>
        <v/>
      </c>
      <c r="D85" s="5"/>
      <c r="E85" s="5"/>
      <c r="F85" s="9" t="str">
        <f>IF(A85="","",N(B85)+N(C85)+N(D85)-N(E85))</f>
        <v/>
      </c>
      <c r="G85" s="5"/>
      <c r="H85" s="9" t="str">
        <f>IF(OR(A85="",G85=""),"",G85-F85)</f>
        <v/>
      </c>
      <c r="I85" s="9" t="str">
        <f>IF(A85="","",SUMIFS('Ventes du jour'!$E:$E,'Ventes du jour'!$A:$A,A85,'Ventes du jour'!$F:$F,"Mobile money"))</f>
        <v/>
      </c>
      <c r="J85" s="4"/>
    </row>
    <row r="86">
      <c r="A86" s="7"/>
      <c r="B86" s="5"/>
      <c r="C86" s="9" t="str">
        <f>IF(A86="","",SUMIFS('Ventes du jour'!$E:$E,'Ventes du jour'!$A:$A,A86,'Ventes du jour'!$F:$F,"Espèces"))</f>
        <v/>
      </c>
      <c r="D86" s="5"/>
      <c r="E86" s="5"/>
      <c r="F86" s="9" t="str">
        <f>IF(A86="","",N(B86)+N(C86)+N(D86)-N(E86))</f>
        <v/>
      </c>
      <c r="G86" s="5"/>
      <c r="H86" s="9" t="str">
        <f>IF(OR(A86="",G86=""),"",G86-F86)</f>
        <v/>
      </c>
      <c r="I86" s="9" t="str">
        <f>IF(A86="","",SUMIFS('Ventes du jour'!$E:$E,'Ventes du jour'!$A:$A,A86,'Ventes du jour'!$F:$F,"Mobile money"))</f>
        <v/>
      </c>
      <c r="J86" s="4"/>
    </row>
    <row r="87">
      <c r="A87" s="7"/>
      <c r="B87" s="5"/>
      <c r="C87" s="9" t="str">
        <f>IF(A87="","",SUMIFS('Ventes du jour'!$E:$E,'Ventes du jour'!$A:$A,A87,'Ventes du jour'!$F:$F,"Espèces"))</f>
        <v/>
      </c>
      <c r="D87" s="5"/>
      <c r="E87" s="5"/>
      <c r="F87" s="9" t="str">
        <f>IF(A87="","",N(B87)+N(C87)+N(D87)-N(E87))</f>
        <v/>
      </c>
      <c r="G87" s="5"/>
      <c r="H87" s="9" t="str">
        <f>IF(OR(A87="",G87=""),"",G87-F87)</f>
        <v/>
      </c>
      <c r="I87" s="9" t="str">
        <f>IF(A87="","",SUMIFS('Ventes du jour'!$E:$E,'Ventes du jour'!$A:$A,A87,'Ventes du jour'!$F:$F,"Mobile money"))</f>
        <v/>
      </c>
      <c r="J87" s="4"/>
    </row>
    <row r="88">
      <c r="A88" s="7"/>
      <c r="B88" s="5"/>
      <c r="C88" s="9" t="str">
        <f>IF(A88="","",SUMIFS('Ventes du jour'!$E:$E,'Ventes du jour'!$A:$A,A88,'Ventes du jour'!$F:$F,"Espèces"))</f>
        <v/>
      </c>
      <c r="D88" s="5"/>
      <c r="E88" s="5"/>
      <c r="F88" s="9" t="str">
        <f>IF(A88="","",N(B88)+N(C88)+N(D88)-N(E88))</f>
        <v/>
      </c>
      <c r="G88" s="5"/>
      <c r="H88" s="9" t="str">
        <f>IF(OR(A88="",G88=""),"",G88-F88)</f>
        <v/>
      </c>
      <c r="I88" s="9" t="str">
        <f>IF(A88="","",SUMIFS('Ventes du jour'!$E:$E,'Ventes du jour'!$A:$A,A88,'Ventes du jour'!$F:$F,"Mobile money"))</f>
        <v/>
      </c>
      <c r="J88" s="4"/>
    </row>
    <row r="89">
      <c r="A89" s="7"/>
      <c r="B89" s="5"/>
      <c r="C89" s="9" t="str">
        <f>IF(A89="","",SUMIFS('Ventes du jour'!$E:$E,'Ventes du jour'!$A:$A,A89,'Ventes du jour'!$F:$F,"Espèces"))</f>
        <v/>
      </c>
      <c r="D89" s="5"/>
      <c r="E89" s="5"/>
      <c r="F89" s="9" t="str">
        <f>IF(A89="","",N(B89)+N(C89)+N(D89)-N(E89))</f>
        <v/>
      </c>
      <c r="G89" s="5"/>
      <c r="H89" s="9" t="str">
        <f>IF(OR(A89="",G89=""),"",G89-F89)</f>
        <v/>
      </c>
      <c r="I89" s="9" t="str">
        <f>IF(A89="","",SUMIFS('Ventes du jour'!$E:$E,'Ventes du jour'!$A:$A,A89,'Ventes du jour'!$F:$F,"Mobile money"))</f>
        <v/>
      </c>
      <c r="J89" s="4"/>
    </row>
    <row r="90">
      <c r="A90" s="7"/>
      <c r="B90" s="5"/>
      <c r="C90" s="9" t="str">
        <f>IF(A90="","",SUMIFS('Ventes du jour'!$E:$E,'Ventes du jour'!$A:$A,A90,'Ventes du jour'!$F:$F,"Espèces"))</f>
        <v/>
      </c>
      <c r="D90" s="5"/>
      <c r="E90" s="5"/>
      <c r="F90" s="9" t="str">
        <f>IF(A90="","",N(B90)+N(C90)+N(D90)-N(E90))</f>
        <v/>
      </c>
      <c r="G90" s="5"/>
      <c r="H90" s="9" t="str">
        <f>IF(OR(A90="",G90=""),"",G90-F90)</f>
        <v/>
      </c>
      <c r="I90" s="9" t="str">
        <f>IF(A90="","",SUMIFS('Ventes du jour'!$E:$E,'Ventes du jour'!$A:$A,A90,'Ventes du jour'!$F:$F,"Mobile money"))</f>
        <v/>
      </c>
      <c r="J90" s="4"/>
    </row>
    <row r="91">
      <c r="A91" s="7"/>
      <c r="B91" s="5"/>
      <c r="C91" s="9" t="str">
        <f>IF(A91="","",SUMIFS('Ventes du jour'!$E:$E,'Ventes du jour'!$A:$A,A91,'Ventes du jour'!$F:$F,"Espèces"))</f>
        <v/>
      </c>
      <c r="D91" s="5"/>
      <c r="E91" s="5"/>
      <c r="F91" s="9" t="str">
        <f>IF(A91="","",N(B91)+N(C91)+N(D91)-N(E91))</f>
        <v/>
      </c>
      <c r="G91" s="5"/>
      <c r="H91" s="9" t="str">
        <f>IF(OR(A91="",G91=""),"",G91-F91)</f>
        <v/>
      </c>
      <c r="I91" s="9" t="str">
        <f>IF(A91="","",SUMIFS('Ventes du jour'!$E:$E,'Ventes du jour'!$A:$A,A91,'Ventes du jour'!$F:$F,"Mobile money"))</f>
        <v/>
      </c>
      <c r="J91" s="4"/>
    </row>
    <row r="92">
      <c r="A92" s="7"/>
      <c r="B92" s="5"/>
      <c r="C92" s="9" t="str">
        <f>IF(A92="","",SUMIFS('Ventes du jour'!$E:$E,'Ventes du jour'!$A:$A,A92,'Ventes du jour'!$F:$F,"Espèces"))</f>
        <v/>
      </c>
      <c r="D92" s="5"/>
      <c r="E92" s="5"/>
      <c r="F92" s="9" t="str">
        <f>IF(A92="","",N(B92)+N(C92)+N(D92)-N(E92))</f>
        <v/>
      </c>
      <c r="G92" s="5"/>
      <c r="H92" s="9" t="str">
        <f>IF(OR(A92="",G92=""),"",G92-F92)</f>
        <v/>
      </c>
      <c r="I92" s="9" t="str">
        <f>IF(A92="","",SUMIFS('Ventes du jour'!$E:$E,'Ventes du jour'!$A:$A,A92,'Ventes du jour'!$F:$F,"Mobile money"))</f>
        <v/>
      </c>
      <c r="J92" s="4"/>
    </row>
    <row r="93">
      <c r="A93" s="7"/>
      <c r="B93" s="5"/>
      <c r="C93" s="9" t="str">
        <f>IF(A93="","",SUMIFS('Ventes du jour'!$E:$E,'Ventes du jour'!$A:$A,A93,'Ventes du jour'!$F:$F,"Espèces"))</f>
        <v/>
      </c>
      <c r="D93" s="5"/>
      <c r="E93" s="5"/>
      <c r="F93" s="9" t="str">
        <f>IF(A93="","",N(B93)+N(C93)+N(D93)-N(E93))</f>
        <v/>
      </c>
      <c r="G93" s="5"/>
      <c r="H93" s="9" t="str">
        <f>IF(OR(A93="",G93=""),"",G93-F93)</f>
        <v/>
      </c>
      <c r="I93" s="9" t="str">
        <f>IF(A93="","",SUMIFS('Ventes du jour'!$E:$E,'Ventes du jour'!$A:$A,A93,'Ventes du jour'!$F:$F,"Mobile money"))</f>
        <v/>
      </c>
      <c r="J93" s="4"/>
    </row>
    <row r="94">
      <c r="A94" s="7"/>
      <c r="B94" s="5"/>
      <c r="C94" s="9" t="str">
        <f>IF(A94="","",SUMIFS('Ventes du jour'!$E:$E,'Ventes du jour'!$A:$A,A94,'Ventes du jour'!$F:$F,"Espèces"))</f>
        <v/>
      </c>
      <c r="D94" s="5"/>
      <c r="E94" s="5"/>
      <c r="F94" s="9" t="str">
        <f>IF(A94="","",N(B94)+N(C94)+N(D94)-N(E94))</f>
        <v/>
      </c>
      <c r="G94" s="5"/>
      <c r="H94" s="9" t="str">
        <f>IF(OR(A94="",G94=""),"",G94-F94)</f>
        <v/>
      </c>
      <c r="I94" s="9" t="str">
        <f>IF(A94="","",SUMIFS('Ventes du jour'!$E:$E,'Ventes du jour'!$A:$A,A94,'Ventes du jour'!$F:$F,"Mobile money"))</f>
        <v/>
      </c>
      <c r="J94" s="4"/>
    </row>
    <row r="95">
      <c r="A95" s="7"/>
      <c r="B95" s="5"/>
      <c r="C95" s="9" t="str">
        <f>IF(A95="","",SUMIFS('Ventes du jour'!$E:$E,'Ventes du jour'!$A:$A,A95,'Ventes du jour'!$F:$F,"Espèces"))</f>
        <v/>
      </c>
      <c r="D95" s="5"/>
      <c r="E95" s="5"/>
      <c r="F95" s="9" t="str">
        <f>IF(A95="","",N(B95)+N(C95)+N(D95)-N(E95))</f>
        <v/>
      </c>
      <c r="G95" s="5"/>
      <c r="H95" s="9" t="str">
        <f>IF(OR(A95="",G95=""),"",G95-F95)</f>
        <v/>
      </c>
      <c r="I95" s="9" t="str">
        <f>IF(A95="","",SUMIFS('Ventes du jour'!$E:$E,'Ventes du jour'!$A:$A,A95,'Ventes du jour'!$F:$F,"Mobile money"))</f>
        <v/>
      </c>
      <c r="J95" s="4"/>
    </row>
    <row r="96">
      <c r="A96" s="7"/>
      <c r="B96" s="5"/>
      <c r="C96" s="9" t="str">
        <f>IF(A96="","",SUMIFS('Ventes du jour'!$E:$E,'Ventes du jour'!$A:$A,A96,'Ventes du jour'!$F:$F,"Espèces"))</f>
        <v/>
      </c>
      <c r="D96" s="5"/>
      <c r="E96" s="5"/>
      <c r="F96" s="9" t="str">
        <f>IF(A96="","",N(B96)+N(C96)+N(D96)-N(E96))</f>
        <v/>
      </c>
      <c r="G96" s="5"/>
      <c r="H96" s="9" t="str">
        <f>IF(OR(A96="",G96=""),"",G96-F96)</f>
        <v/>
      </c>
      <c r="I96" s="9" t="str">
        <f>IF(A96="","",SUMIFS('Ventes du jour'!$E:$E,'Ventes du jour'!$A:$A,A96,'Ventes du jour'!$F:$F,"Mobile money"))</f>
        <v/>
      </c>
      <c r="J96" s="4"/>
    </row>
    <row r="97">
      <c r="A97" s="7"/>
      <c r="B97" s="5"/>
      <c r="C97" s="9" t="str">
        <f>IF(A97="","",SUMIFS('Ventes du jour'!$E:$E,'Ventes du jour'!$A:$A,A97,'Ventes du jour'!$F:$F,"Espèces"))</f>
        <v/>
      </c>
      <c r="D97" s="5"/>
      <c r="E97" s="5"/>
      <c r="F97" s="9" t="str">
        <f>IF(A97="","",N(B97)+N(C97)+N(D97)-N(E97))</f>
        <v/>
      </c>
      <c r="G97" s="5"/>
      <c r="H97" s="9" t="str">
        <f>IF(OR(A97="",G97=""),"",G97-F97)</f>
        <v/>
      </c>
      <c r="I97" s="9" t="str">
        <f>IF(A97="","",SUMIFS('Ventes du jour'!$E:$E,'Ventes du jour'!$A:$A,A97,'Ventes du jour'!$F:$F,"Mobile money"))</f>
        <v/>
      </c>
      <c r="J97" s="4"/>
    </row>
    <row r="98">
      <c r="A98" s="7"/>
      <c r="B98" s="5"/>
      <c r="C98" s="9" t="str">
        <f>IF(A98="","",SUMIFS('Ventes du jour'!$E:$E,'Ventes du jour'!$A:$A,A98,'Ventes du jour'!$F:$F,"Espèces"))</f>
        <v/>
      </c>
      <c r="D98" s="5"/>
      <c r="E98" s="5"/>
      <c r="F98" s="9" t="str">
        <f>IF(A98="","",N(B98)+N(C98)+N(D98)-N(E98))</f>
        <v/>
      </c>
      <c r="G98" s="5"/>
      <c r="H98" s="9" t="str">
        <f>IF(OR(A98="",G98=""),"",G98-F98)</f>
        <v/>
      </c>
      <c r="I98" s="9" t="str">
        <f>IF(A98="","",SUMIFS('Ventes du jour'!$E:$E,'Ventes du jour'!$A:$A,A98,'Ventes du jour'!$F:$F,"Mobile money"))</f>
        <v/>
      </c>
      <c r="J98" s="4"/>
    </row>
    <row r="99">
      <c r="A99" s="7"/>
      <c r="B99" s="5"/>
      <c r="C99" s="9" t="str">
        <f>IF(A99="","",SUMIFS('Ventes du jour'!$E:$E,'Ventes du jour'!$A:$A,A99,'Ventes du jour'!$F:$F,"Espèces"))</f>
        <v/>
      </c>
      <c r="D99" s="5"/>
      <c r="E99" s="5"/>
      <c r="F99" s="9" t="str">
        <f>IF(A99="","",N(B99)+N(C99)+N(D99)-N(E99))</f>
        <v/>
      </c>
      <c r="G99" s="5"/>
      <c r="H99" s="9" t="str">
        <f>IF(OR(A99="",G99=""),"",G99-F99)</f>
        <v/>
      </c>
      <c r="I99" s="9" t="str">
        <f>IF(A99="","",SUMIFS('Ventes du jour'!$E:$E,'Ventes du jour'!$A:$A,A99,'Ventes du jour'!$F:$F,"Mobile money"))</f>
        <v/>
      </c>
      <c r="J99" s="4"/>
    </row>
    <row r="100">
      <c r="A100" s="7"/>
      <c r="B100" s="5"/>
      <c r="C100" s="9" t="str">
        <f>IF(A100="","",SUMIFS('Ventes du jour'!$E:$E,'Ventes du jour'!$A:$A,A100,'Ventes du jour'!$F:$F,"Espèces"))</f>
        <v/>
      </c>
      <c r="D100" s="5"/>
      <c r="E100" s="5"/>
      <c r="F100" s="9" t="str">
        <f>IF(A100="","",N(B100)+N(C100)+N(D100)-N(E100))</f>
        <v/>
      </c>
      <c r="G100" s="5"/>
      <c r="H100" s="9" t="str">
        <f>IF(OR(A100="",G100=""),"",G100-F100)</f>
        <v/>
      </c>
      <c r="I100" s="9" t="str">
        <f>IF(A100="","",SUMIFS('Ventes du jour'!$E:$E,'Ventes du jour'!$A:$A,A100,'Ventes du jour'!$F:$F,"Mobile money"))</f>
        <v/>
      </c>
      <c r="J100" s="4"/>
    </row>
    <row r="101">
      <c r="A101" s="7"/>
      <c r="B101" s="5"/>
      <c r="C101" s="9" t="str">
        <f>IF(A101="","",SUMIFS('Ventes du jour'!$E:$E,'Ventes du jour'!$A:$A,A101,'Ventes du jour'!$F:$F,"Espèces"))</f>
        <v/>
      </c>
      <c r="D101" s="5"/>
      <c r="E101" s="5"/>
      <c r="F101" s="9" t="str">
        <f>IF(A101="","",N(B101)+N(C101)+N(D101)-N(E101))</f>
        <v/>
      </c>
      <c r="G101" s="5"/>
      <c r="H101" s="9" t="str">
        <f>IF(OR(A101="",G101=""),"",G101-F101)</f>
        <v/>
      </c>
      <c r="I101" s="9" t="str">
        <f>IF(A101="","",SUMIFS('Ventes du jour'!$E:$E,'Ventes du jour'!$A:$A,A101,'Ventes du jour'!$F:$F,"Mobile money"))</f>
        <v/>
      </c>
      <c r="J101" s="4"/>
    </row>
    <row r="102">
      <c r="A102" s="7"/>
      <c r="B102" s="5"/>
      <c r="C102" s="9" t="str">
        <f>IF(A102="","",SUMIFS('Ventes du jour'!$E:$E,'Ventes du jour'!$A:$A,A102,'Ventes du jour'!$F:$F,"Espèces"))</f>
        <v/>
      </c>
      <c r="D102" s="5"/>
      <c r="E102" s="5"/>
      <c r="F102" s="9" t="str">
        <f>IF(A102="","",N(B102)+N(C102)+N(D102)-N(E102))</f>
        <v/>
      </c>
      <c r="G102" s="5"/>
      <c r="H102" s="9" t="str">
        <f>IF(OR(A102="",G102=""),"",G102-F102)</f>
        <v/>
      </c>
      <c r="I102" s="9" t="str">
        <f>IF(A102="","",SUMIFS('Ventes du jour'!$E:$E,'Ventes du jour'!$A:$A,A102,'Ventes du jour'!$F:$F,"Mobile money"))</f>
        <v/>
      </c>
      <c r="J102" s="4"/>
    </row>
    <row r="103">
      <c r="A103" s="7"/>
      <c r="B103" s="5"/>
      <c r="C103" s="9" t="str">
        <f>IF(A103="","",SUMIFS('Ventes du jour'!$E:$E,'Ventes du jour'!$A:$A,A103,'Ventes du jour'!$F:$F,"Espèces"))</f>
        <v/>
      </c>
      <c r="D103" s="5"/>
      <c r="E103" s="5"/>
      <c r="F103" s="9" t="str">
        <f>IF(A103="","",N(B103)+N(C103)+N(D103)-N(E103))</f>
        <v/>
      </c>
      <c r="G103" s="5"/>
      <c r="H103" s="9" t="str">
        <f>IF(OR(A103="",G103=""),"",G103-F103)</f>
        <v/>
      </c>
      <c r="I103" s="9" t="str">
        <f>IF(A103="","",SUMIFS('Ventes du jour'!$E:$E,'Ventes du jour'!$A:$A,A103,'Ventes du jour'!$F:$F,"Mobile money"))</f>
        <v/>
      </c>
      <c r="J103" s="4"/>
    </row>
    <row r="104">
      <c r="A104" s="7"/>
      <c r="B104" s="5"/>
      <c r="C104" s="9" t="str">
        <f>IF(A104="","",SUMIFS('Ventes du jour'!$E:$E,'Ventes du jour'!$A:$A,A104,'Ventes du jour'!$F:$F,"Espèces"))</f>
        <v/>
      </c>
      <c r="D104" s="5"/>
      <c r="E104" s="5"/>
      <c r="F104" s="9" t="str">
        <f>IF(A104="","",N(B104)+N(C104)+N(D104)-N(E104))</f>
        <v/>
      </c>
      <c r="G104" s="5"/>
      <c r="H104" s="9" t="str">
        <f>IF(OR(A104="",G104=""),"",G104-F104)</f>
        <v/>
      </c>
      <c r="I104" s="9" t="str">
        <f>IF(A104="","",SUMIFS('Ventes du jour'!$E:$E,'Ventes du jour'!$A:$A,A104,'Ventes du jour'!$F:$F,"Mobile money"))</f>
        <v/>
      </c>
      <c r="J104" s="4"/>
    </row>
    <row r="105">
      <c r="A105" s="7"/>
      <c r="B105" s="5"/>
      <c r="C105" s="9" t="str">
        <f>IF(A105="","",SUMIFS('Ventes du jour'!$E:$E,'Ventes du jour'!$A:$A,A105,'Ventes du jour'!$F:$F,"Espèces"))</f>
        <v/>
      </c>
      <c r="D105" s="5"/>
      <c r="E105" s="5"/>
      <c r="F105" s="9" t="str">
        <f>IF(A105="","",N(B105)+N(C105)+N(D105)-N(E105))</f>
        <v/>
      </c>
      <c r="G105" s="5"/>
      <c r="H105" s="9" t="str">
        <f>IF(OR(A105="",G105=""),"",G105-F105)</f>
        <v/>
      </c>
      <c r="I105" s="9" t="str">
        <f>IF(A105="","",SUMIFS('Ventes du jour'!$E:$E,'Ventes du jour'!$A:$A,A105,'Ventes du jour'!$F:$F,"Mobile money"))</f>
        <v/>
      </c>
      <c r="J105" s="4"/>
    </row>
    <row r="106">
      <c r="A106" s="7"/>
      <c r="B106" s="5"/>
      <c r="C106" s="9" t="str">
        <f>IF(A106="","",SUMIFS('Ventes du jour'!$E:$E,'Ventes du jour'!$A:$A,A106,'Ventes du jour'!$F:$F,"Espèces"))</f>
        <v/>
      </c>
      <c r="D106" s="5"/>
      <c r="E106" s="5"/>
      <c r="F106" s="9" t="str">
        <f>IF(A106="","",N(B106)+N(C106)+N(D106)-N(E106))</f>
        <v/>
      </c>
      <c r="G106" s="5"/>
      <c r="H106" s="9" t="str">
        <f>IF(OR(A106="",G106=""),"",G106-F106)</f>
        <v/>
      </c>
      <c r="I106" s="9" t="str">
        <f>IF(A106="","",SUMIFS('Ventes du jour'!$E:$E,'Ventes du jour'!$A:$A,A106,'Ventes du jour'!$F:$F,"Mobile money"))</f>
        <v/>
      </c>
      <c r="J106" s="4"/>
    </row>
    <row r="107">
      <c r="A107" s="7"/>
      <c r="B107" s="5"/>
      <c r="C107" s="9" t="str">
        <f>IF(A107="","",SUMIFS('Ventes du jour'!$E:$E,'Ventes du jour'!$A:$A,A107,'Ventes du jour'!$F:$F,"Espèces"))</f>
        <v/>
      </c>
      <c r="D107" s="5"/>
      <c r="E107" s="5"/>
      <c r="F107" s="9" t="str">
        <f>IF(A107="","",N(B107)+N(C107)+N(D107)-N(E107))</f>
        <v/>
      </c>
      <c r="G107" s="5"/>
      <c r="H107" s="9" t="str">
        <f>IF(OR(A107="",G107=""),"",G107-F107)</f>
        <v/>
      </c>
      <c r="I107" s="9" t="str">
        <f>IF(A107="","",SUMIFS('Ventes du jour'!$E:$E,'Ventes du jour'!$A:$A,A107,'Ventes du jour'!$F:$F,"Mobile money"))</f>
        <v/>
      </c>
      <c r="J107" s="4"/>
    </row>
    <row r="108">
      <c r="A108" s="7"/>
      <c r="B108" s="5"/>
      <c r="C108" s="9" t="str">
        <f>IF(A108="","",SUMIFS('Ventes du jour'!$E:$E,'Ventes du jour'!$A:$A,A108,'Ventes du jour'!$F:$F,"Espèces"))</f>
        <v/>
      </c>
      <c r="D108" s="5"/>
      <c r="E108" s="5"/>
      <c r="F108" s="9" t="str">
        <f>IF(A108="","",N(B108)+N(C108)+N(D108)-N(E108))</f>
        <v/>
      </c>
      <c r="G108" s="5"/>
      <c r="H108" s="9" t="str">
        <f>IF(OR(A108="",G108=""),"",G108-F108)</f>
        <v/>
      </c>
      <c r="I108" s="9" t="str">
        <f>IF(A108="","",SUMIFS('Ventes du jour'!$E:$E,'Ventes du jour'!$A:$A,A108,'Ventes du jour'!$F:$F,"Mobile money"))</f>
        <v/>
      </c>
      <c r="J108" s="4"/>
    </row>
    <row r="109">
      <c r="A109" s="7"/>
      <c r="B109" s="5"/>
      <c r="C109" s="9" t="str">
        <f>IF(A109="","",SUMIFS('Ventes du jour'!$E:$E,'Ventes du jour'!$A:$A,A109,'Ventes du jour'!$F:$F,"Espèces"))</f>
        <v/>
      </c>
      <c r="D109" s="5"/>
      <c r="E109" s="5"/>
      <c r="F109" s="9" t="str">
        <f>IF(A109="","",N(B109)+N(C109)+N(D109)-N(E109))</f>
        <v/>
      </c>
      <c r="G109" s="5"/>
      <c r="H109" s="9" t="str">
        <f>IF(OR(A109="",G109=""),"",G109-F109)</f>
        <v/>
      </c>
      <c r="I109" s="9" t="str">
        <f>IF(A109="","",SUMIFS('Ventes du jour'!$E:$E,'Ventes du jour'!$A:$A,A109,'Ventes du jour'!$F:$F,"Mobile money"))</f>
        <v/>
      </c>
      <c r="J109" s="4"/>
    </row>
    <row r="110">
      <c r="A110" s="7"/>
      <c r="B110" s="5"/>
      <c r="C110" s="9" t="str">
        <f>IF(A110="","",SUMIFS('Ventes du jour'!$E:$E,'Ventes du jour'!$A:$A,A110,'Ventes du jour'!$F:$F,"Espèces"))</f>
        <v/>
      </c>
      <c r="D110" s="5"/>
      <c r="E110" s="5"/>
      <c r="F110" s="9" t="str">
        <f>IF(A110="","",N(B110)+N(C110)+N(D110)-N(E110))</f>
        <v/>
      </c>
      <c r="G110" s="5"/>
      <c r="H110" s="9" t="str">
        <f>IF(OR(A110="",G110=""),"",G110-F110)</f>
        <v/>
      </c>
      <c r="I110" s="9" t="str">
        <f>IF(A110="","",SUMIFS('Ventes du jour'!$E:$E,'Ventes du jour'!$A:$A,A110,'Ventes du jour'!$F:$F,"Mobile money"))</f>
        <v/>
      </c>
      <c r="J110" s="4"/>
    </row>
    <row r="111">
      <c r="A111" s="7"/>
      <c r="B111" s="5"/>
      <c r="C111" s="9" t="str">
        <f>IF(A111="","",SUMIFS('Ventes du jour'!$E:$E,'Ventes du jour'!$A:$A,A111,'Ventes du jour'!$F:$F,"Espèces"))</f>
        <v/>
      </c>
      <c r="D111" s="5"/>
      <c r="E111" s="5"/>
      <c r="F111" s="9" t="str">
        <f>IF(A111="","",N(B111)+N(C111)+N(D111)-N(E111))</f>
        <v/>
      </c>
      <c r="G111" s="5"/>
      <c r="H111" s="9" t="str">
        <f>IF(OR(A111="",G111=""),"",G111-F111)</f>
        <v/>
      </c>
      <c r="I111" s="9" t="str">
        <f>IF(A111="","",SUMIFS('Ventes du jour'!$E:$E,'Ventes du jour'!$A:$A,A111,'Ventes du jour'!$F:$F,"Mobile money"))</f>
        <v/>
      </c>
      <c r="J111" s="4"/>
    </row>
    <row r="112">
      <c r="A112" s="7"/>
      <c r="B112" s="5"/>
      <c r="C112" s="9" t="str">
        <f>IF(A112="","",SUMIFS('Ventes du jour'!$E:$E,'Ventes du jour'!$A:$A,A112,'Ventes du jour'!$F:$F,"Espèces"))</f>
        <v/>
      </c>
      <c r="D112" s="5"/>
      <c r="E112" s="5"/>
      <c r="F112" s="9" t="str">
        <f>IF(A112="","",N(B112)+N(C112)+N(D112)-N(E112))</f>
        <v/>
      </c>
      <c r="G112" s="5"/>
      <c r="H112" s="9" t="str">
        <f>IF(OR(A112="",G112=""),"",G112-F112)</f>
        <v/>
      </c>
      <c r="I112" s="9" t="str">
        <f>IF(A112="","",SUMIFS('Ventes du jour'!$E:$E,'Ventes du jour'!$A:$A,A112,'Ventes du jour'!$F:$F,"Mobile money"))</f>
        <v/>
      </c>
      <c r="J112" s="4"/>
    </row>
    <row r="113">
      <c r="A113" s="7"/>
      <c r="B113" s="5"/>
      <c r="C113" s="9" t="str">
        <f>IF(A113="","",SUMIFS('Ventes du jour'!$E:$E,'Ventes du jour'!$A:$A,A113,'Ventes du jour'!$F:$F,"Espèces"))</f>
        <v/>
      </c>
      <c r="D113" s="5"/>
      <c r="E113" s="5"/>
      <c r="F113" s="9" t="str">
        <f>IF(A113="","",N(B113)+N(C113)+N(D113)-N(E113))</f>
        <v/>
      </c>
      <c r="G113" s="5"/>
      <c r="H113" s="9" t="str">
        <f>IF(OR(A113="",G113=""),"",G113-F113)</f>
        <v/>
      </c>
      <c r="I113" s="9" t="str">
        <f>IF(A113="","",SUMIFS('Ventes du jour'!$E:$E,'Ventes du jour'!$A:$A,A113,'Ventes du jour'!$F:$F,"Mobile money"))</f>
        <v/>
      </c>
      <c r="J113" s="4"/>
    </row>
    <row r="114">
      <c r="A114" s="7"/>
      <c r="B114" s="5"/>
      <c r="C114" s="9" t="str">
        <f>IF(A114="","",SUMIFS('Ventes du jour'!$E:$E,'Ventes du jour'!$A:$A,A114,'Ventes du jour'!$F:$F,"Espèces"))</f>
        <v/>
      </c>
      <c r="D114" s="5"/>
      <c r="E114" s="5"/>
      <c r="F114" s="9" t="str">
        <f>IF(A114="","",N(B114)+N(C114)+N(D114)-N(E114))</f>
        <v/>
      </c>
      <c r="G114" s="5"/>
      <c r="H114" s="9" t="str">
        <f>IF(OR(A114="",G114=""),"",G114-F114)</f>
        <v/>
      </c>
      <c r="I114" s="9" t="str">
        <f>IF(A114="","",SUMIFS('Ventes du jour'!$E:$E,'Ventes du jour'!$A:$A,A114,'Ventes du jour'!$F:$F,"Mobile money"))</f>
        <v/>
      </c>
      <c r="J114" s="4"/>
    </row>
    <row r="115">
      <c r="A115" s="7"/>
      <c r="B115" s="5"/>
      <c r="C115" s="9" t="str">
        <f>IF(A115="","",SUMIFS('Ventes du jour'!$E:$E,'Ventes du jour'!$A:$A,A115,'Ventes du jour'!$F:$F,"Espèces"))</f>
        <v/>
      </c>
      <c r="D115" s="5"/>
      <c r="E115" s="5"/>
      <c r="F115" s="9" t="str">
        <f>IF(A115="","",N(B115)+N(C115)+N(D115)-N(E115))</f>
        <v/>
      </c>
      <c r="G115" s="5"/>
      <c r="H115" s="9" t="str">
        <f>IF(OR(A115="",G115=""),"",G115-F115)</f>
        <v/>
      </c>
      <c r="I115" s="9" t="str">
        <f>IF(A115="","",SUMIFS('Ventes du jour'!$E:$E,'Ventes du jour'!$A:$A,A115,'Ventes du jour'!$F:$F,"Mobile money"))</f>
        <v/>
      </c>
      <c r="J115" s="4"/>
    </row>
    <row r="116">
      <c r="A116" s="7"/>
      <c r="B116" s="5"/>
      <c r="C116" s="9" t="str">
        <f>IF(A116="","",SUMIFS('Ventes du jour'!$E:$E,'Ventes du jour'!$A:$A,A116,'Ventes du jour'!$F:$F,"Espèces"))</f>
        <v/>
      </c>
      <c r="D116" s="5"/>
      <c r="E116" s="5"/>
      <c r="F116" s="9" t="str">
        <f>IF(A116="","",N(B116)+N(C116)+N(D116)-N(E116))</f>
        <v/>
      </c>
      <c r="G116" s="5"/>
      <c r="H116" s="9" t="str">
        <f>IF(OR(A116="",G116=""),"",G116-F116)</f>
        <v/>
      </c>
      <c r="I116" s="9" t="str">
        <f>IF(A116="","",SUMIFS('Ventes du jour'!$E:$E,'Ventes du jour'!$A:$A,A116,'Ventes du jour'!$F:$F,"Mobile money"))</f>
        <v/>
      </c>
      <c r="J116" s="4"/>
    </row>
    <row r="117">
      <c r="A117" s="7"/>
      <c r="B117" s="5"/>
      <c r="C117" s="9" t="str">
        <f>IF(A117="","",SUMIFS('Ventes du jour'!$E:$E,'Ventes du jour'!$A:$A,A117,'Ventes du jour'!$F:$F,"Espèces"))</f>
        <v/>
      </c>
      <c r="D117" s="5"/>
      <c r="E117" s="5"/>
      <c r="F117" s="9" t="str">
        <f>IF(A117="","",N(B117)+N(C117)+N(D117)-N(E117))</f>
        <v/>
      </c>
      <c r="G117" s="5"/>
      <c r="H117" s="9" t="str">
        <f>IF(OR(A117="",G117=""),"",G117-F117)</f>
        <v/>
      </c>
      <c r="I117" s="9" t="str">
        <f>IF(A117="","",SUMIFS('Ventes du jour'!$E:$E,'Ventes du jour'!$A:$A,A117,'Ventes du jour'!$F:$F,"Mobile money"))</f>
        <v/>
      </c>
      <c r="J117" s="4"/>
    </row>
    <row r="118">
      <c r="A118" s="7"/>
      <c r="B118" s="5"/>
      <c r="C118" s="9" t="str">
        <f>IF(A118="","",SUMIFS('Ventes du jour'!$E:$E,'Ventes du jour'!$A:$A,A118,'Ventes du jour'!$F:$F,"Espèces"))</f>
        <v/>
      </c>
      <c r="D118" s="5"/>
      <c r="E118" s="5"/>
      <c r="F118" s="9" t="str">
        <f>IF(A118="","",N(B118)+N(C118)+N(D118)-N(E118))</f>
        <v/>
      </c>
      <c r="G118" s="5"/>
      <c r="H118" s="9" t="str">
        <f>IF(OR(A118="",G118=""),"",G118-F118)</f>
        <v/>
      </c>
      <c r="I118" s="9" t="str">
        <f>IF(A118="","",SUMIFS('Ventes du jour'!$E:$E,'Ventes du jour'!$A:$A,A118,'Ventes du jour'!$F:$F,"Mobile money"))</f>
        <v/>
      </c>
      <c r="J118" s="4"/>
    </row>
    <row r="119">
      <c r="A119" s="7"/>
      <c r="B119" s="5"/>
      <c r="C119" s="9" t="str">
        <f>IF(A119="","",SUMIFS('Ventes du jour'!$E:$E,'Ventes du jour'!$A:$A,A119,'Ventes du jour'!$F:$F,"Espèces"))</f>
        <v/>
      </c>
      <c r="D119" s="5"/>
      <c r="E119" s="5"/>
      <c r="F119" s="9" t="str">
        <f>IF(A119="","",N(B119)+N(C119)+N(D119)-N(E119))</f>
        <v/>
      </c>
      <c r="G119" s="5"/>
      <c r="H119" s="9" t="str">
        <f>IF(OR(A119="",G119=""),"",G119-F119)</f>
        <v/>
      </c>
      <c r="I119" s="9" t="str">
        <f>IF(A119="","",SUMIFS('Ventes du jour'!$E:$E,'Ventes du jour'!$A:$A,A119,'Ventes du jour'!$F:$F,"Mobile money"))</f>
        <v/>
      </c>
      <c r="J119" s="4"/>
    </row>
    <row r="120">
      <c r="A120" s="7"/>
      <c r="B120" s="5"/>
      <c r="C120" s="9" t="str">
        <f>IF(A120="","",SUMIFS('Ventes du jour'!$E:$E,'Ventes du jour'!$A:$A,A120,'Ventes du jour'!$F:$F,"Espèces"))</f>
        <v/>
      </c>
      <c r="D120" s="5"/>
      <c r="E120" s="5"/>
      <c r="F120" s="9" t="str">
        <f>IF(A120="","",N(B120)+N(C120)+N(D120)-N(E120))</f>
        <v/>
      </c>
      <c r="G120" s="5"/>
      <c r="H120" s="9" t="str">
        <f>IF(OR(A120="",G120=""),"",G120-F120)</f>
        <v/>
      </c>
      <c r="I120" s="9" t="str">
        <f>IF(A120="","",SUMIFS('Ventes du jour'!$E:$E,'Ventes du jour'!$A:$A,A120,'Ventes du jour'!$F:$F,"Mobile money"))</f>
        <v/>
      </c>
      <c r="J120" s="4"/>
    </row>
    <row r="121">
      <c r="A121" s="7"/>
      <c r="B121" s="5"/>
      <c r="C121" s="9" t="str">
        <f>IF(A121="","",SUMIFS('Ventes du jour'!$E:$E,'Ventes du jour'!$A:$A,A121,'Ventes du jour'!$F:$F,"Espèces"))</f>
        <v/>
      </c>
      <c r="D121" s="5"/>
      <c r="E121" s="5"/>
      <c r="F121" s="9" t="str">
        <f>IF(A121="","",N(B121)+N(C121)+N(D121)-N(E121))</f>
        <v/>
      </c>
      <c r="G121" s="5"/>
      <c r="H121" s="9" t="str">
        <f>IF(OR(A121="",G121=""),"",G121-F121)</f>
        <v/>
      </c>
      <c r="I121" s="9" t="str">
        <f>IF(A121="","",SUMIFS('Ventes du jour'!$E:$E,'Ventes du jour'!$A:$A,A121,'Ventes du jour'!$F:$F,"Mobile money"))</f>
        <v/>
      </c>
      <c r="J121" s="4"/>
    </row>
    <row r="122">
      <c r="A122" s="7"/>
      <c r="B122" s="5"/>
      <c r="C122" s="9" t="str">
        <f>IF(A122="","",SUMIFS('Ventes du jour'!$E:$E,'Ventes du jour'!$A:$A,A122,'Ventes du jour'!$F:$F,"Espèces"))</f>
        <v/>
      </c>
      <c r="D122" s="5"/>
      <c r="E122" s="5"/>
      <c r="F122" s="9" t="str">
        <f>IF(A122="","",N(B122)+N(C122)+N(D122)-N(E122))</f>
        <v/>
      </c>
      <c r="G122" s="5"/>
      <c r="H122" s="9" t="str">
        <f>IF(OR(A122="",G122=""),"",G122-F122)</f>
        <v/>
      </c>
      <c r="I122" s="9" t="str">
        <f>IF(A122="","",SUMIFS('Ventes du jour'!$E:$E,'Ventes du jour'!$A:$A,A122,'Ventes du jour'!$F:$F,"Mobile money"))</f>
        <v/>
      </c>
      <c r="J122" s="4"/>
    </row>
    <row r="123">
      <c r="A123" s="7"/>
      <c r="B123" s="5"/>
      <c r="C123" s="9" t="str">
        <f>IF(A123="","",SUMIFS('Ventes du jour'!$E:$E,'Ventes du jour'!$A:$A,A123,'Ventes du jour'!$F:$F,"Espèces"))</f>
        <v/>
      </c>
      <c r="D123" s="5"/>
      <c r="E123" s="5"/>
      <c r="F123" s="9" t="str">
        <f>IF(A123="","",N(B123)+N(C123)+N(D123)-N(E123))</f>
        <v/>
      </c>
      <c r="G123" s="5"/>
      <c r="H123" s="9" t="str">
        <f>IF(OR(A123="",G123=""),"",G123-F123)</f>
        <v/>
      </c>
      <c r="I123" s="9" t="str">
        <f>IF(A123="","",SUMIFS('Ventes du jour'!$E:$E,'Ventes du jour'!$A:$A,A123,'Ventes du jour'!$F:$F,"Mobile money"))</f>
        <v/>
      </c>
      <c r="J123" s="4"/>
    </row>
    <row r="124">
      <c r="A124" s="7"/>
      <c r="B124" s="5"/>
      <c r="C124" s="9" t="str">
        <f>IF(A124="","",SUMIFS('Ventes du jour'!$E:$E,'Ventes du jour'!$A:$A,A124,'Ventes du jour'!$F:$F,"Espèces"))</f>
        <v/>
      </c>
      <c r="D124" s="5"/>
      <c r="E124" s="5"/>
      <c r="F124" s="9" t="str">
        <f>IF(A124="","",N(B124)+N(C124)+N(D124)-N(E124))</f>
        <v/>
      </c>
      <c r="G124" s="5"/>
      <c r="H124" s="9" t="str">
        <f>IF(OR(A124="",G124=""),"",G124-F124)</f>
        <v/>
      </c>
      <c r="I124" s="9" t="str">
        <f>IF(A124="","",SUMIFS('Ventes du jour'!$E:$E,'Ventes du jour'!$A:$A,A124,'Ventes du jour'!$F:$F,"Mobile money"))</f>
        <v/>
      </c>
      <c r="J124" s="4"/>
    </row>
    <row r="125">
      <c r="A125" s="7"/>
      <c r="B125" s="5"/>
      <c r="C125" s="9" t="str">
        <f>IF(A125="","",SUMIFS('Ventes du jour'!$E:$E,'Ventes du jour'!$A:$A,A125,'Ventes du jour'!$F:$F,"Espèces"))</f>
        <v/>
      </c>
      <c r="D125" s="5"/>
      <c r="E125" s="5"/>
      <c r="F125" s="9" t="str">
        <f>IF(A125="","",N(B125)+N(C125)+N(D125)-N(E125))</f>
        <v/>
      </c>
      <c r="G125" s="5"/>
      <c r="H125" s="9" t="str">
        <f>IF(OR(A125="",G125=""),"",G125-F125)</f>
        <v/>
      </c>
      <c r="I125" s="9" t="str">
        <f>IF(A125="","",SUMIFS('Ventes du jour'!$E:$E,'Ventes du jour'!$A:$A,A125,'Ventes du jour'!$F:$F,"Mobile money"))</f>
        <v/>
      </c>
      <c r="J125" s="4"/>
    </row>
    <row r="126">
      <c r="A126" s="7"/>
      <c r="B126" s="5"/>
      <c r="C126" s="9" t="str">
        <f>IF(A126="","",SUMIFS('Ventes du jour'!$E:$E,'Ventes du jour'!$A:$A,A126,'Ventes du jour'!$F:$F,"Espèces"))</f>
        <v/>
      </c>
      <c r="D126" s="5"/>
      <c r="E126" s="5"/>
      <c r="F126" s="9" t="str">
        <f>IF(A126="","",N(B126)+N(C126)+N(D126)-N(E126))</f>
        <v/>
      </c>
      <c r="G126" s="5"/>
      <c r="H126" s="9" t="str">
        <f>IF(OR(A126="",G126=""),"",G126-F126)</f>
        <v/>
      </c>
      <c r="I126" s="9" t="str">
        <f>IF(A126="","",SUMIFS('Ventes du jour'!$E:$E,'Ventes du jour'!$A:$A,A126,'Ventes du jour'!$F:$F,"Mobile money"))</f>
        <v/>
      </c>
      <c r="J126" s="4"/>
    </row>
    <row r="127">
      <c r="A127" s="7"/>
      <c r="B127" s="5"/>
      <c r="C127" s="9" t="str">
        <f>IF(A127="","",SUMIFS('Ventes du jour'!$E:$E,'Ventes du jour'!$A:$A,A127,'Ventes du jour'!$F:$F,"Espèces"))</f>
        <v/>
      </c>
      <c r="D127" s="5"/>
      <c r="E127" s="5"/>
      <c r="F127" s="9" t="str">
        <f>IF(A127="","",N(B127)+N(C127)+N(D127)-N(E127))</f>
        <v/>
      </c>
      <c r="G127" s="5"/>
      <c r="H127" s="9" t="str">
        <f>IF(OR(A127="",G127=""),"",G127-F127)</f>
        <v/>
      </c>
      <c r="I127" s="9" t="str">
        <f>IF(A127="","",SUMIFS('Ventes du jour'!$E:$E,'Ventes du jour'!$A:$A,A127,'Ventes du jour'!$F:$F,"Mobile money"))</f>
        <v/>
      </c>
      <c r="J127" s="4"/>
    </row>
    <row r="128">
      <c r="A128" s="7"/>
      <c r="B128" s="5"/>
      <c r="C128" s="9" t="str">
        <f>IF(A128="","",SUMIFS('Ventes du jour'!$E:$E,'Ventes du jour'!$A:$A,A128,'Ventes du jour'!$F:$F,"Espèces"))</f>
        <v/>
      </c>
      <c r="D128" s="5"/>
      <c r="E128" s="5"/>
      <c r="F128" s="9" t="str">
        <f>IF(A128="","",N(B128)+N(C128)+N(D128)-N(E128))</f>
        <v/>
      </c>
      <c r="G128" s="5"/>
      <c r="H128" s="9" t="str">
        <f>IF(OR(A128="",G128=""),"",G128-F128)</f>
        <v/>
      </c>
      <c r="I128" s="9" t="str">
        <f>IF(A128="","",SUMIFS('Ventes du jour'!$E:$E,'Ventes du jour'!$A:$A,A128,'Ventes du jour'!$F:$F,"Mobile money"))</f>
        <v/>
      </c>
      <c r="J128" s="4"/>
    </row>
    <row r="129">
      <c r="A129" s="7"/>
      <c r="B129" s="5"/>
      <c r="C129" s="9" t="str">
        <f>IF(A129="","",SUMIFS('Ventes du jour'!$E:$E,'Ventes du jour'!$A:$A,A129,'Ventes du jour'!$F:$F,"Espèces"))</f>
        <v/>
      </c>
      <c r="D129" s="5"/>
      <c r="E129" s="5"/>
      <c r="F129" s="9" t="str">
        <f>IF(A129="","",N(B129)+N(C129)+N(D129)-N(E129))</f>
        <v/>
      </c>
      <c r="G129" s="5"/>
      <c r="H129" s="9" t="str">
        <f>IF(OR(A129="",G129=""),"",G129-F129)</f>
        <v/>
      </c>
      <c r="I129" s="9" t="str">
        <f>IF(A129="","",SUMIFS('Ventes du jour'!$E:$E,'Ventes du jour'!$A:$A,A129,'Ventes du jour'!$F:$F,"Mobile money"))</f>
        <v/>
      </c>
      <c r="J129" s="4"/>
    </row>
    <row r="130">
      <c r="A130" s="7"/>
      <c r="B130" s="5"/>
      <c r="C130" s="9" t="str">
        <f>IF(A130="","",SUMIFS('Ventes du jour'!$E:$E,'Ventes du jour'!$A:$A,A130,'Ventes du jour'!$F:$F,"Espèces"))</f>
        <v/>
      </c>
      <c r="D130" s="5"/>
      <c r="E130" s="5"/>
      <c r="F130" s="9" t="str">
        <f>IF(A130="","",N(B130)+N(C130)+N(D130)-N(E130))</f>
        <v/>
      </c>
      <c r="G130" s="5"/>
      <c r="H130" s="9" t="str">
        <f>IF(OR(A130="",G130=""),"",G130-F130)</f>
        <v/>
      </c>
      <c r="I130" s="9" t="str">
        <f>IF(A130="","",SUMIFS('Ventes du jour'!$E:$E,'Ventes du jour'!$A:$A,A130,'Ventes du jour'!$F:$F,"Mobile money"))</f>
        <v/>
      </c>
      <c r="J130" s="4"/>
    </row>
    <row r="131">
      <c r="A131" s="7"/>
      <c r="B131" s="5"/>
      <c r="C131" s="9" t="str">
        <f>IF(A131="","",SUMIFS('Ventes du jour'!$E:$E,'Ventes du jour'!$A:$A,A131,'Ventes du jour'!$F:$F,"Espèces"))</f>
        <v/>
      </c>
      <c r="D131" s="5"/>
      <c r="E131" s="5"/>
      <c r="F131" s="9" t="str">
        <f>IF(A131="","",N(B131)+N(C131)+N(D131)-N(E131))</f>
        <v/>
      </c>
      <c r="G131" s="5"/>
      <c r="H131" s="9" t="str">
        <f>IF(OR(A131="",G131=""),"",G131-F131)</f>
        <v/>
      </c>
      <c r="I131" s="9" t="str">
        <f>IF(A131="","",SUMIFS('Ventes du jour'!$E:$E,'Ventes du jour'!$A:$A,A131,'Ventes du jour'!$F:$F,"Mobile money"))</f>
        <v/>
      </c>
      <c r="J131" s="4"/>
    </row>
    <row r="132">
      <c r="A132" s="7"/>
      <c r="B132" s="5"/>
      <c r="C132" s="9" t="str">
        <f>IF(A132="","",SUMIFS('Ventes du jour'!$E:$E,'Ventes du jour'!$A:$A,A132,'Ventes du jour'!$F:$F,"Espèces"))</f>
        <v/>
      </c>
      <c r="D132" s="5"/>
      <c r="E132" s="5"/>
      <c r="F132" s="9" t="str">
        <f>IF(A132="","",N(B132)+N(C132)+N(D132)-N(E132))</f>
        <v/>
      </c>
      <c r="G132" s="5"/>
      <c r="H132" s="9" t="str">
        <f>IF(OR(A132="",G132=""),"",G132-F132)</f>
        <v/>
      </c>
      <c r="I132" s="9" t="str">
        <f>IF(A132="","",SUMIFS('Ventes du jour'!$E:$E,'Ventes du jour'!$A:$A,A132,'Ventes du jour'!$F:$F,"Mobile money"))</f>
        <v/>
      </c>
      <c r="J132" s="4"/>
    </row>
    <row r="133">
      <c r="A133" s="7"/>
      <c r="B133" s="5"/>
      <c r="C133" s="9" t="str">
        <f>IF(A133="","",SUMIFS('Ventes du jour'!$E:$E,'Ventes du jour'!$A:$A,A133,'Ventes du jour'!$F:$F,"Espèces"))</f>
        <v/>
      </c>
      <c r="D133" s="5"/>
      <c r="E133" s="5"/>
      <c r="F133" s="9" t="str">
        <f>IF(A133="","",N(B133)+N(C133)+N(D133)-N(E133))</f>
        <v/>
      </c>
      <c r="G133" s="5"/>
      <c r="H133" s="9" t="str">
        <f>IF(OR(A133="",G133=""),"",G133-F133)</f>
        <v/>
      </c>
      <c r="I133" s="9" t="str">
        <f>IF(A133="","",SUMIFS('Ventes du jour'!$E:$E,'Ventes du jour'!$A:$A,A133,'Ventes du jour'!$F:$F,"Mobile money"))</f>
        <v/>
      </c>
      <c r="J133" s="4"/>
    </row>
    <row r="134">
      <c r="A134" s="7"/>
      <c r="B134" s="5"/>
      <c r="C134" s="9" t="str">
        <f>IF(A134="","",SUMIFS('Ventes du jour'!$E:$E,'Ventes du jour'!$A:$A,A134,'Ventes du jour'!$F:$F,"Espèces"))</f>
        <v/>
      </c>
      <c r="D134" s="5"/>
      <c r="E134" s="5"/>
      <c r="F134" s="9" t="str">
        <f>IF(A134="","",N(B134)+N(C134)+N(D134)-N(E134))</f>
        <v/>
      </c>
      <c r="G134" s="5"/>
      <c r="H134" s="9" t="str">
        <f>IF(OR(A134="",G134=""),"",G134-F134)</f>
        <v/>
      </c>
      <c r="I134" s="9" t="str">
        <f>IF(A134="","",SUMIFS('Ventes du jour'!$E:$E,'Ventes du jour'!$A:$A,A134,'Ventes du jour'!$F:$F,"Mobile money"))</f>
        <v/>
      </c>
      <c r="J134" s="4"/>
    </row>
    <row r="135">
      <c r="A135" s="7"/>
      <c r="B135" s="5"/>
      <c r="C135" s="9" t="str">
        <f>IF(A135="","",SUMIFS('Ventes du jour'!$E:$E,'Ventes du jour'!$A:$A,A135,'Ventes du jour'!$F:$F,"Espèces"))</f>
        <v/>
      </c>
      <c r="D135" s="5"/>
      <c r="E135" s="5"/>
      <c r="F135" s="9" t="str">
        <f>IF(A135="","",N(B135)+N(C135)+N(D135)-N(E135))</f>
        <v/>
      </c>
      <c r="G135" s="5"/>
      <c r="H135" s="9" t="str">
        <f>IF(OR(A135="",G135=""),"",G135-F135)</f>
        <v/>
      </c>
      <c r="I135" s="9" t="str">
        <f>IF(A135="","",SUMIFS('Ventes du jour'!$E:$E,'Ventes du jour'!$A:$A,A135,'Ventes du jour'!$F:$F,"Mobile money"))</f>
        <v/>
      </c>
      <c r="J135" s="4"/>
    </row>
    <row r="136">
      <c r="A136" s="7"/>
      <c r="B136" s="5"/>
      <c r="C136" s="9" t="str">
        <f>IF(A136="","",SUMIFS('Ventes du jour'!$E:$E,'Ventes du jour'!$A:$A,A136,'Ventes du jour'!$F:$F,"Espèces"))</f>
        <v/>
      </c>
      <c r="D136" s="5"/>
      <c r="E136" s="5"/>
      <c r="F136" s="9" t="str">
        <f>IF(A136="","",N(B136)+N(C136)+N(D136)-N(E136))</f>
        <v/>
      </c>
      <c r="G136" s="5"/>
      <c r="H136" s="9" t="str">
        <f>IF(OR(A136="",G136=""),"",G136-F136)</f>
        <v/>
      </c>
      <c r="I136" s="9" t="str">
        <f>IF(A136="","",SUMIFS('Ventes du jour'!$E:$E,'Ventes du jour'!$A:$A,A136,'Ventes du jour'!$F:$F,"Mobile money"))</f>
        <v/>
      </c>
      <c r="J136" s="4"/>
    </row>
    <row r="137">
      <c r="A137" s="7"/>
      <c r="B137" s="5"/>
      <c r="C137" s="9" t="str">
        <f>IF(A137="","",SUMIFS('Ventes du jour'!$E:$E,'Ventes du jour'!$A:$A,A137,'Ventes du jour'!$F:$F,"Espèces"))</f>
        <v/>
      </c>
      <c r="D137" s="5"/>
      <c r="E137" s="5"/>
      <c r="F137" s="9" t="str">
        <f>IF(A137="","",N(B137)+N(C137)+N(D137)-N(E137))</f>
        <v/>
      </c>
      <c r="G137" s="5"/>
      <c r="H137" s="9" t="str">
        <f>IF(OR(A137="",G137=""),"",G137-F137)</f>
        <v/>
      </c>
      <c r="I137" s="9" t="str">
        <f>IF(A137="","",SUMIFS('Ventes du jour'!$E:$E,'Ventes du jour'!$A:$A,A137,'Ventes du jour'!$F:$F,"Mobile money"))</f>
        <v/>
      </c>
      <c r="J137" s="4"/>
    </row>
    <row r="138">
      <c r="A138" s="7"/>
      <c r="B138" s="5"/>
      <c r="C138" s="9" t="str">
        <f>IF(A138="","",SUMIFS('Ventes du jour'!$E:$E,'Ventes du jour'!$A:$A,A138,'Ventes du jour'!$F:$F,"Espèces"))</f>
        <v/>
      </c>
      <c r="D138" s="5"/>
      <c r="E138" s="5"/>
      <c r="F138" s="9" t="str">
        <f>IF(A138="","",N(B138)+N(C138)+N(D138)-N(E138))</f>
        <v/>
      </c>
      <c r="G138" s="5"/>
      <c r="H138" s="9" t="str">
        <f>IF(OR(A138="",G138=""),"",G138-F138)</f>
        <v/>
      </c>
      <c r="I138" s="9" t="str">
        <f>IF(A138="","",SUMIFS('Ventes du jour'!$E:$E,'Ventes du jour'!$A:$A,A138,'Ventes du jour'!$F:$F,"Mobile money"))</f>
        <v/>
      </c>
      <c r="J138" s="4"/>
    </row>
    <row r="139">
      <c r="A139" s="7"/>
      <c r="B139" s="5"/>
      <c r="C139" s="9" t="str">
        <f>IF(A139="","",SUMIFS('Ventes du jour'!$E:$E,'Ventes du jour'!$A:$A,A139,'Ventes du jour'!$F:$F,"Espèces"))</f>
        <v/>
      </c>
      <c r="D139" s="5"/>
      <c r="E139" s="5"/>
      <c r="F139" s="9" t="str">
        <f>IF(A139="","",N(B139)+N(C139)+N(D139)-N(E139))</f>
        <v/>
      </c>
      <c r="G139" s="5"/>
      <c r="H139" s="9" t="str">
        <f>IF(OR(A139="",G139=""),"",G139-F139)</f>
        <v/>
      </c>
      <c r="I139" s="9" t="str">
        <f>IF(A139="","",SUMIFS('Ventes du jour'!$E:$E,'Ventes du jour'!$A:$A,A139,'Ventes du jour'!$F:$F,"Mobile money"))</f>
        <v/>
      </c>
      <c r="J139" s="4"/>
    </row>
    <row r="140">
      <c r="A140" s="7"/>
      <c r="B140" s="5"/>
      <c r="C140" s="9" t="str">
        <f>IF(A140="","",SUMIFS('Ventes du jour'!$E:$E,'Ventes du jour'!$A:$A,A140,'Ventes du jour'!$F:$F,"Espèces"))</f>
        <v/>
      </c>
      <c r="D140" s="5"/>
      <c r="E140" s="5"/>
      <c r="F140" s="9" t="str">
        <f>IF(A140="","",N(B140)+N(C140)+N(D140)-N(E140))</f>
        <v/>
      </c>
      <c r="G140" s="5"/>
      <c r="H140" s="9" t="str">
        <f>IF(OR(A140="",G140=""),"",G140-F140)</f>
        <v/>
      </c>
      <c r="I140" s="9" t="str">
        <f>IF(A140="","",SUMIFS('Ventes du jour'!$E:$E,'Ventes du jour'!$A:$A,A140,'Ventes du jour'!$F:$F,"Mobile money"))</f>
        <v/>
      </c>
      <c r="J140" s="4"/>
    </row>
    <row r="141">
      <c r="A141" s="7"/>
      <c r="B141" s="5"/>
      <c r="C141" s="9" t="str">
        <f>IF(A141="","",SUMIFS('Ventes du jour'!$E:$E,'Ventes du jour'!$A:$A,A141,'Ventes du jour'!$F:$F,"Espèces"))</f>
        <v/>
      </c>
      <c r="D141" s="5"/>
      <c r="E141" s="5"/>
      <c r="F141" s="9" t="str">
        <f>IF(A141="","",N(B141)+N(C141)+N(D141)-N(E141))</f>
        <v/>
      </c>
      <c r="G141" s="5"/>
      <c r="H141" s="9" t="str">
        <f>IF(OR(A141="",G141=""),"",G141-F141)</f>
        <v/>
      </c>
      <c r="I141" s="9" t="str">
        <f>IF(A141="","",SUMIFS('Ventes du jour'!$E:$E,'Ventes du jour'!$A:$A,A141,'Ventes du jour'!$F:$F,"Mobile money"))</f>
        <v/>
      </c>
      <c r="J141" s="4"/>
    </row>
    <row r="142">
      <c r="A142" s="7"/>
      <c r="B142" s="5"/>
      <c r="C142" s="9" t="str">
        <f>IF(A142="","",SUMIFS('Ventes du jour'!$E:$E,'Ventes du jour'!$A:$A,A142,'Ventes du jour'!$F:$F,"Espèces"))</f>
        <v/>
      </c>
      <c r="D142" s="5"/>
      <c r="E142" s="5"/>
      <c r="F142" s="9" t="str">
        <f>IF(A142="","",N(B142)+N(C142)+N(D142)-N(E142))</f>
        <v/>
      </c>
      <c r="G142" s="5"/>
      <c r="H142" s="9" t="str">
        <f>IF(OR(A142="",G142=""),"",G142-F142)</f>
        <v/>
      </c>
      <c r="I142" s="9" t="str">
        <f>IF(A142="","",SUMIFS('Ventes du jour'!$E:$E,'Ventes du jour'!$A:$A,A142,'Ventes du jour'!$F:$F,"Mobile money"))</f>
        <v/>
      </c>
      <c r="J142" s="4"/>
    </row>
    <row r="143">
      <c r="A143" s="7"/>
      <c r="B143" s="5"/>
      <c r="C143" s="9" t="str">
        <f>IF(A143="","",SUMIFS('Ventes du jour'!$E:$E,'Ventes du jour'!$A:$A,A143,'Ventes du jour'!$F:$F,"Espèces"))</f>
        <v/>
      </c>
      <c r="D143" s="5"/>
      <c r="E143" s="5"/>
      <c r="F143" s="9" t="str">
        <f>IF(A143="","",N(B143)+N(C143)+N(D143)-N(E143))</f>
        <v/>
      </c>
      <c r="G143" s="5"/>
      <c r="H143" s="9" t="str">
        <f>IF(OR(A143="",G143=""),"",G143-F143)</f>
        <v/>
      </c>
      <c r="I143" s="9" t="str">
        <f>IF(A143="","",SUMIFS('Ventes du jour'!$E:$E,'Ventes du jour'!$A:$A,A143,'Ventes du jour'!$F:$F,"Mobile money"))</f>
        <v/>
      </c>
      <c r="J143" s="4"/>
    </row>
    <row r="144">
      <c r="A144" s="7"/>
      <c r="B144" s="5"/>
      <c r="C144" s="9" t="str">
        <f>IF(A144="","",SUMIFS('Ventes du jour'!$E:$E,'Ventes du jour'!$A:$A,A144,'Ventes du jour'!$F:$F,"Espèces"))</f>
        <v/>
      </c>
      <c r="D144" s="5"/>
      <c r="E144" s="5"/>
      <c r="F144" s="9" t="str">
        <f>IF(A144="","",N(B144)+N(C144)+N(D144)-N(E144))</f>
        <v/>
      </c>
      <c r="G144" s="5"/>
      <c r="H144" s="9" t="str">
        <f>IF(OR(A144="",G144=""),"",G144-F144)</f>
        <v/>
      </c>
      <c r="I144" s="9" t="str">
        <f>IF(A144="","",SUMIFS('Ventes du jour'!$E:$E,'Ventes du jour'!$A:$A,A144,'Ventes du jour'!$F:$F,"Mobile money"))</f>
        <v/>
      </c>
      <c r="J144" s="4"/>
    </row>
    <row r="145">
      <c r="A145" s="7"/>
      <c r="B145" s="5"/>
      <c r="C145" s="9" t="str">
        <f>IF(A145="","",SUMIFS('Ventes du jour'!$E:$E,'Ventes du jour'!$A:$A,A145,'Ventes du jour'!$F:$F,"Espèces"))</f>
        <v/>
      </c>
      <c r="D145" s="5"/>
      <c r="E145" s="5"/>
      <c r="F145" s="9" t="str">
        <f>IF(A145="","",N(B145)+N(C145)+N(D145)-N(E145))</f>
        <v/>
      </c>
      <c r="G145" s="5"/>
      <c r="H145" s="9" t="str">
        <f>IF(OR(A145="",G145=""),"",G145-F145)</f>
        <v/>
      </c>
      <c r="I145" s="9" t="str">
        <f>IF(A145="","",SUMIFS('Ventes du jour'!$E:$E,'Ventes du jour'!$A:$A,A145,'Ventes du jour'!$F:$F,"Mobile money"))</f>
        <v/>
      </c>
      <c r="J145" s="4"/>
    </row>
    <row r="146">
      <c r="A146" s="7"/>
      <c r="B146" s="5"/>
      <c r="C146" s="9" t="str">
        <f>IF(A146="","",SUMIFS('Ventes du jour'!$E:$E,'Ventes du jour'!$A:$A,A146,'Ventes du jour'!$F:$F,"Espèces"))</f>
        <v/>
      </c>
      <c r="D146" s="5"/>
      <c r="E146" s="5"/>
      <c r="F146" s="9" t="str">
        <f>IF(A146="","",N(B146)+N(C146)+N(D146)-N(E146))</f>
        <v/>
      </c>
      <c r="G146" s="5"/>
      <c r="H146" s="9" t="str">
        <f>IF(OR(A146="",G146=""),"",G146-F146)</f>
        <v/>
      </c>
      <c r="I146" s="9" t="str">
        <f>IF(A146="","",SUMIFS('Ventes du jour'!$E:$E,'Ventes du jour'!$A:$A,A146,'Ventes du jour'!$F:$F,"Mobile money"))</f>
        <v/>
      </c>
      <c r="J146" s="4"/>
    </row>
    <row r="147">
      <c r="A147" s="7"/>
      <c r="B147" s="5"/>
      <c r="C147" s="9" t="str">
        <f>IF(A147="","",SUMIFS('Ventes du jour'!$E:$E,'Ventes du jour'!$A:$A,A147,'Ventes du jour'!$F:$F,"Espèces"))</f>
        <v/>
      </c>
      <c r="D147" s="5"/>
      <c r="E147" s="5"/>
      <c r="F147" s="9" t="str">
        <f>IF(A147="","",N(B147)+N(C147)+N(D147)-N(E147))</f>
        <v/>
      </c>
      <c r="G147" s="5"/>
      <c r="H147" s="9" t="str">
        <f>IF(OR(A147="",G147=""),"",G147-F147)</f>
        <v/>
      </c>
      <c r="I147" s="9" t="str">
        <f>IF(A147="","",SUMIFS('Ventes du jour'!$E:$E,'Ventes du jour'!$A:$A,A147,'Ventes du jour'!$F:$F,"Mobile money"))</f>
        <v/>
      </c>
      <c r="J147" s="4"/>
    </row>
    <row r="148">
      <c r="A148" s="7"/>
      <c r="B148" s="5"/>
      <c r="C148" s="9" t="str">
        <f>IF(A148="","",SUMIFS('Ventes du jour'!$E:$E,'Ventes du jour'!$A:$A,A148,'Ventes du jour'!$F:$F,"Espèces"))</f>
        <v/>
      </c>
      <c r="D148" s="5"/>
      <c r="E148" s="5"/>
      <c r="F148" s="9" t="str">
        <f>IF(A148="","",N(B148)+N(C148)+N(D148)-N(E148))</f>
        <v/>
      </c>
      <c r="G148" s="5"/>
      <c r="H148" s="9" t="str">
        <f>IF(OR(A148="",G148=""),"",G148-F148)</f>
        <v/>
      </c>
      <c r="I148" s="9" t="str">
        <f>IF(A148="","",SUMIFS('Ventes du jour'!$E:$E,'Ventes du jour'!$A:$A,A148,'Ventes du jour'!$F:$F,"Mobile money"))</f>
        <v/>
      </c>
      <c r="J148" s="4"/>
    </row>
    <row r="149">
      <c r="A149" s="7"/>
      <c r="B149" s="5"/>
      <c r="C149" s="9" t="str">
        <f>IF(A149="","",SUMIFS('Ventes du jour'!$E:$E,'Ventes du jour'!$A:$A,A149,'Ventes du jour'!$F:$F,"Espèces"))</f>
        <v/>
      </c>
      <c r="D149" s="5"/>
      <c r="E149" s="5"/>
      <c r="F149" s="9" t="str">
        <f>IF(A149="","",N(B149)+N(C149)+N(D149)-N(E149))</f>
        <v/>
      </c>
      <c r="G149" s="5"/>
      <c r="H149" s="9" t="str">
        <f>IF(OR(A149="",G149=""),"",G149-F149)</f>
        <v/>
      </c>
      <c r="I149" s="9" t="str">
        <f>IF(A149="","",SUMIFS('Ventes du jour'!$E:$E,'Ventes du jour'!$A:$A,A149,'Ventes du jour'!$F:$F,"Mobile money"))</f>
        <v/>
      </c>
      <c r="J149" s="4"/>
    </row>
    <row r="150">
      <c r="A150" s="7"/>
      <c r="B150" s="5"/>
      <c r="C150" s="9" t="str">
        <f>IF(A150="","",SUMIFS('Ventes du jour'!$E:$E,'Ventes du jour'!$A:$A,A150,'Ventes du jour'!$F:$F,"Espèces"))</f>
        <v/>
      </c>
      <c r="D150" s="5"/>
      <c r="E150" s="5"/>
      <c r="F150" s="9" t="str">
        <f>IF(A150="","",N(B150)+N(C150)+N(D150)-N(E150))</f>
        <v/>
      </c>
      <c r="G150" s="5"/>
      <c r="H150" s="9" t="str">
        <f>IF(OR(A150="",G150=""),"",G150-F150)</f>
        <v/>
      </c>
      <c r="I150" s="9" t="str">
        <f>IF(A150="","",SUMIFS('Ventes du jour'!$E:$E,'Ventes du jour'!$A:$A,A150,'Ventes du jour'!$F:$F,"Mobile money"))</f>
        <v/>
      </c>
      <c r="J150" s="4"/>
    </row>
    <row r="151">
      <c r="A151" s="7"/>
      <c r="B151" s="5"/>
      <c r="C151" s="9" t="str">
        <f>IF(A151="","",SUMIFS('Ventes du jour'!$E:$E,'Ventes du jour'!$A:$A,A151,'Ventes du jour'!$F:$F,"Espèces"))</f>
        <v/>
      </c>
      <c r="D151" s="5"/>
      <c r="E151" s="5"/>
      <c r="F151" s="9" t="str">
        <f>IF(A151="","",N(B151)+N(C151)+N(D151)-N(E151))</f>
        <v/>
      </c>
      <c r="G151" s="5"/>
      <c r="H151" s="9" t="str">
        <f>IF(OR(A151="",G151=""),"",G151-F151)</f>
        <v/>
      </c>
      <c r="I151" s="9" t="str">
        <f>IF(A151="","",SUMIFS('Ventes du jour'!$E:$E,'Ventes du jour'!$A:$A,A151,'Ventes du jour'!$F:$F,"Mobile money"))</f>
        <v/>
      </c>
      <c r="J151" s="4"/>
    </row>
    <row r="152">
      <c r="A152" s="7"/>
      <c r="B152" s="5"/>
      <c r="C152" s="9" t="str">
        <f>IF(A152="","",SUMIFS('Ventes du jour'!$E:$E,'Ventes du jour'!$A:$A,A152,'Ventes du jour'!$F:$F,"Espèces"))</f>
        <v/>
      </c>
      <c r="D152" s="5"/>
      <c r="E152" s="5"/>
      <c r="F152" s="9" t="str">
        <f>IF(A152="","",N(B152)+N(C152)+N(D152)-N(E152))</f>
        <v/>
      </c>
      <c r="G152" s="5"/>
      <c r="H152" s="9" t="str">
        <f>IF(OR(A152="",G152=""),"",G152-F152)</f>
        <v/>
      </c>
      <c r="I152" s="9" t="str">
        <f>IF(A152="","",SUMIFS('Ventes du jour'!$E:$E,'Ventes du jour'!$A:$A,A152,'Ventes du jour'!$F:$F,"Mobile money"))</f>
        <v/>
      </c>
      <c r="J152" s="4"/>
    </row>
    <row r="153">
      <c r="A153" s="7"/>
      <c r="B153" s="5"/>
      <c r="C153" s="9" t="str">
        <f>IF(A153="","",SUMIFS('Ventes du jour'!$E:$E,'Ventes du jour'!$A:$A,A153,'Ventes du jour'!$F:$F,"Espèces"))</f>
        <v/>
      </c>
      <c r="D153" s="5"/>
      <c r="E153" s="5"/>
      <c r="F153" s="9" t="str">
        <f>IF(A153="","",N(B153)+N(C153)+N(D153)-N(E153))</f>
        <v/>
      </c>
      <c r="G153" s="5"/>
      <c r="H153" s="9" t="str">
        <f>IF(OR(A153="",G153=""),"",G153-F153)</f>
        <v/>
      </c>
      <c r="I153" s="9" t="str">
        <f>IF(A153="","",SUMIFS('Ventes du jour'!$E:$E,'Ventes du jour'!$A:$A,A153,'Ventes du jour'!$F:$F,"Mobile money"))</f>
        <v/>
      </c>
      <c r="J153" s="4"/>
    </row>
    <row r="154">
      <c r="A154" s="7"/>
      <c r="B154" s="5"/>
      <c r="C154" s="9" t="str">
        <f>IF(A154="","",SUMIFS('Ventes du jour'!$E:$E,'Ventes du jour'!$A:$A,A154,'Ventes du jour'!$F:$F,"Espèces"))</f>
        <v/>
      </c>
      <c r="D154" s="5"/>
      <c r="E154" s="5"/>
      <c r="F154" s="9" t="str">
        <f>IF(A154="","",N(B154)+N(C154)+N(D154)-N(E154))</f>
        <v/>
      </c>
      <c r="G154" s="5"/>
      <c r="H154" s="9" t="str">
        <f>IF(OR(A154="",G154=""),"",G154-F154)</f>
        <v/>
      </c>
      <c r="I154" s="9" t="str">
        <f>IF(A154="","",SUMIFS('Ventes du jour'!$E:$E,'Ventes du jour'!$A:$A,A154,'Ventes du jour'!$F:$F,"Mobile money"))</f>
        <v/>
      </c>
      <c r="J154" s="4"/>
    </row>
    <row r="155">
      <c r="A155" s="7"/>
      <c r="B155" s="5"/>
      <c r="C155" s="9" t="str">
        <f>IF(A155="","",SUMIFS('Ventes du jour'!$E:$E,'Ventes du jour'!$A:$A,A155,'Ventes du jour'!$F:$F,"Espèces"))</f>
        <v/>
      </c>
      <c r="D155" s="5"/>
      <c r="E155" s="5"/>
      <c r="F155" s="9" t="str">
        <f>IF(A155="","",N(B155)+N(C155)+N(D155)-N(E155))</f>
        <v/>
      </c>
      <c r="G155" s="5"/>
      <c r="H155" s="9" t="str">
        <f>IF(OR(A155="",G155=""),"",G155-F155)</f>
        <v/>
      </c>
      <c r="I155" s="9" t="str">
        <f>IF(A155="","",SUMIFS('Ventes du jour'!$E:$E,'Ventes du jour'!$A:$A,A155,'Ventes du jour'!$F:$F,"Mobile money"))</f>
        <v/>
      </c>
      <c r="J155" s="4"/>
    </row>
    <row r="156">
      <c r="A156" s="7"/>
      <c r="B156" s="5"/>
      <c r="C156" s="9" t="str">
        <f>IF(A156="","",SUMIFS('Ventes du jour'!$E:$E,'Ventes du jour'!$A:$A,A156,'Ventes du jour'!$F:$F,"Espèces"))</f>
        <v/>
      </c>
      <c r="D156" s="5"/>
      <c r="E156" s="5"/>
      <c r="F156" s="9" t="str">
        <f>IF(A156="","",N(B156)+N(C156)+N(D156)-N(E156))</f>
        <v/>
      </c>
      <c r="G156" s="5"/>
      <c r="H156" s="9" t="str">
        <f>IF(OR(A156="",G156=""),"",G156-F156)</f>
        <v/>
      </c>
      <c r="I156" s="9" t="str">
        <f>IF(A156="","",SUMIFS('Ventes du jour'!$E:$E,'Ventes du jour'!$A:$A,A156,'Ventes du jour'!$F:$F,"Mobile money"))</f>
        <v/>
      </c>
      <c r="J156" s="4"/>
    </row>
    <row r="157">
      <c r="A157" s="7"/>
      <c r="B157" s="5"/>
      <c r="C157" s="9" t="str">
        <f>IF(A157="","",SUMIFS('Ventes du jour'!$E:$E,'Ventes du jour'!$A:$A,A157,'Ventes du jour'!$F:$F,"Espèces"))</f>
        <v/>
      </c>
      <c r="D157" s="5"/>
      <c r="E157" s="5"/>
      <c r="F157" s="9" t="str">
        <f>IF(A157="","",N(B157)+N(C157)+N(D157)-N(E157))</f>
        <v/>
      </c>
      <c r="G157" s="5"/>
      <c r="H157" s="9" t="str">
        <f>IF(OR(A157="",G157=""),"",G157-F157)</f>
        <v/>
      </c>
      <c r="I157" s="9" t="str">
        <f>IF(A157="","",SUMIFS('Ventes du jour'!$E:$E,'Ventes du jour'!$A:$A,A157,'Ventes du jour'!$F:$F,"Mobile money"))</f>
        <v/>
      </c>
      <c r="J157" s="4"/>
    </row>
    <row r="158">
      <c r="A158" s="7"/>
      <c r="B158" s="5"/>
      <c r="C158" s="9" t="str">
        <f>IF(A158="","",SUMIFS('Ventes du jour'!$E:$E,'Ventes du jour'!$A:$A,A158,'Ventes du jour'!$F:$F,"Espèces"))</f>
        <v/>
      </c>
      <c r="D158" s="5"/>
      <c r="E158" s="5"/>
      <c r="F158" s="9" t="str">
        <f>IF(A158="","",N(B158)+N(C158)+N(D158)-N(E158))</f>
        <v/>
      </c>
      <c r="G158" s="5"/>
      <c r="H158" s="9" t="str">
        <f>IF(OR(A158="",G158=""),"",G158-F158)</f>
        <v/>
      </c>
      <c r="I158" s="9" t="str">
        <f>IF(A158="","",SUMIFS('Ventes du jour'!$E:$E,'Ventes du jour'!$A:$A,A158,'Ventes du jour'!$F:$F,"Mobile money"))</f>
        <v/>
      </c>
      <c r="J158" s="4"/>
    </row>
    <row r="159">
      <c r="A159" s="7"/>
      <c r="B159" s="5"/>
      <c r="C159" s="9" t="str">
        <f>IF(A159="","",SUMIFS('Ventes du jour'!$E:$E,'Ventes du jour'!$A:$A,A159,'Ventes du jour'!$F:$F,"Espèces"))</f>
        <v/>
      </c>
      <c r="D159" s="5"/>
      <c r="E159" s="5"/>
      <c r="F159" s="9" t="str">
        <f>IF(A159="","",N(B159)+N(C159)+N(D159)-N(E159))</f>
        <v/>
      </c>
      <c r="G159" s="5"/>
      <c r="H159" s="9" t="str">
        <f>IF(OR(A159="",G159=""),"",G159-F159)</f>
        <v/>
      </c>
      <c r="I159" s="9" t="str">
        <f>IF(A159="","",SUMIFS('Ventes du jour'!$E:$E,'Ventes du jour'!$A:$A,A159,'Ventes du jour'!$F:$F,"Mobile money"))</f>
        <v/>
      </c>
      <c r="J159" s="4"/>
    </row>
    <row r="160">
      <c r="A160" s="7"/>
      <c r="B160" s="5"/>
      <c r="C160" s="9" t="str">
        <f>IF(A160="","",SUMIFS('Ventes du jour'!$E:$E,'Ventes du jour'!$A:$A,A160,'Ventes du jour'!$F:$F,"Espèces"))</f>
        <v/>
      </c>
      <c r="D160" s="5"/>
      <c r="E160" s="5"/>
      <c r="F160" s="9" t="str">
        <f>IF(A160="","",N(B160)+N(C160)+N(D160)-N(E160))</f>
        <v/>
      </c>
      <c r="G160" s="5"/>
      <c r="H160" s="9" t="str">
        <f>IF(OR(A160="",G160=""),"",G160-F160)</f>
        <v/>
      </c>
      <c r="I160" s="9" t="str">
        <f>IF(A160="","",SUMIFS('Ventes du jour'!$E:$E,'Ventes du jour'!$A:$A,A160,'Ventes du jour'!$F:$F,"Mobile money"))</f>
        <v/>
      </c>
      <c r="J160" s="4"/>
    </row>
    <row r="161">
      <c r="A161" s="7"/>
      <c r="B161" s="5"/>
      <c r="C161" s="9" t="str">
        <f>IF(A161="","",SUMIFS('Ventes du jour'!$E:$E,'Ventes du jour'!$A:$A,A161,'Ventes du jour'!$F:$F,"Espèces"))</f>
        <v/>
      </c>
      <c r="D161" s="5"/>
      <c r="E161" s="5"/>
      <c r="F161" s="9" t="str">
        <f>IF(A161="","",N(B161)+N(C161)+N(D161)-N(E161))</f>
        <v/>
      </c>
      <c r="G161" s="5"/>
      <c r="H161" s="9" t="str">
        <f>IF(OR(A161="",G161=""),"",G161-F161)</f>
        <v/>
      </c>
      <c r="I161" s="9" t="str">
        <f>IF(A161="","",SUMIFS('Ventes du jour'!$E:$E,'Ventes du jour'!$A:$A,A161,'Ventes du jour'!$F:$F,"Mobile money"))</f>
        <v/>
      </c>
      <c r="J161" s="4"/>
    </row>
    <row r="162">
      <c r="A162" s="7"/>
      <c r="B162" s="5"/>
      <c r="C162" s="9" t="str">
        <f>IF(A162="","",SUMIFS('Ventes du jour'!$E:$E,'Ventes du jour'!$A:$A,A162,'Ventes du jour'!$F:$F,"Espèces"))</f>
        <v/>
      </c>
      <c r="D162" s="5"/>
      <c r="E162" s="5"/>
      <c r="F162" s="9" t="str">
        <f>IF(A162="","",N(B162)+N(C162)+N(D162)-N(E162))</f>
        <v/>
      </c>
      <c r="G162" s="5"/>
      <c r="H162" s="9" t="str">
        <f>IF(OR(A162="",G162=""),"",G162-F162)</f>
        <v/>
      </c>
      <c r="I162" s="9" t="str">
        <f>IF(A162="","",SUMIFS('Ventes du jour'!$E:$E,'Ventes du jour'!$A:$A,A162,'Ventes du jour'!$F:$F,"Mobile money"))</f>
        <v/>
      </c>
      <c r="J162" s="4"/>
    </row>
    <row r="163">
      <c r="A163" s="7"/>
      <c r="B163" s="5"/>
      <c r="C163" s="9" t="str">
        <f>IF(A163="","",SUMIFS('Ventes du jour'!$E:$E,'Ventes du jour'!$A:$A,A163,'Ventes du jour'!$F:$F,"Espèces"))</f>
        <v/>
      </c>
      <c r="D163" s="5"/>
      <c r="E163" s="5"/>
      <c r="F163" s="9" t="str">
        <f>IF(A163="","",N(B163)+N(C163)+N(D163)-N(E163))</f>
        <v/>
      </c>
      <c r="G163" s="5"/>
      <c r="H163" s="9" t="str">
        <f>IF(OR(A163="",G163=""),"",G163-F163)</f>
        <v/>
      </c>
      <c r="I163" s="9" t="str">
        <f>IF(A163="","",SUMIFS('Ventes du jour'!$E:$E,'Ventes du jour'!$A:$A,A163,'Ventes du jour'!$F:$F,"Mobile money"))</f>
        <v/>
      </c>
      <c r="J163" s="4"/>
    </row>
    <row r="164">
      <c r="A164" s="7"/>
      <c r="B164" s="5"/>
      <c r="C164" s="9" t="str">
        <f>IF(A164="","",SUMIFS('Ventes du jour'!$E:$E,'Ventes du jour'!$A:$A,A164,'Ventes du jour'!$F:$F,"Espèces"))</f>
        <v/>
      </c>
      <c r="D164" s="5"/>
      <c r="E164" s="5"/>
      <c r="F164" s="9" t="str">
        <f>IF(A164="","",N(B164)+N(C164)+N(D164)-N(E164))</f>
        <v/>
      </c>
      <c r="G164" s="5"/>
      <c r="H164" s="9" t="str">
        <f>IF(OR(A164="",G164=""),"",G164-F164)</f>
        <v/>
      </c>
      <c r="I164" s="9" t="str">
        <f>IF(A164="","",SUMIFS('Ventes du jour'!$E:$E,'Ventes du jour'!$A:$A,A164,'Ventes du jour'!$F:$F,"Mobile money"))</f>
        <v/>
      </c>
      <c r="J164" s="4"/>
    </row>
    <row r="165">
      <c r="A165" s="7"/>
      <c r="B165" s="5"/>
      <c r="C165" s="9" t="str">
        <f>IF(A165="","",SUMIFS('Ventes du jour'!$E:$E,'Ventes du jour'!$A:$A,A165,'Ventes du jour'!$F:$F,"Espèces"))</f>
        <v/>
      </c>
      <c r="D165" s="5"/>
      <c r="E165" s="5"/>
      <c r="F165" s="9" t="str">
        <f>IF(A165="","",N(B165)+N(C165)+N(D165)-N(E165))</f>
        <v/>
      </c>
      <c r="G165" s="5"/>
      <c r="H165" s="9" t="str">
        <f>IF(OR(A165="",G165=""),"",G165-F165)</f>
        <v/>
      </c>
      <c r="I165" s="9" t="str">
        <f>IF(A165="","",SUMIFS('Ventes du jour'!$E:$E,'Ventes du jour'!$A:$A,A165,'Ventes du jour'!$F:$F,"Mobile money"))</f>
        <v/>
      </c>
      <c r="J165" s="4"/>
    </row>
    <row r="166">
      <c r="A166" s="7"/>
      <c r="B166" s="5"/>
      <c r="C166" s="9" t="str">
        <f>IF(A166="","",SUMIFS('Ventes du jour'!$E:$E,'Ventes du jour'!$A:$A,A166,'Ventes du jour'!$F:$F,"Espèces"))</f>
        <v/>
      </c>
      <c r="D166" s="5"/>
      <c r="E166" s="5"/>
      <c r="F166" s="9" t="str">
        <f>IF(A166="","",N(B166)+N(C166)+N(D166)-N(E166))</f>
        <v/>
      </c>
      <c r="G166" s="5"/>
      <c r="H166" s="9" t="str">
        <f>IF(OR(A166="",G166=""),"",G166-F166)</f>
        <v/>
      </c>
      <c r="I166" s="9" t="str">
        <f>IF(A166="","",SUMIFS('Ventes du jour'!$E:$E,'Ventes du jour'!$A:$A,A166,'Ventes du jour'!$F:$F,"Mobile money"))</f>
        <v/>
      </c>
      <c r="J166" s="4"/>
    </row>
    <row r="167">
      <c r="A167" s="7"/>
      <c r="B167" s="5"/>
      <c r="C167" s="9" t="str">
        <f>IF(A167="","",SUMIFS('Ventes du jour'!$E:$E,'Ventes du jour'!$A:$A,A167,'Ventes du jour'!$F:$F,"Espèces"))</f>
        <v/>
      </c>
      <c r="D167" s="5"/>
      <c r="E167" s="5"/>
      <c r="F167" s="9" t="str">
        <f>IF(A167="","",N(B167)+N(C167)+N(D167)-N(E167))</f>
        <v/>
      </c>
      <c r="G167" s="5"/>
      <c r="H167" s="9" t="str">
        <f>IF(OR(A167="",G167=""),"",G167-F167)</f>
        <v/>
      </c>
      <c r="I167" s="9" t="str">
        <f>IF(A167="","",SUMIFS('Ventes du jour'!$E:$E,'Ventes du jour'!$A:$A,A167,'Ventes du jour'!$F:$F,"Mobile money"))</f>
        <v/>
      </c>
      <c r="J167" s="4"/>
    </row>
    <row r="168">
      <c r="A168" s="7"/>
      <c r="B168" s="5"/>
      <c r="C168" s="9" t="str">
        <f>IF(A168="","",SUMIFS('Ventes du jour'!$E:$E,'Ventes du jour'!$A:$A,A168,'Ventes du jour'!$F:$F,"Espèces"))</f>
        <v/>
      </c>
      <c r="D168" s="5"/>
      <c r="E168" s="5"/>
      <c r="F168" s="9" t="str">
        <f>IF(A168="","",N(B168)+N(C168)+N(D168)-N(E168))</f>
        <v/>
      </c>
      <c r="G168" s="5"/>
      <c r="H168" s="9" t="str">
        <f>IF(OR(A168="",G168=""),"",G168-F168)</f>
        <v/>
      </c>
      <c r="I168" s="9" t="str">
        <f>IF(A168="","",SUMIFS('Ventes du jour'!$E:$E,'Ventes du jour'!$A:$A,A168,'Ventes du jour'!$F:$F,"Mobile money"))</f>
        <v/>
      </c>
      <c r="J168" s="4"/>
    </row>
    <row r="169">
      <c r="A169" s="7"/>
      <c r="B169" s="5"/>
      <c r="C169" s="9" t="str">
        <f>IF(A169="","",SUMIFS('Ventes du jour'!$E:$E,'Ventes du jour'!$A:$A,A169,'Ventes du jour'!$F:$F,"Espèces"))</f>
        <v/>
      </c>
      <c r="D169" s="5"/>
      <c r="E169" s="5"/>
      <c r="F169" s="9" t="str">
        <f>IF(A169="","",N(B169)+N(C169)+N(D169)-N(E169))</f>
        <v/>
      </c>
      <c r="G169" s="5"/>
      <c r="H169" s="9" t="str">
        <f>IF(OR(A169="",G169=""),"",G169-F169)</f>
        <v/>
      </c>
      <c r="I169" s="9" t="str">
        <f>IF(A169="","",SUMIFS('Ventes du jour'!$E:$E,'Ventes du jour'!$A:$A,A169,'Ventes du jour'!$F:$F,"Mobile money"))</f>
        <v/>
      </c>
      <c r="J169" s="4"/>
    </row>
    <row r="170">
      <c r="A170" s="7"/>
      <c r="B170" s="5"/>
      <c r="C170" s="9" t="str">
        <f>IF(A170="","",SUMIFS('Ventes du jour'!$E:$E,'Ventes du jour'!$A:$A,A170,'Ventes du jour'!$F:$F,"Espèces"))</f>
        <v/>
      </c>
      <c r="D170" s="5"/>
      <c r="E170" s="5"/>
      <c r="F170" s="9" t="str">
        <f>IF(A170="","",N(B170)+N(C170)+N(D170)-N(E170))</f>
        <v/>
      </c>
      <c r="G170" s="5"/>
      <c r="H170" s="9" t="str">
        <f>IF(OR(A170="",G170=""),"",G170-F170)</f>
        <v/>
      </c>
      <c r="I170" s="9" t="str">
        <f>IF(A170="","",SUMIFS('Ventes du jour'!$E:$E,'Ventes du jour'!$A:$A,A170,'Ventes du jour'!$F:$F,"Mobile money"))</f>
        <v/>
      </c>
      <c r="J170" s="4"/>
    </row>
    <row r="171">
      <c r="A171" s="7"/>
      <c r="B171" s="5"/>
      <c r="C171" s="9" t="str">
        <f>IF(A171="","",SUMIFS('Ventes du jour'!$E:$E,'Ventes du jour'!$A:$A,A171,'Ventes du jour'!$F:$F,"Espèces"))</f>
        <v/>
      </c>
      <c r="D171" s="5"/>
      <c r="E171" s="5"/>
      <c r="F171" s="9" t="str">
        <f>IF(A171="","",N(B171)+N(C171)+N(D171)-N(E171))</f>
        <v/>
      </c>
      <c r="G171" s="5"/>
      <c r="H171" s="9" t="str">
        <f>IF(OR(A171="",G171=""),"",G171-F171)</f>
        <v/>
      </c>
      <c r="I171" s="9" t="str">
        <f>IF(A171="","",SUMIFS('Ventes du jour'!$E:$E,'Ventes du jour'!$A:$A,A171,'Ventes du jour'!$F:$F,"Mobile money"))</f>
        <v/>
      </c>
      <c r="J171" s="4"/>
    </row>
    <row r="172">
      <c r="A172" s="7"/>
      <c r="B172" s="5"/>
      <c r="C172" s="9" t="str">
        <f>IF(A172="","",SUMIFS('Ventes du jour'!$E:$E,'Ventes du jour'!$A:$A,A172,'Ventes du jour'!$F:$F,"Espèces"))</f>
        <v/>
      </c>
      <c r="D172" s="5"/>
      <c r="E172" s="5"/>
      <c r="F172" s="9" t="str">
        <f>IF(A172="","",N(B172)+N(C172)+N(D172)-N(E172))</f>
        <v/>
      </c>
      <c r="G172" s="5"/>
      <c r="H172" s="9" t="str">
        <f>IF(OR(A172="",G172=""),"",G172-F172)</f>
        <v/>
      </c>
      <c r="I172" s="9" t="str">
        <f>IF(A172="","",SUMIFS('Ventes du jour'!$E:$E,'Ventes du jour'!$A:$A,A172,'Ventes du jour'!$F:$F,"Mobile money"))</f>
        <v/>
      </c>
      <c r="J172" s="4"/>
    </row>
    <row r="173">
      <c r="A173" s="7"/>
      <c r="B173" s="5"/>
      <c r="C173" s="9" t="str">
        <f>IF(A173="","",SUMIFS('Ventes du jour'!$E:$E,'Ventes du jour'!$A:$A,A173,'Ventes du jour'!$F:$F,"Espèces"))</f>
        <v/>
      </c>
      <c r="D173" s="5"/>
      <c r="E173" s="5"/>
      <c r="F173" s="9" t="str">
        <f>IF(A173="","",N(B173)+N(C173)+N(D173)-N(E173))</f>
        <v/>
      </c>
      <c r="G173" s="5"/>
      <c r="H173" s="9" t="str">
        <f>IF(OR(A173="",G173=""),"",G173-F173)</f>
        <v/>
      </c>
      <c r="I173" s="9" t="str">
        <f>IF(A173="","",SUMIFS('Ventes du jour'!$E:$E,'Ventes du jour'!$A:$A,A173,'Ventes du jour'!$F:$F,"Mobile money"))</f>
        <v/>
      </c>
      <c r="J173" s="4"/>
    </row>
    <row r="174">
      <c r="A174" s="7"/>
      <c r="B174" s="5"/>
      <c r="C174" s="9" t="str">
        <f>IF(A174="","",SUMIFS('Ventes du jour'!$E:$E,'Ventes du jour'!$A:$A,A174,'Ventes du jour'!$F:$F,"Espèces"))</f>
        <v/>
      </c>
      <c r="D174" s="5"/>
      <c r="E174" s="5"/>
      <c r="F174" s="9" t="str">
        <f>IF(A174="","",N(B174)+N(C174)+N(D174)-N(E174))</f>
        <v/>
      </c>
      <c r="G174" s="5"/>
      <c r="H174" s="9" t="str">
        <f>IF(OR(A174="",G174=""),"",G174-F174)</f>
        <v/>
      </c>
      <c r="I174" s="9" t="str">
        <f>IF(A174="","",SUMIFS('Ventes du jour'!$E:$E,'Ventes du jour'!$A:$A,A174,'Ventes du jour'!$F:$F,"Mobile money"))</f>
        <v/>
      </c>
      <c r="J174" s="4"/>
    </row>
    <row r="175">
      <c r="A175" s="7"/>
      <c r="B175" s="5"/>
      <c r="C175" s="9" t="str">
        <f>IF(A175="","",SUMIFS('Ventes du jour'!$E:$E,'Ventes du jour'!$A:$A,A175,'Ventes du jour'!$F:$F,"Espèces"))</f>
        <v/>
      </c>
      <c r="D175" s="5"/>
      <c r="E175" s="5"/>
      <c r="F175" s="9" t="str">
        <f>IF(A175="","",N(B175)+N(C175)+N(D175)-N(E175))</f>
        <v/>
      </c>
      <c r="G175" s="5"/>
      <c r="H175" s="9" t="str">
        <f>IF(OR(A175="",G175=""),"",G175-F175)</f>
        <v/>
      </c>
      <c r="I175" s="9" t="str">
        <f>IF(A175="","",SUMIFS('Ventes du jour'!$E:$E,'Ventes du jour'!$A:$A,A175,'Ventes du jour'!$F:$F,"Mobile money"))</f>
        <v/>
      </c>
      <c r="J175" s="4"/>
    </row>
    <row r="176">
      <c r="A176" s="7"/>
      <c r="B176" s="5"/>
      <c r="C176" s="9" t="str">
        <f>IF(A176="","",SUMIFS('Ventes du jour'!$E:$E,'Ventes du jour'!$A:$A,A176,'Ventes du jour'!$F:$F,"Espèces"))</f>
        <v/>
      </c>
      <c r="D176" s="5"/>
      <c r="E176" s="5"/>
      <c r="F176" s="9" t="str">
        <f>IF(A176="","",N(B176)+N(C176)+N(D176)-N(E176))</f>
        <v/>
      </c>
      <c r="G176" s="5"/>
      <c r="H176" s="9" t="str">
        <f>IF(OR(A176="",G176=""),"",G176-F176)</f>
        <v/>
      </c>
      <c r="I176" s="9" t="str">
        <f>IF(A176="","",SUMIFS('Ventes du jour'!$E:$E,'Ventes du jour'!$A:$A,A176,'Ventes du jour'!$F:$F,"Mobile money"))</f>
        <v/>
      </c>
      <c r="J176" s="4"/>
    </row>
    <row r="177">
      <c r="A177" s="7"/>
      <c r="B177" s="5"/>
      <c r="C177" s="9" t="str">
        <f>IF(A177="","",SUMIFS('Ventes du jour'!$E:$E,'Ventes du jour'!$A:$A,A177,'Ventes du jour'!$F:$F,"Espèces"))</f>
        <v/>
      </c>
      <c r="D177" s="5"/>
      <c r="E177" s="5"/>
      <c r="F177" s="9" t="str">
        <f>IF(A177="","",N(B177)+N(C177)+N(D177)-N(E177))</f>
        <v/>
      </c>
      <c r="G177" s="5"/>
      <c r="H177" s="9" t="str">
        <f>IF(OR(A177="",G177=""),"",G177-F177)</f>
        <v/>
      </c>
      <c r="I177" s="9" t="str">
        <f>IF(A177="","",SUMIFS('Ventes du jour'!$E:$E,'Ventes du jour'!$A:$A,A177,'Ventes du jour'!$F:$F,"Mobile money"))</f>
        <v/>
      </c>
      <c r="J177" s="4"/>
    </row>
    <row r="178">
      <c r="A178" s="7"/>
      <c r="B178" s="5"/>
      <c r="C178" s="9" t="str">
        <f>IF(A178="","",SUMIFS('Ventes du jour'!$E:$E,'Ventes du jour'!$A:$A,A178,'Ventes du jour'!$F:$F,"Espèces"))</f>
        <v/>
      </c>
      <c r="D178" s="5"/>
      <c r="E178" s="5"/>
      <c r="F178" s="9" t="str">
        <f>IF(A178="","",N(B178)+N(C178)+N(D178)-N(E178))</f>
        <v/>
      </c>
      <c r="G178" s="5"/>
      <c r="H178" s="9" t="str">
        <f>IF(OR(A178="",G178=""),"",G178-F178)</f>
        <v/>
      </c>
      <c r="I178" s="9" t="str">
        <f>IF(A178="","",SUMIFS('Ventes du jour'!$E:$E,'Ventes du jour'!$A:$A,A178,'Ventes du jour'!$F:$F,"Mobile money"))</f>
        <v/>
      </c>
      <c r="J178" s="4"/>
    </row>
    <row r="179">
      <c r="A179" s="7"/>
      <c r="B179" s="5"/>
      <c r="C179" s="9" t="str">
        <f>IF(A179="","",SUMIFS('Ventes du jour'!$E:$E,'Ventes du jour'!$A:$A,A179,'Ventes du jour'!$F:$F,"Espèces"))</f>
        <v/>
      </c>
      <c r="D179" s="5"/>
      <c r="E179" s="5"/>
      <c r="F179" s="9" t="str">
        <f>IF(A179="","",N(B179)+N(C179)+N(D179)-N(E179))</f>
        <v/>
      </c>
      <c r="G179" s="5"/>
      <c r="H179" s="9" t="str">
        <f>IF(OR(A179="",G179=""),"",G179-F179)</f>
        <v/>
      </c>
      <c r="I179" s="9" t="str">
        <f>IF(A179="","",SUMIFS('Ventes du jour'!$E:$E,'Ventes du jour'!$A:$A,A179,'Ventes du jour'!$F:$F,"Mobile money"))</f>
        <v/>
      </c>
      <c r="J179" s="4"/>
    </row>
    <row r="180">
      <c r="A180" s="7"/>
      <c r="B180" s="5"/>
      <c r="C180" s="9" t="str">
        <f>IF(A180="","",SUMIFS('Ventes du jour'!$E:$E,'Ventes du jour'!$A:$A,A180,'Ventes du jour'!$F:$F,"Espèces"))</f>
        <v/>
      </c>
      <c r="D180" s="5"/>
      <c r="E180" s="5"/>
      <c r="F180" s="9" t="str">
        <f>IF(A180="","",N(B180)+N(C180)+N(D180)-N(E180))</f>
        <v/>
      </c>
      <c r="G180" s="5"/>
      <c r="H180" s="9" t="str">
        <f>IF(OR(A180="",G180=""),"",G180-F180)</f>
        <v/>
      </c>
      <c r="I180" s="9" t="str">
        <f>IF(A180="","",SUMIFS('Ventes du jour'!$E:$E,'Ventes du jour'!$A:$A,A180,'Ventes du jour'!$F:$F,"Mobile money"))</f>
        <v/>
      </c>
      <c r="J180" s="4"/>
    </row>
    <row r="181">
      <c r="A181" s="7"/>
      <c r="B181" s="5"/>
      <c r="C181" s="9" t="str">
        <f>IF(A181="","",SUMIFS('Ventes du jour'!$E:$E,'Ventes du jour'!$A:$A,A181,'Ventes du jour'!$F:$F,"Espèces"))</f>
        <v/>
      </c>
      <c r="D181" s="5"/>
      <c r="E181" s="5"/>
      <c r="F181" s="9" t="str">
        <f>IF(A181="","",N(B181)+N(C181)+N(D181)-N(E181))</f>
        <v/>
      </c>
      <c r="G181" s="5"/>
      <c r="H181" s="9" t="str">
        <f>IF(OR(A181="",G181=""),"",G181-F181)</f>
        <v/>
      </c>
      <c r="I181" s="9" t="str">
        <f>IF(A181="","",SUMIFS('Ventes du jour'!$E:$E,'Ventes du jour'!$A:$A,A181,'Ventes du jour'!$F:$F,"Mobile money"))</f>
        <v/>
      </c>
      <c r="J181" s="4"/>
    </row>
    <row r="182">
      <c r="A182" s="7"/>
      <c r="B182" s="5"/>
      <c r="C182" s="9" t="str">
        <f>IF(A182="","",SUMIFS('Ventes du jour'!$E:$E,'Ventes du jour'!$A:$A,A182,'Ventes du jour'!$F:$F,"Espèces"))</f>
        <v/>
      </c>
      <c r="D182" s="5"/>
      <c r="E182" s="5"/>
      <c r="F182" s="9" t="str">
        <f>IF(A182="","",N(B182)+N(C182)+N(D182)-N(E182))</f>
        <v/>
      </c>
      <c r="G182" s="5"/>
      <c r="H182" s="9" t="str">
        <f>IF(OR(A182="",G182=""),"",G182-F182)</f>
        <v/>
      </c>
      <c r="I182" s="9" t="str">
        <f>IF(A182="","",SUMIFS('Ventes du jour'!$E:$E,'Ventes du jour'!$A:$A,A182,'Ventes du jour'!$F:$F,"Mobile money"))</f>
        <v/>
      </c>
      <c r="J182" s="4"/>
    </row>
    <row r="183">
      <c r="A183" s="7"/>
      <c r="B183" s="5"/>
      <c r="C183" s="9" t="str">
        <f>IF(A183="","",SUMIFS('Ventes du jour'!$E:$E,'Ventes du jour'!$A:$A,A183,'Ventes du jour'!$F:$F,"Espèces"))</f>
        <v/>
      </c>
      <c r="D183" s="5"/>
      <c r="E183" s="5"/>
      <c r="F183" s="9" t="str">
        <f>IF(A183="","",N(B183)+N(C183)+N(D183)-N(E183))</f>
        <v/>
      </c>
      <c r="G183" s="5"/>
      <c r="H183" s="9" t="str">
        <f>IF(OR(A183="",G183=""),"",G183-F183)</f>
        <v/>
      </c>
      <c r="I183" s="9" t="str">
        <f>IF(A183="","",SUMIFS('Ventes du jour'!$E:$E,'Ventes du jour'!$A:$A,A183,'Ventes du jour'!$F:$F,"Mobile money"))</f>
        <v/>
      </c>
      <c r="J183" s="4"/>
    </row>
    <row r="184">
      <c r="A184" s="7"/>
      <c r="B184" s="5"/>
      <c r="C184" s="9" t="str">
        <f>IF(A184="","",SUMIFS('Ventes du jour'!$E:$E,'Ventes du jour'!$A:$A,A184,'Ventes du jour'!$F:$F,"Espèces"))</f>
        <v/>
      </c>
      <c r="D184" s="5"/>
      <c r="E184" s="5"/>
      <c r="F184" s="9" t="str">
        <f>IF(A184="","",N(B184)+N(C184)+N(D184)-N(E184))</f>
        <v/>
      </c>
      <c r="G184" s="5"/>
      <c r="H184" s="9" t="str">
        <f>IF(OR(A184="",G184=""),"",G184-F184)</f>
        <v/>
      </c>
      <c r="I184" s="9" t="str">
        <f>IF(A184="","",SUMIFS('Ventes du jour'!$E:$E,'Ventes du jour'!$A:$A,A184,'Ventes du jour'!$F:$F,"Mobile money"))</f>
        <v/>
      </c>
      <c r="J184" s="4"/>
    </row>
    <row r="185">
      <c r="A185" s="7"/>
      <c r="B185" s="5"/>
      <c r="C185" s="9" t="str">
        <f>IF(A185="","",SUMIFS('Ventes du jour'!$E:$E,'Ventes du jour'!$A:$A,A185,'Ventes du jour'!$F:$F,"Espèces"))</f>
        <v/>
      </c>
      <c r="D185" s="5"/>
      <c r="E185" s="5"/>
      <c r="F185" s="9" t="str">
        <f>IF(A185="","",N(B185)+N(C185)+N(D185)-N(E185))</f>
        <v/>
      </c>
      <c r="G185" s="5"/>
      <c r="H185" s="9" t="str">
        <f>IF(OR(A185="",G185=""),"",G185-F185)</f>
        <v/>
      </c>
      <c r="I185" s="9" t="str">
        <f>IF(A185="","",SUMIFS('Ventes du jour'!$E:$E,'Ventes du jour'!$A:$A,A185,'Ventes du jour'!$F:$F,"Mobile money"))</f>
        <v/>
      </c>
      <c r="J185" s="4"/>
    </row>
    <row r="186">
      <c r="A186" s="7"/>
      <c r="B186" s="5"/>
      <c r="C186" s="9" t="str">
        <f>IF(A186="","",SUMIFS('Ventes du jour'!$E:$E,'Ventes du jour'!$A:$A,A186,'Ventes du jour'!$F:$F,"Espèces"))</f>
        <v/>
      </c>
      <c r="D186" s="5"/>
      <c r="E186" s="5"/>
      <c r="F186" s="9" t="str">
        <f>IF(A186="","",N(B186)+N(C186)+N(D186)-N(E186))</f>
        <v/>
      </c>
      <c r="G186" s="5"/>
      <c r="H186" s="9" t="str">
        <f>IF(OR(A186="",G186=""),"",G186-F186)</f>
        <v/>
      </c>
      <c r="I186" s="9" t="str">
        <f>IF(A186="","",SUMIFS('Ventes du jour'!$E:$E,'Ventes du jour'!$A:$A,A186,'Ventes du jour'!$F:$F,"Mobile money"))</f>
        <v/>
      </c>
      <c r="J186" s="4"/>
    </row>
    <row r="187">
      <c r="A187" s="7"/>
      <c r="B187" s="5"/>
      <c r="C187" s="9" t="str">
        <f>IF(A187="","",SUMIFS('Ventes du jour'!$E:$E,'Ventes du jour'!$A:$A,A187,'Ventes du jour'!$F:$F,"Espèces"))</f>
        <v/>
      </c>
      <c r="D187" s="5"/>
      <c r="E187" s="5"/>
      <c r="F187" s="9" t="str">
        <f>IF(A187="","",N(B187)+N(C187)+N(D187)-N(E187))</f>
        <v/>
      </c>
      <c r="G187" s="5"/>
      <c r="H187" s="9" t="str">
        <f>IF(OR(A187="",G187=""),"",G187-F187)</f>
        <v/>
      </c>
      <c r="I187" s="9" t="str">
        <f>IF(A187="","",SUMIFS('Ventes du jour'!$E:$E,'Ventes du jour'!$A:$A,A187,'Ventes du jour'!$F:$F,"Mobile money"))</f>
        <v/>
      </c>
      <c r="J187" s="4"/>
    </row>
    <row r="188">
      <c r="A188" s="7"/>
      <c r="B188" s="5"/>
      <c r="C188" s="9" t="str">
        <f>IF(A188="","",SUMIFS('Ventes du jour'!$E:$E,'Ventes du jour'!$A:$A,A188,'Ventes du jour'!$F:$F,"Espèces"))</f>
        <v/>
      </c>
      <c r="D188" s="5"/>
      <c r="E188" s="5"/>
      <c r="F188" s="9" t="str">
        <f>IF(A188="","",N(B188)+N(C188)+N(D188)-N(E188))</f>
        <v/>
      </c>
      <c r="G188" s="5"/>
      <c r="H188" s="9" t="str">
        <f>IF(OR(A188="",G188=""),"",G188-F188)</f>
        <v/>
      </c>
      <c r="I188" s="9" t="str">
        <f>IF(A188="","",SUMIFS('Ventes du jour'!$E:$E,'Ventes du jour'!$A:$A,A188,'Ventes du jour'!$F:$F,"Mobile money"))</f>
        <v/>
      </c>
      <c r="J188" s="4"/>
    </row>
    <row r="189">
      <c r="A189" s="7"/>
      <c r="B189" s="5"/>
      <c r="C189" s="9" t="str">
        <f>IF(A189="","",SUMIFS('Ventes du jour'!$E:$E,'Ventes du jour'!$A:$A,A189,'Ventes du jour'!$F:$F,"Espèces"))</f>
        <v/>
      </c>
      <c r="D189" s="5"/>
      <c r="E189" s="5"/>
      <c r="F189" s="9" t="str">
        <f>IF(A189="","",N(B189)+N(C189)+N(D189)-N(E189))</f>
        <v/>
      </c>
      <c r="G189" s="5"/>
      <c r="H189" s="9" t="str">
        <f>IF(OR(A189="",G189=""),"",G189-F189)</f>
        <v/>
      </c>
      <c r="I189" s="9" t="str">
        <f>IF(A189="","",SUMIFS('Ventes du jour'!$E:$E,'Ventes du jour'!$A:$A,A189,'Ventes du jour'!$F:$F,"Mobile money"))</f>
        <v/>
      </c>
      <c r="J189" s="4"/>
    </row>
    <row r="190">
      <c r="A190" s="7"/>
      <c r="B190" s="5"/>
      <c r="C190" s="9" t="str">
        <f>IF(A190="","",SUMIFS('Ventes du jour'!$E:$E,'Ventes du jour'!$A:$A,A190,'Ventes du jour'!$F:$F,"Espèces"))</f>
        <v/>
      </c>
      <c r="D190" s="5"/>
      <c r="E190" s="5"/>
      <c r="F190" s="9" t="str">
        <f>IF(A190="","",N(B190)+N(C190)+N(D190)-N(E190))</f>
        <v/>
      </c>
      <c r="G190" s="5"/>
      <c r="H190" s="9" t="str">
        <f>IF(OR(A190="",G190=""),"",G190-F190)</f>
        <v/>
      </c>
      <c r="I190" s="9" t="str">
        <f>IF(A190="","",SUMIFS('Ventes du jour'!$E:$E,'Ventes du jour'!$A:$A,A190,'Ventes du jour'!$F:$F,"Mobile money"))</f>
        <v/>
      </c>
      <c r="J190" s="4"/>
    </row>
    <row r="191">
      <c r="A191" s="7"/>
      <c r="B191" s="5"/>
      <c r="C191" s="9" t="str">
        <f>IF(A191="","",SUMIFS('Ventes du jour'!$E:$E,'Ventes du jour'!$A:$A,A191,'Ventes du jour'!$F:$F,"Espèces"))</f>
        <v/>
      </c>
      <c r="D191" s="5"/>
      <c r="E191" s="5"/>
      <c r="F191" s="9" t="str">
        <f>IF(A191="","",N(B191)+N(C191)+N(D191)-N(E191))</f>
        <v/>
      </c>
      <c r="G191" s="5"/>
      <c r="H191" s="9" t="str">
        <f>IF(OR(A191="",G191=""),"",G191-F191)</f>
        <v/>
      </c>
      <c r="I191" s="9" t="str">
        <f>IF(A191="","",SUMIFS('Ventes du jour'!$E:$E,'Ventes du jour'!$A:$A,A191,'Ventes du jour'!$F:$F,"Mobile money"))</f>
        <v/>
      </c>
      <c r="J191" s="4"/>
    </row>
    <row r="192">
      <c r="A192" s="7"/>
      <c r="B192" s="5"/>
      <c r="C192" s="9" t="str">
        <f>IF(A192="","",SUMIFS('Ventes du jour'!$E:$E,'Ventes du jour'!$A:$A,A192,'Ventes du jour'!$F:$F,"Espèces"))</f>
        <v/>
      </c>
      <c r="D192" s="5"/>
      <c r="E192" s="5"/>
      <c r="F192" s="9" t="str">
        <f>IF(A192="","",N(B192)+N(C192)+N(D192)-N(E192))</f>
        <v/>
      </c>
      <c r="G192" s="5"/>
      <c r="H192" s="9" t="str">
        <f>IF(OR(A192="",G192=""),"",G192-F192)</f>
        <v/>
      </c>
      <c r="I192" s="9" t="str">
        <f>IF(A192="","",SUMIFS('Ventes du jour'!$E:$E,'Ventes du jour'!$A:$A,A192,'Ventes du jour'!$F:$F,"Mobile money"))</f>
        <v/>
      </c>
      <c r="J192" s="4"/>
    </row>
    <row r="193">
      <c r="A193" s="7"/>
      <c r="B193" s="5"/>
      <c r="C193" s="9" t="str">
        <f>IF(A193="","",SUMIFS('Ventes du jour'!$E:$E,'Ventes du jour'!$A:$A,A193,'Ventes du jour'!$F:$F,"Espèces"))</f>
        <v/>
      </c>
      <c r="D193" s="5"/>
      <c r="E193" s="5"/>
      <c r="F193" s="9" t="str">
        <f>IF(A193="","",N(B193)+N(C193)+N(D193)-N(E193))</f>
        <v/>
      </c>
      <c r="G193" s="5"/>
      <c r="H193" s="9" t="str">
        <f>IF(OR(A193="",G193=""),"",G193-F193)</f>
        <v/>
      </c>
      <c r="I193" s="9" t="str">
        <f>IF(A193="","",SUMIFS('Ventes du jour'!$E:$E,'Ventes du jour'!$A:$A,A193,'Ventes du jour'!$F:$F,"Mobile money"))</f>
        <v/>
      </c>
      <c r="J193" s="4"/>
    </row>
    <row r="194">
      <c r="A194" s="7"/>
      <c r="B194" s="5"/>
      <c r="C194" s="9" t="str">
        <f>IF(A194="","",SUMIFS('Ventes du jour'!$E:$E,'Ventes du jour'!$A:$A,A194,'Ventes du jour'!$F:$F,"Espèces"))</f>
        <v/>
      </c>
      <c r="D194" s="5"/>
      <c r="E194" s="5"/>
      <c r="F194" s="9" t="str">
        <f>IF(A194="","",N(B194)+N(C194)+N(D194)-N(E194))</f>
        <v/>
      </c>
      <c r="G194" s="5"/>
      <c r="H194" s="9" t="str">
        <f>IF(OR(A194="",G194=""),"",G194-F194)</f>
        <v/>
      </c>
      <c r="I194" s="9" t="str">
        <f>IF(A194="","",SUMIFS('Ventes du jour'!$E:$E,'Ventes du jour'!$A:$A,A194,'Ventes du jour'!$F:$F,"Mobile money"))</f>
        <v/>
      </c>
      <c r="J194" s="4"/>
    </row>
    <row r="195">
      <c r="A195" s="7"/>
      <c r="B195" s="5"/>
      <c r="C195" s="9" t="str">
        <f>IF(A195="","",SUMIFS('Ventes du jour'!$E:$E,'Ventes du jour'!$A:$A,A195,'Ventes du jour'!$F:$F,"Espèces"))</f>
        <v/>
      </c>
      <c r="D195" s="5"/>
      <c r="E195" s="5"/>
      <c r="F195" s="9" t="str">
        <f>IF(A195="","",N(B195)+N(C195)+N(D195)-N(E195))</f>
        <v/>
      </c>
      <c r="G195" s="5"/>
      <c r="H195" s="9" t="str">
        <f>IF(OR(A195="",G195=""),"",G195-F195)</f>
        <v/>
      </c>
      <c r="I195" s="9" t="str">
        <f>IF(A195="","",SUMIFS('Ventes du jour'!$E:$E,'Ventes du jour'!$A:$A,A195,'Ventes du jour'!$F:$F,"Mobile money"))</f>
        <v/>
      </c>
      <c r="J195" s="4"/>
    </row>
    <row r="196">
      <c r="A196" s="7"/>
      <c r="B196" s="5"/>
      <c r="C196" s="9" t="str">
        <f>IF(A196="","",SUMIFS('Ventes du jour'!$E:$E,'Ventes du jour'!$A:$A,A196,'Ventes du jour'!$F:$F,"Espèces"))</f>
        <v/>
      </c>
      <c r="D196" s="5"/>
      <c r="E196" s="5"/>
      <c r="F196" s="9" t="str">
        <f>IF(A196="","",N(B196)+N(C196)+N(D196)-N(E196))</f>
        <v/>
      </c>
      <c r="G196" s="5"/>
      <c r="H196" s="9" t="str">
        <f>IF(OR(A196="",G196=""),"",G196-F196)</f>
        <v/>
      </c>
      <c r="I196" s="9" t="str">
        <f>IF(A196="","",SUMIFS('Ventes du jour'!$E:$E,'Ventes du jour'!$A:$A,A196,'Ventes du jour'!$F:$F,"Mobile money"))</f>
        <v/>
      </c>
      <c r="J196" s="4"/>
    </row>
    <row r="197">
      <c r="A197" s="7"/>
      <c r="B197" s="5"/>
      <c r="C197" s="9" t="str">
        <f>IF(A197="","",SUMIFS('Ventes du jour'!$E:$E,'Ventes du jour'!$A:$A,A197,'Ventes du jour'!$F:$F,"Espèces"))</f>
        <v/>
      </c>
      <c r="D197" s="5"/>
      <c r="E197" s="5"/>
      <c r="F197" s="9" t="str">
        <f>IF(A197="","",N(B197)+N(C197)+N(D197)-N(E197))</f>
        <v/>
      </c>
      <c r="G197" s="5"/>
      <c r="H197" s="9" t="str">
        <f>IF(OR(A197="",G197=""),"",G197-F197)</f>
        <v/>
      </c>
      <c r="I197" s="9" t="str">
        <f>IF(A197="","",SUMIFS('Ventes du jour'!$E:$E,'Ventes du jour'!$A:$A,A197,'Ventes du jour'!$F:$F,"Mobile money"))</f>
        <v/>
      </c>
      <c r="J197" s="4"/>
    </row>
    <row r="198">
      <c r="A198" s="7"/>
      <c r="B198" s="5"/>
      <c r="C198" s="9" t="str">
        <f>IF(A198="","",SUMIFS('Ventes du jour'!$E:$E,'Ventes du jour'!$A:$A,A198,'Ventes du jour'!$F:$F,"Espèces"))</f>
        <v/>
      </c>
      <c r="D198" s="5"/>
      <c r="E198" s="5"/>
      <c r="F198" s="9" t="str">
        <f>IF(A198="","",N(B198)+N(C198)+N(D198)-N(E198))</f>
        <v/>
      </c>
      <c r="G198" s="5"/>
      <c r="H198" s="9" t="str">
        <f>IF(OR(A198="",G198=""),"",G198-F198)</f>
        <v/>
      </c>
      <c r="I198" s="9" t="str">
        <f>IF(A198="","",SUMIFS('Ventes du jour'!$E:$E,'Ventes du jour'!$A:$A,A198,'Ventes du jour'!$F:$F,"Mobile money"))</f>
        <v/>
      </c>
      <c r="J198" s="4"/>
    </row>
    <row r="199">
      <c r="A199" s="7"/>
      <c r="B199" s="5"/>
      <c r="C199" s="9" t="str">
        <f>IF(A199="","",SUMIFS('Ventes du jour'!$E:$E,'Ventes du jour'!$A:$A,A199,'Ventes du jour'!$F:$F,"Espèces"))</f>
        <v/>
      </c>
      <c r="D199" s="5"/>
      <c r="E199" s="5"/>
      <c r="F199" s="9" t="str">
        <f>IF(A199="","",N(B199)+N(C199)+N(D199)-N(E199))</f>
        <v/>
      </c>
      <c r="G199" s="5"/>
      <c r="H199" s="9" t="str">
        <f>IF(OR(A199="",G199=""),"",G199-F199)</f>
        <v/>
      </c>
      <c r="I199" s="9" t="str">
        <f>IF(A199="","",SUMIFS('Ventes du jour'!$E:$E,'Ventes du jour'!$A:$A,A199,'Ventes du jour'!$F:$F,"Mobile money"))</f>
        <v/>
      </c>
      <c r="J199" s="4"/>
    </row>
    <row r="200">
      <c r="A200" s="7"/>
      <c r="B200" s="5"/>
      <c r="C200" s="9" t="str">
        <f>IF(A200="","",SUMIFS('Ventes du jour'!$E:$E,'Ventes du jour'!$A:$A,A200,'Ventes du jour'!$F:$F,"Espèces"))</f>
        <v/>
      </c>
      <c r="D200" s="5"/>
      <c r="E200" s="5"/>
      <c r="F200" s="9" t="str">
        <f>IF(A200="","",N(B200)+N(C200)+N(D200)-N(E200))</f>
        <v/>
      </c>
      <c r="G200" s="5"/>
      <c r="H200" s="9" t="str">
        <f>IF(OR(A200="",G200=""),"",G200-F200)</f>
        <v/>
      </c>
      <c r="I200" s="9" t="str">
        <f>IF(A200="","",SUMIFS('Ventes du jour'!$E:$E,'Ventes du jour'!$A:$A,A200,'Ventes du jour'!$F:$F,"Mobile money"))</f>
        <v/>
      </c>
      <c r="J200" s="4"/>
    </row>
    <row r="201">
      <c r="A201" s="7"/>
      <c r="B201" s="5"/>
      <c r="C201" s="9" t="str">
        <f>IF(A201="","",SUMIFS('Ventes du jour'!$E:$E,'Ventes du jour'!$A:$A,A201,'Ventes du jour'!$F:$F,"Espèces"))</f>
        <v/>
      </c>
      <c r="D201" s="5"/>
      <c r="E201" s="5"/>
      <c r="F201" s="9" t="str">
        <f>IF(A201="","",N(B201)+N(C201)+N(D201)-N(E201))</f>
        <v/>
      </c>
      <c r="G201" s="5"/>
      <c r="H201" s="9" t="str">
        <f>IF(OR(A201="",G201=""),"",G201-F201)</f>
        <v/>
      </c>
      <c r="I201" s="9" t="str">
        <f>IF(A201="","",SUMIFS('Ventes du jour'!$E:$E,'Ventes du jour'!$A:$A,A201,'Ventes du jour'!$F:$F,"Mobile money"))</f>
        <v/>
      </c>
      <c r="J201" s="4"/>
    </row>
    <row r="202">
      <c r="A202" s="7"/>
      <c r="B202" s="5"/>
      <c r="C202" s="9" t="str">
        <f>IF(A202="","",SUMIFS('Ventes du jour'!$E:$E,'Ventes du jour'!$A:$A,A202,'Ventes du jour'!$F:$F,"Espèces"))</f>
        <v/>
      </c>
      <c r="D202" s="5"/>
      <c r="E202" s="5"/>
      <c r="F202" s="9" t="str">
        <f>IF(A202="","",N(B202)+N(C202)+N(D202)-N(E202))</f>
        <v/>
      </c>
      <c r="G202" s="5"/>
      <c r="H202" s="9" t="str">
        <f>IF(OR(A202="",G202=""),"",G202-F202)</f>
        <v/>
      </c>
      <c r="I202" s="9" t="str">
        <f>IF(A202="","",SUMIFS('Ventes du jour'!$E:$E,'Ventes du jour'!$A:$A,A202,'Ventes du jour'!$F:$F,"Mobile money"))</f>
        <v/>
      </c>
      <c r="J202" s="4"/>
    </row>
    <row r="203">
      <c r="A203" s="7"/>
      <c r="B203" s="5"/>
      <c r="C203" s="9" t="str">
        <f>IF(A203="","",SUMIFS('Ventes du jour'!$E:$E,'Ventes du jour'!$A:$A,A203,'Ventes du jour'!$F:$F,"Espèces"))</f>
        <v/>
      </c>
      <c r="D203" s="5"/>
      <c r="E203" s="5"/>
      <c r="F203" s="9" t="str">
        <f>IF(A203="","",N(B203)+N(C203)+N(D203)-N(E203))</f>
        <v/>
      </c>
      <c r="G203" s="5"/>
      <c r="H203" s="9" t="str">
        <f>IF(OR(A203="",G203=""),"",G203-F203)</f>
        <v/>
      </c>
      <c r="I203" s="9" t="str">
        <f>IF(A203="","",SUMIFS('Ventes du jour'!$E:$E,'Ventes du jour'!$A:$A,A203,'Ventes du jour'!$F:$F,"Mobile money"))</f>
        <v/>
      </c>
      <c r="J203" s="4"/>
    </row>
    <row r="204">
      <c r="A204" s="7"/>
      <c r="B204" s="5"/>
      <c r="C204" s="9" t="str">
        <f>IF(A204="","",SUMIFS('Ventes du jour'!$E:$E,'Ventes du jour'!$A:$A,A204,'Ventes du jour'!$F:$F,"Espèces"))</f>
        <v/>
      </c>
      <c r="D204" s="5"/>
      <c r="E204" s="5"/>
      <c r="F204" s="9" t="str">
        <f>IF(A204="","",N(B204)+N(C204)+N(D204)-N(E204))</f>
        <v/>
      </c>
      <c r="G204" s="5"/>
      <c r="H204" s="9" t="str">
        <f>IF(OR(A204="",G204=""),"",G204-F204)</f>
        <v/>
      </c>
      <c r="I204" s="9" t="str">
        <f>IF(A204="","",SUMIFS('Ventes du jour'!$E:$E,'Ventes du jour'!$A:$A,A204,'Ventes du jour'!$F:$F,"Mobile money"))</f>
        <v/>
      </c>
      <c r="J204" s="4"/>
    </row>
    <row r="205">
      <c r="A205" s="7"/>
      <c r="B205" s="5"/>
      <c r="C205" s="9" t="str">
        <f>IF(A205="","",SUMIFS('Ventes du jour'!$E:$E,'Ventes du jour'!$A:$A,A205,'Ventes du jour'!$F:$F,"Espèces"))</f>
        <v/>
      </c>
      <c r="D205" s="5"/>
      <c r="E205" s="5"/>
      <c r="F205" s="9" t="str">
        <f>IF(A205="","",N(B205)+N(C205)+N(D205)-N(E205))</f>
        <v/>
      </c>
      <c r="G205" s="5"/>
      <c r="H205" s="9" t="str">
        <f>IF(OR(A205="",G205=""),"",G205-F205)</f>
        <v/>
      </c>
      <c r="I205" s="9" t="str">
        <f>IF(A205="","",SUMIFS('Ventes du jour'!$E:$E,'Ventes du jour'!$A:$A,A205,'Ventes du jour'!$F:$F,"Mobile money"))</f>
        <v/>
      </c>
      <c r="J205" s="4"/>
    </row>
    <row r="206">
      <c r="A206" s="7"/>
      <c r="B206" s="5"/>
      <c r="C206" s="9" t="str">
        <f>IF(A206="","",SUMIFS('Ventes du jour'!$E:$E,'Ventes du jour'!$A:$A,A206,'Ventes du jour'!$F:$F,"Espèces"))</f>
        <v/>
      </c>
      <c r="D206" s="5"/>
      <c r="E206" s="5"/>
      <c r="F206" s="9" t="str">
        <f>IF(A206="","",N(B206)+N(C206)+N(D206)-N(E206))</f>
        <v/>
      </c>
      <c r="G206" s="5"/>
      <c r="H206" s="9" t="str">
        <f>IF(OR(A206="",G206=""),"",G206-F206)</f>
        <v/>
      </c>
      <c r="I206" s="9" t="str">
        <f>IF(A206="","",SUMIFS('Ventes du jour'!$E:$E,'Ventes du jour'!$A:$A,A206,'Ventes du jour'!$F:$F,"Mobile money"))</f>
        <v/>
      </c>
      <c r="J206" s="4"/>
    </row>
    <row r="207">
      <c r="A207" s="7"/>
      <c r="B207" s="5"/>
      <c r="C207" s="9" t="str">
        <f>IF(A207="","",SUMIFS('Ventes du jour'!$E:$E,'Ventes du jour'!$A:$A,A207,'Ventes du jour'!$F:$F,"Espèces"))</f>
        <v/>
      </c>
      <c r="D207" s="5"/>
      <c r="E207" s="5"/>
      <c r="F207" s="9" t="str">
        <f>IF(A207="","",N(B207)+N(C207)+N(D207)-N(E207))</f>
        <v/>
      </c>
      <c r="G207" s="5"/>
      <c r="H207" s="9" t="str">
        <f>IF(OR(A207="",G207=""),"",G207-F207)</f>
        <v/>
      </c>
      <c r="I207" s="9" t="str">
        <f>IF(A207="","",SUMIFS('Ventes du jour'!$E:$E,'Ventes du jour'!$A:$A,A207,'Ventes du jour'!$F:$F,"Mobile money"))</f>
        <v/>
      </c>
      <c r="J207" s="4"/>
    </row>
    <row r="208">
      <c r="A208" s="7"/>
      <c r="B208" s="5"/>
      <c r="C208" s="9" t="str">
        <f>IF(A208="","",SUMIFS('Ventes du jour'!$E:$E,'Ventes du jour'!$A:$A,A208,'Ventes du jour'!$F:$F,"Espèces"))</f>
        <v/>
      </c>
      <c r="D208" s="5"/>
      <c r="E208" s="5"/>
      <c r="F208" s="9" t="str">
        <f>IF(A208="","",N(B208)+N(C208)+N(D208)-N(E208))</f>
        <v/>
      </c>
      <c r="G208" s="5"/>
      <c r="H208" s="9" t="str">
        <f>IF(OR(A208="",G208=""),"",G208-F208)</f>
        <v/>
      </c>
      <c r="I208" s="9" t="str">
        <f>IF(A208="","",SUMIFS('Ventes du jour'!$E:$E,'Ventes du jour'!$A:$A,A208,'Ventes du jour'!$F:$F,"Mobile money"))</f>
        <v/>
      </c>
      <c r="J208" s="4"/>
    </row>
    <row r="209">
      <c r="A209" s="7"/>
      <c r="B209" s="5"/>
      <c r="C209" s="9" t="str">
        <f>IF(A209="","",SUMIFS('Ventes du jour'!$E:$E,'Ventes du jour'!$A:$A,A209,'Ventes du jour'!$F:$F,"Espèces"))</f>
        <v/>
      </c>
      <c r="D209" s="5"/>
      <c r="E209" s="5"/>
      <c r="F209" s="9" t="str">
        <f>IF(A209="","",N(B209)+N(C209)+N(D209)-N(E209))</f>
        <v/>
      </c>
      <c r="G209" s="5"/>
      <c r="H209" s="9" t="str">
        <f>IF(OR(A209="",G209=""),"",G209-F209)</f>
        <v/>
      </c>
      <c r="I209" s="9" t="str">
        <f>IF(A209="","",SUMIFS('Ventes du jour'!$E:$E,'Ventes du jour'!$A:$A,A209,'Ventes du jour'!$F:$F,"Mobile money"))</f>
        <v/>
      </c>
      <c r="J209" s="4"/>
    </row>
    <row r="210">
      <c r="A210" s="7"/>
      <c r="B210" s="5"/>
      <c r="C210" s="9" t="str">
        <f>IF(A210="","",SUMIFS('Ventes du jour'!$E:$E,'Ventes du jour'!$A:$A,A210,'Ventes du jour'!$F:$F,"Espèces"))</f>
        <v/>
      </c>
      <c r="D210" s="5"/>
      <c r="E210" s="5"/>
      <c r="F210" s="9" t="str">
        <f>IF(A210="","",N(B210)+N(C210)+N(D210)-N(E210))</f>
        <v/>
      </c>
      <c r="G210" s="5"/>
      <c r="H210" s="9" t="str">
        <f>IF(OR(A210="",G210=""),"",G210-F210)</f>
        <v/>
      </c>
      <c r="I210" s="9" t="str">
        <f>IF(A210="","",SUMIFS('Ventes du jour'!$E:$E,'Ventes du jour'!$A:$A,A210,'Ventes du jour'!$F:$F,"Mobile money"))</f>
        <v/>
      </c>
      <c r="J210" s="4"/>
    </row>
    <row r="211">
      <c r="A211" s="7"/>
      <c r="B211" s="5"/>
      <c r="C211" s="9" t="str">
        <f>IF(A211="","",SUMIFS('Ventes du jour'!$E:$E,'Ventes du jour'!$A:$A,A211,'Ventes du jour'!$F:$F,"Espèces"))</f>
        <v/>
      </c>
      <c r="D211" s="5"/>
      <c r="E211" s="5"/>
      <c r="F211" s="9" t="str">
        <f>IF(A211="","",N(B211)+N(C211)+N(D211)-N(E211))</f>
        <v/>
      </c>
      <c r="G211" s="5"/>
      <c r="H211" s="9" t="str">
        <f>IF(OR(A211="",G211=""),"",G211-F211)</f>
        <v/>
      </c>
      <c r="I211" s="9" t="str">
        <f>IF(A211="","",SUMIFS('Ventes du jour'!$E:$E,'Ventes du jour'!$A:$A,A211,'Ventes du jour'!$F:$F,"Mobile money"))</f>
        <v/>
      </c>
      <c r="J211" s="4"/>
    </row>
    <row r="212">
      <c r="A212" s="7"/>
      <c r="B212" s="5"/>
      <c r="C212" s="9" t="str">
        <f>IF(A212="","",SUMIFS('Ventes du jour'!$E:$E,'Ventes du jour'!$A:$A,A212,'Ventes du jour'!$F:$F,"Espèces"))</f>
        <v/>
      </c>
      <c r="D212" s="5"/>
      <c r="E212" s="5"/>
      <c r="F212" s="9" t="str">
        <f>IF(A212="","",N(B212)+N(C212)+N(D212)-N(E212))</f>
        <v/>
      </c>
      <c r="G212" s="5"/>
      <c r="H212" s="9" t="str">
        <f>IF(OR(A212="",G212=""),"",G212-F212)</f>
        <v/>
      </c>
      <c r="I212" s="9" t="str">
        <f>IF(A212="","",SUMIFS('Ventes du jour'!$E:$E,'Ventes du jour'!$A:$A,A212,'Ventes du jour'!$F:$F,"Mobile money"))</f>
        <v/>
      </c>
      <c r="J212" s="4"/>
    </row>
    <row r="213">
      <c r="A213" s="7"/>
      <c r="B213" s="5"/>
      <c r="C213" s="9" t="str">
        <f>IF(A213="","",SUMIFS('Ventes du jour'!$E:$E,'Ventes du jour'!$A:$A,A213,'Ventes du jour'!$F:$F,"Espèces"))</f>
        <v/>
      </c>
      <c r="D213" s="5"/>
      <c r="E213" s="5"/>
      <c r="F213" s="9" t="str">
        <f>IF(A213="","",N(B213)+N(C213)+N(D213)-N(E213))</f>
        <v/>
      </c>
      <c r="G213" s="5"/>
      <c r="H213" s="9" t="str">
        <f>IF(OR(A213="",G213=""),"",G213-F213)</f>
        <v/>
      </c>
      <c r="I213" s="9" t="str">
        <f>IF(A213="","",SUMIFS('Ventes du jour'!$E:$E,'Ventes du jour'!$A:$A,A213,'Ventes du jour'!$F:$F,"Mobile money"))</f>
        <v/>
      </c>
      <c r="J213" s="4"/>
    </row>
    <row r="214">
      <c r="A214" s="7"/>
      <c r="B214" s="5"/>
      <c r="C214" s="9" t="str">
        <f>IF(A214="","",SUMIFS('Ventes du jour'!$E:$E,'Ventes du jour'!$A:$A,A214,'Ventes du jour'!$F:$F,"Espèces"))</f>
        <v/>
      </c>
      <c r="D214" s="5"/>
      <c r="E214" s="5"/>
      <c r="F214" s="9" t="str">
        <f>IF(A214="","",N(B214)+N(C214)+N(D214)-N(E214))</f>
        <v/>
      </c>
      <c r="G214" s="5"/>
      <c r="H214" s="9" t="str">
        <f>IF(OR(A214="",G214=""),"",G214-F214)</f>
        <v/>
      </c>
      <c r="I214" s="9" t="str">
        <f>IF(A214="","",SUMIFS('Ventes du jour'!$E:$E,'Ventes du jour'!$A:$A,A214,'Ventes du jour'!$F:$F,"Mobile money"))</f>
        <v/>
      </c>
      <c r="J214" s="4"/>
    </row>
    <row r="215">
      <c r="A215" s="7"/>
      <c r="B215" s="5"/>
      <c r="C215" s="9" t="str">
        <f>IF(A215="","",SUMIFS('Ventes du jour'!$E:$E,'Ventes du jour'!$A:$A,A215,'Ventes du jour'!$F:$F,"Espèces"))</f>
        <v/>
      </c>
      <c r="D215" s="5"/>
      <c r="E215" s="5"/>
      <c r="F215" s="9" t="str">
        <f>IF(A215="","",N(B215)+N(C215)+N(D215)-N(E215))</f>
        <v/>
      </c>
      <c r="G215" s="5"/>
      <c r="H215" s="9" t="str">
        <f>IF(OR(A215="",G215=""),"",G215-F215)</f>
        <v/>
      </c>
      <c r="I215" s="9" t="str">
        <f>IF(A215="","",SUMIFS('Ventes du jour'!$E:$E,'Ventes du jour'!$A:$A,A215,'Ventes du jour'!$F:$F,"Mobile money"))</f>
        <v/>
      </c>
      <c r="J215" s="4"/>
    </row>
    <row r="216">
      <c r="A216" s="7"/>
      <c r="B216" s="5"/>
      <c r="C216" s="9" t="str">
        <f>IF(A216="","",SUMIFS('Ventes du jour'!$E:$E,'Ventes du jour'!$A:$A,A216,'Ventes du jour'!$F:$F,"Espèces"))</f>
        <v/>
      </c>
      <c r="D216" s="5"/>
      <c r="E216" s="5"/>
      <c r="F216" s="9" t="str">
        <f>IF(A216="","",N(B216)+N(C216)+N(D216)-N(E216))</f>
        <v/>
      </c>
      <c r="G216" s="5"/>
      <c r="H216" s="9" t="str">
        <f>IF(OR(A216="",G216=""),"",G216-F216)</f>
        <v/>
      </c>
      <c r="I216" s="9" t="str">
        <f>IF(A216="","",SUMIFS('Ventes du jour'!$E:$E,'Ventes du jour'!$A:$A,A216,'Ventes du jour'!$F:$F,"Mobile money"))</f>
        <v/>
      </c>
      <c r="J216" s="4"/>
    </row>
    <row r="217">
      <c r="A217" s="7"/>
      <c r="B217" s="5"/>
      <c r="C217" s="9" t="str">
        <f>IF(A217="","",SUMIFS('Ventes du jour'!$E:$E,'Ventes du jour'!$A:$A,A217,'Ventes du jour'!$F:$F,"Espèces"))</f>
        <v/>
      </c>
      <c r="D217" s="5"/>
      <c r="E217" s="5"/>
      <c r="F217" s="9" t="str">
        <f>IF(A217="","",N(B217)+N(C217)+N(D217)-N(E217))</f>
        <v/>
      </c>
      <c r="G217" s="5"/>
      <c r="H217" s="9" t="str">
        <f>IF(OR(A217="",G217=""),"",G217-F217)</f>
        <v/>
      </c>
      <c r="I217" s="9" t="str">
        <f>IF(A217="","",SUMIFS('Ventes du jour'!$E:$E,'Ventes du jour'!$A:$A,A217,'Ventes du jour'!$F:$F,"Mobile money"))</f>
        <v/>
      </c>
      <c r="J217" s="4"/>
    </row>
    <row r="218">
      <c r="A218" s="7"/>
      <c r="B218" s="5"/>
      <c r="C218" s="9" t="str">
        <f>IF(A218="","",SUMIFS('Ventes du jour'!$E:$E,'Ventes du jour'!$A:$A,A218,'Ventes du jour'!$F:$F,"Espèces"))</f>
        <v/>
      </c>
      <c r="D218" s="5"/>
      <c r="E218" s="5"/>
      <c r="F218" s="9" t="str">
        <f>IF(A218="","",N(B218)+N(C218)+N(D218)-N(E218))</f>
        <v/>
      </c>
      <c r="G218" s="5"/>
      <c r="H218" s="9" t="str">
        <f>IF(OR(A218="",G218=""),"",G218-F218)</f>
        <v/>
      </c>
      <c r="I218" s="9" t="str">
        <f>IF(A218="","",SUMIFS('Ventes du jour'!$E:$E,'Ventes du jour'!$A:$A,A218,'Ventes du jour'!$F:$F,"Mobile money"))</f>
        <v/>
      </c>
      <c r="J218" s="4"/>
    </row>
    <row r="219">
      <c r="A219" s="7"/>
      <c r="B219" s="5"/>
      <c r="C219" s="9" t="str">
        <f>IF(A219="","",SUMIFS('Ventes du jour'!$E:$E,'Ventes du jour'!$A:$A,A219,'Ventes du jour'!$F:$F,"Espèces"))</f>
        <v/>
      </c>
      <c r="D219" s="5"/>
      <c r="E219" s="5"/>
      <c r="F219" s="9" t="str">
        <f>IF(A219="","",N(B219)+N(C219)+N(D219)-N(E219))</f>
        <v/>
      </c>
      <c r="G219" s="5"/>
      <c r="H219" s="9" t="str">
        <f>IF(OR(A219="",G219=""),"",G219-F219)</f>
        <v/>
      </c>
      <c r="I219" s="9" t="str">
        <f>IF(A219="","",SUMIFS('Ventes du jour'!$E:$E,'Ventes du jour'!$A:$A,A219,'Ventes du jour'!$F:$F,"Mobile money"))</f>
        <v/>
      </c>
      <c r="J219" s="4"/>
    </row>
    <row r="220">
      <c r="A220" s="7"/>
      <c r="B220" s="5"/>
      <c r="C220" s="9" t="str">
        <f>IF(A220="","",SUMIFS('Ventes du jour'!$E:$E,'Ventes du jour'!$A:$A,A220,'Ventes du jour'!$F:$F,"Espèces"))</f>
        <v/>
      </c>
      <c r="D220" s="5"/>
      <c r="E220" s="5"/>
      <c r="F220" s="9" t="str">
        <f>IF(A220="","",N(B220)+N(C220)+N(D220)-N(E220))</f>
        <v/>
      </c>
      <c r="G220" s="5"/>
      <c r="H220" s="9" t="str">
        <f>IF(OR(A220="",G220=""),"",G220-F220)</f>
        <v/>
      </c>
      <c r="I220" s="9" t="str">
        <f>IF(A220="","",SUMIFS('Ventes du jour'!$E:$E,'Ventes du jour'!$A:$A,A220,'Ventes du jour'!$F:$F,"Mobile money"))</f>
        <v/>
      </c>
      <c r="J220" s="4"/>
    </row>
    <row r="221">
      <c r="A221" s="7"/>
      <c r="B221" s="5"/>
      <c r="C221" s="9" t="str">
        <f>IF(A221="","",SUMIFS('Ventes du jour'!$E:$E,'Ventes du jour'!$A:$A,A221,'Ventes du jour'!$F:$F,"Espèces"))</f>
        <v/>
      </c>
      <c r="D221" s="5"/>
      <c r="E221" s="5"/>
      <c r="F221" s="9" t="str">
        <f>IF(A221="","",N(B221)+N(C221)+N(D221)-N(E221))</f>
        <v/>
      </c>
      <c r="G221" s="5"/>
      <c r="H221" s="9" t="str">
        <f>IF(OR(A221="",G221=""),"",G221-F221)</f>
        <v/>
      </c>
      <c r="I221" s="9" t="str">
        <f>IF(A221="","",SUMIFS('Ventes du jour'!$E:$E,'Ventes du jour'!$A:$A,A221,'Ventes du jour'!$F:$F,"Mobile money"))</f>
        <v/>
      </c>
      <c r="J221" s="4"/>
    </row>
    <row r="222">
      <c r="A222" s="7"/>
      <c r="B222" s="5"/>
      <c r="C222" s="9" t="str">
        <f>IF(A222="","",SUMIFS('Ventes du jour'!$E:$E,'Ventes du jour'!$A:$A,A222,'Ventes du jour'!$F:$F,"Espèces"))</f>
        <v/>
      </c>
      <c r="D222" s="5"/>
      <c r="E222" s="5"/>
      <c r="F222" s="9" t="str">
        <f>IF(A222="","",N(B222)+N(C222)+N(D222)-N(E222))</f>
        <v/>
      </c>
      <c r="G222" s="5"/>
      <c r="H222" s="9" t="str">
        <f>IF(OR(A222="",G222=""),"",G222-F222)</f>
        <v/>
      </c>
      <c r="I222" s="9" t="str">
        <f>IF(A222="","",SUMIFS('Ventes du jour'!$E:$E,'Ventes du jour'!$A:$A,A222,'Ventes du jour'!$F:$F,"Mobile money"))</f>
        <v/>
      </c>
      <c r="J222" s="4"/>
    </row>
    <row r="223">
      <c r="A223" s="7"/>
      <c r="B223" s="5"/>
      <c r="C223" s="9" t="str">
        <f>IF(A223="","",SUMIFS('Ventes du jour'!$E:$E,'Ventes du jour'!$A:$A,A223,'Ventes du jour'!$F:$F,"Espèces"))</f>
        <v/>
      </c>
      <c r="D223" s="5"/>
      <c r="E223" s="5"/>
      <c r="F223" s="9" t="str">
        <f>IF(A223="","",N(B223)+N(C223)+N(D223)-N(E223))</f>
        <v/>
      </c>
      <c r="G223" s="5"/>
      <c r="H223" s="9" t="str">
        <f>IF(OR(A223="",G223=""),"",G223-F223)</f>
        <v/>
      </c>
      <c r="I223" s="9" t="str">
        <f>IF(A223="","",SUMIFS('Ventes du jour'!$E:$E,'Ventes du jour'!$A:$A,A223,'Ventes du jour'!$F:$F,"Mobile money"))</f>
        <v/>
      </c>
      <c r="J223" s="4"/>
    </row>
    <row r="224">
      <c r="A224" s="7"/>
      <c r="B224" s="5"/>
      <c r="C224" s="9" t="str">
        <f>IF(A224="","",SUMIFS('Ventes du jour'!$E:$E,'Ventes du jour'!$A:$A,A224,'Ventes du jour'!$F:$F,"Espèces"))</f>
        <v/>
      </c>
      <c r="D224" s="5"/>
      <c r="E224" s="5"/>
      <c r="F224" s="9" t="str">
        <f>IF(A224="","",N(B224)+N(C224)+N(D224)-N(E224))</f>
        <v/>
      </c>
      <c r="G224" s="5"/>
      <c r="H224" s="9" t="str">
        <f>IF(OR(A224="",G224=""),"",G224-F224)</f>
        <v/>
      </c>
      <c r="I224" s="9" t="str">
        <f>IF(A224="","",SUMIFS('Ventes du jour'!$E:$E,'Ventes du jour'!$A:$A,A224,'Ventes du jour'!$F:$F,"Mobile money"))</f>
        <v/>
      </c>
      <c r="J224" s="4"/>
    </row>
    <row r="225">
      <c r="A225" s="7"/>
      <c r="B225" s="5"/>
      <c r="C225" s="9" t="str">
        <f>IF(A225="","",SUMIFS('Ventes du jour'!$E:$E,'Ventes du jour'!$A:$A,A225,'Ventes du jour'!$F:$F,"Espèces"))</f>
        <v/>
      </c>
      <c r="D225" s="5"/>
      <c r="E225" s="5"/>
      <c r="F225" s="9" t="str">
        <f>IF(A225="","",N(B225)+N(C225)+N(D225)-N(E225))</f>
        <v/>
      </c>
      <c r="G225" s="5"/>
      <c r="H225" s="9" t="str">
        <f>IF(OR(A225="",G225=""),"",G225-F225)</f>
        <v/>
      </c>
      <c r="I225" s="9" t="str">
        <f>IF(A225="","",SUMIFS('Ventes du jour'!$E:$E,'Ventes du jour'!$A:$A,A225,'Ventes du jour'!$F:$F,"Mobile money"))</f>
        <v/>
      </c>
      <c r="J225" s="4"/>
    </row>
    <row r="226">
      <c r="A226" s="7"/>
      <c r="B226" s="5"/>
      <c r="C226" s="9" t="str">
        <f>IF(A226="","",SUMIFS('Ventes du jour'!$E:$E,'Ventes du jour'!$A:$A,A226,'Ventes du jour'!$F:$F,"Espèces"))</f>
        <v/>
      </c>
      <c r="D226" s="5"/>
      <c r="E226" s="5"/>
      <c r="F226" s="9" t="str">
        <f>IF(A226="","",N(B226)+N(C226)+N(D226)-N(E226))</f>
        <v/>
      </c>
      <c r="G226" s="5"/>
      <c r="H226" s="9" t="str">
        <f>IF(OR(A226="",G226=""),"",G226-F226)</f>
        <v/>
      </c>
      <c r="I226" s="9" t="str">
        <f>IF(A226="","",SUMIFS('Ventes du jour'!$E:$E,'Ventes du jour'!$A:$A,A226,'Ventes du jour'!$F:$F,"Mobile money"))</f>
        <v/>
      </c>
      <c r="J226" s="4"/>
    </row>
    <row r="227">
      <c r="A227" s="7"/>
      <c r="B227" s="5"/>
      <c r="C227" s="9" t="str">
        <f>IF(A227="","",SUMIFS('Ventes du jour'!$E:$E,'Ventes du jour'!$A:$A,A227,'Ventes du jour'!$F:$F,"Espèces"))</f>
        <v/>
      </c>
      <c r="D227" s="5"/>
      <c r="E227" s="5"/>
      <c r="F227" s="9" t="str">
        <f>IF(A227="","",N(B227)+N(C227)+N(D227)-N(E227))</f>
        <v/>
      </c>
      <c r="G227" s="5"/>
      <c r="H227" s="9" t="str">
        <f>IF(OR(A227="",G227=""),"",G227-F227)</f>
        <v/>
      </c>
      <c r="I227" s="9" t="str">
        <f>IF(A227="","",SUMIFS('Ventes du jour'!$E:$E,'Ventes du jour'!$A:$A,A227,'Ventes du jour'!$F:$F,"Mobile money"))</f>
        <v/>
      </c>
      <c r="J227" s="4"/>
    </row>
    <row r="228">
      <c r="A228" s="7"/>
      <c r="B228" s="5"/>
      <c r="C228" s="9" t="str">
        <f>IF(A228="","",SUMIFS('Ventes du jour'!$E:$E,'Ventes du jour'!$A:$A,A228,'Ventes du jour'!$F:$F,"Espèces"))</f>
        <v/>
      </c>
      <c r="D228" s="5"/>
      <c r="E228" s="5"/>
      <c r="F228" s="9" t="str">
        <f>IF(A228="","",N(B228)+N(C228)+N(D228)-N(E228))</f>
        <v/>
      </c>
      <c r="G228" s="5"/>
      <c r="H228" s="9" t="str">
        <f>IF(OR(A228="",G228=""),"",G228-F228)</f>
        <v/>
      </c>
      <c r="I228" s="9" t="str">
        <f>IF(A228="","",SUMIFS('Ventes du jour'!$E:$E,'Ventes du jour'!$A:$A,A228,'Ventes du jour'!$F:$F,"Mobile money"))</f>
        <v/>
      </c>
      <c r="J228" s="4"/>
    </row>
    <row r="229">
      <c r="A229" s="7"/>
      <c r="B229" s="5"/>
      <c r="C229" s="9" t="str">
        <f>IF(A229="","",SUMIFS('Ventes du jour'!$E:$E,'Ventes du jour'!$A:$A,A229,'Ventes du jour'!$F:$F,"Espèces"))</f>
        <v/>
      </c>
      <c r="D229" s="5"/>
      <c r="E229" s="5"/>
      <c r="F229" s="9" t="str">
        <f>IF(A229="","",N(B229)+N(C229)+N(D229)-N(E229))</f>
        <v/>
      </c>
      <c r="G229" s="5"/>
      <c r="H229" s="9" t="str">
        <f>IF(OR(A229="",G229=""),"",G229-F229)</f>
        <v/>
      </c>
      <c r="I229" s="9" t="str">
        <f>IF(A229="","",SUMIFS('Ventes du jour'!$E:$E,'Ventes du jour'!$A:$A,A229,'Ventes du jour'!$F:$F,"Mobile money"))</f>
        <v/>
      </c>
      <c r="J229" s="4"/>
    </row>
    <row r="230">
      <c r="A230" s="7"/>
      <c r="B230" s="5"/>
      <c r="C230" s="9" t="str">
        <f>IF(A230="","",SUMIFS('Ventes du jour'!$E:$E,'Ventes du jour'!$A:$A,A230,'Ventes du jour'!$F:$F,"Espèces"))</f>
        <v/>
      </c>
      <c r="D230" s="5"/>
      <c r="E230" s="5"/>
      <c r="F230" s="9" t="str">
        <f>IF(A230="","",N(B230)+N(C230)+N(D230)-N(E230))</f>
        <v/>
      </c>
      <c r="G230" s="5"/>
      <c r="H230" s="9" t="str">
        <f>IF(OR(A230="",G230=""),"",G230-F230)</f>
        <v/>
      </c>
      <c r="I230" s="9" t="str">
        <f>IF(A230="","",SUMIFS('Ventes du jour'!$E:$E,'Ventes du jour'!$A:$A,A230,'Ventes du jour'!$F:$F,"Mobile money"))</f>
        <v/>
      </c>
      <c r="J230" s="4"/>
    </row>
    <row r="231">
      <c r="A231" s="7"/>
      <c r="B231" s="5"/>
      <c r="C231" s="9" t="str">
        <f>IF(A231="","",SUMIFS('Ventes du jour'!$E:$E,'Ventes du jour'!$A:$A,A231,'Ventes du jour'!$F:$F,"Espèces"))</f>
        <v/>
      </c>
      <c r="D231" s="5"/>
      <c r="E231" s="5"/>
      <c r="F231" s="9" t="str">
        <f>IF(A231="","",N(B231)+N(C231)+N(D231)-N(E231))</f>
        <v/>
      </c>
      <c r="G231" s="5"/>
      <c r="H231" s="9" t="str">
        <f>IF(OR(A231="",G231=""),"",G231-F231)</f>
        <v/>
      </c>
      <c r="I231" s="9" t="str">
        <f>IF(A231="","",SUMIFS('Ventes du jour'!$E:$E,'Ventes du jour'!$A:$A,A231,'Ventes du jour'!$F:$F,"Mobile money"))</f>
        <v/>
      </c>
      <c r="J231" s="4"/>
    </row>
    <row r="232">
      <c r="A232" s="7"/>
      <c r="B232" s="5"/>
      <c r="C232" s="9" t="str">
        <f>IF(A232="","",SUMIFS('Ventes du jour'!$E:$E,'Ventes du jour'!$A:$A,A232,'Ventes du jour'!$F:$F,"Espèces"))</f>
        <v/>
      </c>
      <c r="D232" s="5"/>
      <c r="E232" s="5"/>
      <c r="F232" s="9" t="str">
        <f>IF(A232="","",N(B232)+N(C232)+N(D232)-N(E232))</f>
        <v/>
      </c>
      <c r="G232" s="5"/>
      <c r="H232" s="9" t="str">
        <f>IF(OR(A232="",G232=""),"",G232-F232)</f>
        <v/>
      </c>
      <c r="I232" s="9" t="str">
        <f>IF(A232="","",SUMIFS('Ventes du jour'!$E:$E,'Ventes du jour'!$A:$A,A232,'Ventes du jour'!$F:$F,"Mobile money"))</f>
        <v/>
      </c>
      <c r="J232" s="4"/>
    </row>
    <row r="233">
      <c r="A233" s="7"/>
      <c r="B233" s="5"/>
      <c r="C233" s="9" t="str">
        <f>IF(A233="","",SUMIFS('Ventes du jour'!$E:$E,'Ventes du jour'!$A:$A,A233,'Ventes du jour'!$F:$F,"Espèces"))</f>
        <v/>
      </c>
      <c r="D233" s="5"/>
      <c r="E233" s="5"/>
      <c r="F233" s="9" t="str">
        <f>IF(A233="","",N(B233)+N(C233)+N(D233)-N(E233))</f>
        <v/>
      </c>
      <c r="G233" s="5"/>
      <c r="H233" s="9" t="str">
        <f>IF(OR(A233="",G233=""),"",G233-F233)</f>
        <v/>
      </c>
      <c r="I233" s="9" t="str">
        <f>IF(A233="","",SUMIFS('Ventes du jour'!$E:$E,'Ventes du jour'!$A:$A,A233,'Ventes du jour'!$F:$F,"Mobile money"))</f>
        <v/>
      </c>
      <c r="J233" s="4"/>
    </row>
    <row r="234">
      <c r="A234" s="7"/>
      <c r="B234" s="5"/>
      <c r="C234" s="9" t="str">
        <f>IF(A234="","",SUMIFS('Ventes du jour'!$E:$E,'Ventes du jour'!$A:$A,A234,'Ventes du jour'!$F:$F,"Espèces"))</f>
        <v/>
      </c>
      <c r="D234" s="5"/>
      <c r="E234" s="5"/>
      <c r="F234" s="9" t="str">
        <f>IF(A234="","",N(B234)+N(C234)+N(D234)-N(E234))</f>
        <v/>
      </c>
      <c r="G234" s="5"/>
      <c r="H234" s="9" t="str">
        <f>IF(OR(A234="",G234=""),"",G234-F234)</f>
        <v/>
      </c>
      <c r="I234" s="9" t="str">
        <f>IF(A234="","",SUMIFS('Ventes du jour'!$E:$E,'Ventes du jour'!$A:$A,A234,'Ventes du jour'!$F:$F,"Mobile money"))</f>
        <v/>
      </c>
      <c r="J234" s="4"/>
    </row>
    <row r="235">
      <c r="A235" s="7"/>
      <c r="B235" s="5"/>
      <c r="C235" s="9" t="str">
        <f>IF(A235="","",SUMIFS('Ventes du jour'!$E:$E,'Ventes du jour'!$A:$A,A235,'Ventes du jour'!$F:$F,"Espèces"))</f>
        <v/>
      </c>
      <c r="D235" s="5"/>
      <c r="E235" s="5"/>
      <c r="F235" s="9" t="str">
        <f>IF(A235="","",N(B235)+N(C235)+N(D235)-N(E235))</f>
        <v/>
      </c>
      <c r="G235" s="5"/>
      <c r="H235" s="9" t="str">
        <f>IF(OR(A235="",G235=""),"",G235-F235)</f>
        <v/>
      </c>
      <c r="I235" s="9" t="str">
        <f>IF(A235="","",SUMIFS('Ventes du jour'!$E:$E,'Ventes du jour'!$A:$A,A235,'Ventes du jour'!$F:$F,"Mobile money"))</f>
        <v/>
      </c>
      <c r="J235" s="4"/>
    </row>
    <row r="236">
      <c r="A236" s="7"/>
      <c r="B236" s="5"/>
      <c r="C236" s="9" t="str">
        <f>IF(A236="","",SUMIFS('Ventes du jour'!$E:$E,'Ventes du jour'!$A:$A,A236,'Ventes du jour'!$F:$F,"Espèces"))</f>
        <v/>
      </c>
      <c r="D236" s="5"/>
      <c r="E236" s="5"/>
      <c r="F236" s="9" t="str">
        <f>IF(A236="","",N(B236)+N(C236)+N(D236)-N(E236))</f>
        <v/>
      </c>
      <c r="G236" s="5"/>
      <c r="H236" s="9" t="str">
        <f>IF(OR(A236="",G236=""),"",G236-F236)</f>
        <v/>
      </c>
      <c r="I236" s="9" t="str">
        <f>IF(A236="","",SUMIFS('Ventes du jour'!$E:$E,'Ventes du jour'!$A:$A,A236,'Ventes du jour'!$F:$F,"Mobile money"))</f>
        <v/>
      </c>
      <c r="J236" s="4"/>
    </row>
    <row r="237">
      <c r="A237" s="7"/>
      <c r="B237" s="5"/>
      <c r="C237" s="9" t="str">
        <f>IF(A237="","",SUMIFS('Ventes du jour'!$E:$E,'Ventes du jour'!$A:$A,A237,'Ventes du jour'!$F:$F,"Espèces"))</f>
        <v/>
      </c>
      <c r="D237" s="5"/>
      <c r="E237" s="5"/>
      <c r="F237" s="9" t="str">
        <f>IF(A237="","",N(B237)+N(C237)+N(D237)-N(E237))</f>
        <v/>
      </c>
      <c r="G237" s="5"/>
      <c r="H237" s="9" t="str">
        <f>IF(OR(A237="",G237=""),"",G237-F237)</f>
        <v/>
      </c>
      <c r="I237" s="9" t="str">
        <f>IF(A237="","",SUMIFS('Ventes du jour'!$E:$E,'Ventes du jour'!$A:$A,A237,'Ventes du jour'!$F:$F,"Mobile money"))</f>
        <v/>
      </c>
      <c r="J237" s="4"/>
    </row>
    <row r="238">
      <c r="A238" s="7"/>
      <c r="B238" s="5"/>
      <c r="C238" s="9" t="str">
        <f>IF(A238="","",SUMIFS('Ventes du jour'!$E:$E,'Ventes du jour'!$A:$A,A238,'Ventes du jour'!$F:$F,"Espèces"))</f>
        <v/>
      </c>
      <c r="D238" s="5"/>
      <c r="E238" s="5"/>
      <c r="F238" s="9" t="str">
        <f>IF(A238="","",N(B238)+N(C238)+N(D238)-N(E238))</f>
        <v/>
      </c>
      <c r="G238" s="5"/>
      <c r="H238" s="9" t="str">
        <f>IF(OR(A238="",G238=""),"",G238-F238)</f>
        <v/>
      </c>
      <c r="I238" s="9" t="str">
        <f>IF(A238="","",SUMIFS('Ventes du jour'!$E:$E,'Ventes du jour'!$A:$A,A238,'Ventes du jour'!$F:$F,"Mobile money"))</f>
        <v/>
      </c>
      <c r="J238" s="4"/>
    </row>
    <row r="239">
      <c r="A239" s="7"/>
      <c r="B239" s="5"/>
      <c r="C239" s="9" t="str">
        <f>IF(A239="","",SUMIFS('Ventes du jour'!$E:$E,'Ventes du jour'!$A:$A,A239,'Ventes du jour'!$F:$F,"Espèces"))</f>
        <v/>
      </c>
      <c r="D239" s="5"/>
      <c r="E239" s="5"/>
      <c r="F239" s="9" t="str">
        <f>IF(A239="","",N(B239)+N(C239)+N(D239)-N(E239))</f>
        <v/>
      </c>
      <c r="G239" s="5"/>
      <c r="H239" s="9" t="str">
        <f>IF(OR(A239="",G239=""),"",G239-F239)</f>
        <v/>
      </c>
      <c r="I239" s="9" t="str">
        <f>IF(A239="","",SUMIFS('Ventes du jour'!$E:$E,'Ventes du jour'!$A:$A,A239,'Ventes du jour'!$F:$F,"Mobile money"))</f>
        <v/>
      </c>
      <c r="J239" s="4"/>
    </row>
    <row r="240">
      <c r="A240" s="7"/>
      <c r="B240" s="5"/>
      <c r="C240" s="9" t="str">
        <f>IF(A240="","",SUMIFS('Ventes du jour'!$E:$E,'Ventes du jour'!$A:$A,A240,'Ventes du jour'!$F:$F,"Espèces"))</f>
        <v/>
      </c>
      <c r="D240" s="5"/>
      <c r="E240" s="5"/>
      <c r="F240" s="9" t="str">
        <f>IF(A240="","",N(B240)+N(C240)+N(D240)-N(E240))</f>
        <v/>
      </c>
      <c r="G240" s="5"/>
      <c r="H240" s="9" t="str">
        <f>IF(OR(A240="",G240=""),"",G240-F240)</f>
        <v/>
      </c>
      <c r="I240" s="9" t="str">
        <f>IF(A240="","",SUMIFS('Ventes du jour'!$E:$E,'Ventes du jour'!$A:$A,A240,'Ventes du jour'!$F:$F,"Mobile money"))</f>
        <v/>
      </c>
      <c r="J240" s="4"/>
    </row>
    <row r="241">
      <c r="A241" s="7"/>
      <c r="B241" s="5"/>
      <c r="C241" s="9" t="str">
        <f>IF(A241="","",SUMIFS('Ventes du jour'!$E:$E,'Ventes du jour'!$A:$A,A241,'Ventes du jour'!$F:$F,"Espèces"))</f>
        <v/>
      </c>
      <c r="D241" s="5"/>
      <c r="E241" s="5"/>
      <c r="F241" s="9" t="str">
        <f>IF(A241="","",N(B241)+N(C241)+N(D241)-N(E241))</f>
        <v/>
      </c>
      <c r="G241" s="5"/>
      <c r="H241" s="9" t="str">
        <f>IF(OR(A241="",G241=""),"",G241-F241)</f>
        <v/>
      </c>
      <c r="I241" s="9" t="str">
        <f>IF(A241="","",SUMIFS('Ventes du jour'!$E:$E,'Ventes du jour'!$A:$A,A241,'Ventes du jour'!$F:$F,"Mobile money"))</f>
        <v/>
      </c>
      <c r="J241" s="4"/>
    </row>
    <row r="242">
      <c r="A242" s="7"/>
      <c r="B242" s="5"/>
      <c r="C242" s="9" t="str">
        <f>IF(A242="","",SUMIFS('Ventes du jour'!$E:$E,'Ventes du jour'!$A:$A,A242,'Ventes du jour'!$F:$F,"Espèces"))</f>
        <v/>
      </c>
      <c r="D242" s="5"/>
      <c r="E242" s="5"/>
      <c r="F242" s="9" t="str">
        <f>IF(A242="","",N(B242)+N(C242)+N(D242)-N(E242))</f>
        <v/>
      </c>
      <c r="G242" s="5"/>
      <c r="H242" s="9" t="str">
        <f>IF(OR(A242="",G242=""),"",G242-F242)</f>
        <v/>
      </c>
      <c r="I242" s="9" t="str">
        <f>IF(A242="","",SUMIFS('Ventes du jour'!$E:$E,'Ventes du jour'!$A:$A,A242,'Ventes du jour'!$F:$F,"Mobile money"))</f>
        <v/>
      </c>
      <c r="J242" s="4"/>
    </row>
    <row r="243">
      <c r="A243" s="7"/>
      <c r="B243" s="5"/>
      <c r="C243" s="9" t="str">
        <f>IF(A243="","",SUMIFS('Ventes du jour'!$E:$E,'Ventes du jour'!$A:$A,A243,'Ventes du jour'!$F:$F,"Espèces"))</f>
        <v/>
      </c>
      <c r="D243" s="5"/>
      <c r="E243" s="5"/>
      <c r="F243" s="9" t="str">
        <f>IF(A243="","",N(B243)+N(C243)+N(D243)-N(E243))</f>
        <v/>
      </c>
      <c r="G243" s="5"/>
      <c r="H243" s="9" t="str">
        <f>IF(OR(A243="",G243=""),"",G243-F243)</f>
        <v/>
      </c>
      <c r="I243" s="9" t="str">
        <f>IF(A243="","",SUMIFS('Ventes du jour'!$E:$E,'Ventes du jour'!$A:$A,A243,'Ventes du jour'!$F:$F,"Mobile money"))</f>
        <v/>
      </c>
      <c r="J243" s="4"/>
    </row>
    <row r="244">
      <c r="A244" s="7"/>
      <c r="B244" s="5"/>
      <c r="C244" s="9" t="str">
        <f>IF(A244="","",SUMIFS('Ventes du jour'!$E:$E,'Ventes du jour'!$A:$A,A244,'Ventes du jour'!$F:$F,"Espèces"))</f>
        <v/>
      </c>
      <c r="D244" s="5"/>
      <c r="E244" s="5"/>
      <c r="F244" s="9" t="str">
        <f>IF(A244="","",N(B244)+N(C244)+N(D244)-N(E244))</f>
        <v/>
      </c>
      <c r="G244" s="5"/>
      <c r="H244" s="9" t="str">
        <f>IF(OR(A244="",G244=""),"",G244-F244)</f>
        <v/>
      </c>
      <c r="I244" s="9" t="str">
        <f>IF(A244="","",SUMIFS('Ventes du jour'!$E:$E,'Ventes du jour'!$A:$A,A244,'Ventes du jour'!$F:$F,"Mobile money"))</f>
        <v/>
      </c>
      <c r="J244" s="4"/>
    </row>
    <row r="245">
      <c r="A245" s="7"/>
      <c r="B245" s="5"/>
      <c r="C245" s="9" t="str">
        <f>IF(A245="","",SUMIFS('Ventes du jour'!$E:$E,'Ventes du jour'!$A:$A,A245,'Ventes du jour'!$F:$F,"Espèces"))</f>
        <v/>
      </c>
      <c r="D245" s="5"/>
      <c r="E245" s="5"/>
      <c r="F245" s="9" t="str">
        <f>IF(A245="","",N(B245)+N(C245)+N(D245)-N(E245))</f>
        <v/>
      </c>
      <c r="G245" s="5"/>
      <c r="H245" s="9" t="str">
        <f>IF(OR(A245="",G245=""),"",G245-F245)</f>
        <v/>
      </c>
      <c r="I245" s="9" t="str">
        <f>IF(A245="","",SUMIFS('Ventes du jour'!$E:$E,'Ventes du jour'!$A:$A,A245,'Ventes du jour'!$F:$F,"Mobile money"))</f>
        <v/>
      </c>
      <c r="J245" s="4"/>
    </row>
    <row r="246">
      <c r="A246" s="7"/>
      <c r="B246" s="5"/>
      <c r="C246" s="9" t="str">
        <f>IF(A246="","",SUMIFS('Ventes du jour'!$E:$E,'Ventes du jour'!$A:$A,A246,'Ventes du jour'!$F:$F,"Espèces"))</f>
        <v/>
      </c>
      <c r="D246" s="5"/>
      <c r="E246" s="5"/>
      <c r="F246" s="9" t="str">
        <f>IF(A246="","",N(B246)+N(C246)+N(D246)-N(E246))</f>
        <v/>
      </c>
      <c r="G246" s="5"/>
      <c r="H246" s="9" t="str">
        <f>IF(OR(A246="",G246=""),"",G246-F246)</f>
        <v/>
      </c>
      <c r="I246" s="9" t="str">
        <f>IF(A246="","",SUMIFS('Ventes du jour'!$E:$E,'Ventes du jour'!$A:$A,A246,'Ventes du jour'!$F:$F,"Mobile money"))</f>
        <v/>
      </c>
      <c r="J246" s="4"/>
    </row>
    <row r="247">
      <c r="A247" s="7"/>
      <c r="B247" s="5"/>
      <c r="C247" s="9" t="str">
        <f>IF(A247="","",SUMIFS('Ventes du jour'!$E:$E,'Ventes du jour'!$A:$A,A247,'Ventes du jour'!$F:$F,"Espèces"))</f>
        <v/>
      </c>
      <c r="D247" s="5"/>
      <c r="E247" s="5"/>
      <c r="F247" s="9" t="str">
        <f>IF(A247="","",N(B247)+N(C247)+N(D247)-N(E247))</f>
        <v/>
      </c>
      <c r="G247" s="5"/>
      <c r="H247" s="9" t="str">
        <f>IF(OR(A247="",G247=""),"",G247-F247)</f>
        <v/>
      </c>
      <c r="I247" s="9" t="str">
        <f>IF(A247="","",SUMIFS('Ventes du jour'!$E:$E,'Ventes du jour'!$A:$A,A247,'Ventes du jour'!$F:$F,"Mobile money"))</f>
        <v/>
      </c>
      <c r="J247" s="4"/>
    </row>
    <row r="248">
      <c r="A248" s="7"/>
      <c r="B248" s="5"/>
      <c r="C248" s="9" t="str">
        <f>IF(A248="","",SUMIFS('Ventes du jour'!$E:$E,'Ventes du jour'!$A:$A,A248,'Ventes du jour'!$F:$F,"Espèces"))</f>
        <v/>
      </c>
      <c r="D248" s="5"/>
      <c r="E248" s="5"/>
      <c r="F248" s="9" t="str">
        <f>IF(A248="","",N(B248)+N(C248)+N(D248)-N(E248))</f>
        <v/>
      </c>
      <c r="G248" s="5"/>
      <c r="H248" s="9" t="str">
        <f>IF(OR(A248="",G248=""),"",G248-F248)</f>
        <v/>
      </c>
      <c r="I248" s="9" t="str">
        <f>IF(A248="","",SUMIFS('Ventes du jour'!$E:$E,'Ventes du jour'!$A:$A,A248,'Ventes du jour'!$F:$F,"Mobile money"))</f>
        <v/>
      </c>
      <c r="J248" s="4"/>
    </row>
    <row r="249">
      <c r="A249" s="7"/>
      <c r="B249" s="5"/>
      <c r="C249" s="9" t="str">
        <f>IF(A249="","",SUMIFS('Ventes du jour'!$E:$E,'Ventes du jour'!$A:$A,A249,'Ventes du jour'!$F:$F,"Espèces"))</f>
        <v/>
      </c>
      <c r="D249" s="5"/>
      <c r="E249" s="5"/>
      <c r="F249" s="9" t="str">
        <f>IF(A249="","",N(B249)+N(C249)+N(D249)-N(E249))</f>
        <v/>
      </c>
      <c r="G249" s="5"/>
      <c r="H249" s="9" t="str">
        <f>IF(OR(A249="",G249=""),"",G249-F249)</f>
        <v/>
      </c>
      <c r="I249" s="9" t="str">
        <f>IF(A249="","",SUMIFS('Ventes du jour'!$E:$E,'Ventes du jour'!$A:$A,A249,'Ventes du jour'!$F:$F,"Mobile money"))</f>
        <v/>
      </c>
      <c r="J249" s="4"/>
    </row>
    <row r="250">
      <c r="A250" s="7"/>
      <c r="B250" s="5"/>
      <c r="C250" s="9" t="str">
        <f>IF(A250="","",SUMIFS('Ventes du jour'!$E:$E,'Ventes du jour'!$A:$A,A250,'Ventes du jour'!$F:$F,"Espèces"))</f>
        <v/>
      </c>
      <c r="D250" s="5"/>
      <c r="E250" s="5"/>
      <c r="F250" s="9" t="str">
        <f>IF(A250="","",N(B250)+N(C250)+N(D250)-N(E250))</f>
        <v/>
      </c>
      <c r="G250" s="5"/>
      <c r="H250" s="9" t="str">
        <f>IF(OR(A250="",G250=""),"",G250-F250)</f>
        <v/>
      </c>
      <c r="I250" s="9" t="str">
        <f>IF(A250="","",SUMIFS('Ventes du jour'!$E:$E,'Ventes du jour'!$A:$A,A250,'Ventes du jour'!$F:$F,"Mobile money"))</f>
        <v/>
      </c>
      <c r="J250" s="4"/>
    </row>
    <row r="251">
      <c r="A251" s="7"/>
      <c r="B251" s="5"/>
      <c r="C251" s="9" t="str">
        <f>IF(A251="","",SUMIFS('Ventes du jour'!$E:$E,'Ventes du jour'!$A:$A,A251,'Ventes du jour'!$F:$F,"Espèces"))</f>
        <v/>
      </c>
      <c r="D251" s="5"/>
      <c r="E251" s="5"/>
      <c r="F251" s="9" t="str">
        <f>IF(A251="","",N(B251)+N(C251)+N(D251)-N(E251))</f>
        <v/>
      </c>
      <c r="G251" s="5"/>
      <c r="H251" s="9" t="str">
        <f>IF(OR(A251="",G251=""),"",G251-F251)</f>
        <v/>
      </c>
      <c r="I251" s="9" t="str">
        <f>IF(A251="","",SUMIFS('Ventes du jour'!$E:$E,'Ventes du jour'!$A:$A,A251,'Ventes du jour'!$F:$F,"Mobile money"))</f>
        <v/>
      </c>
      <c r="J251" s="4"/>
    </row>
    <row r="252">
      <c r="A252" s="7"/>
      <c r="B252" s="5"/>
      <c r="C252" s="9" t="str">
        <f>IF(A252="","",SUMIFS('Ventes du jour'!$E:$E,'Ventes du jour'!$A:$A,A252,'Ventes du jour'!$F:$F,"Espèces"))</f>
        <v/>
      </c>
      <c r="D252" s="5"/>
      <c r="E252" s="5"/>
      <c r="F252" s="9" t="str">
        <f>IF(A252="","",N(B252)+N(C252)+N(D252)-N(E252))</f>
        <v/>
      </c>
      <c r="G252" s="5"/>
      <c r="H252" s="9" t="str">
        <f>IF(OR(A252="",G252=""),"",G252-F252)</f>
        <v/>
      </c>
      <c r="I252" s="9" t="str">
        <f>IF(A252="","",SUMIFS('Ventes du jour'!$E:$E,'Ventes du jour'!$A:$A,A252,'Ventes du jour'!$F:$F,"Mobile money"))</f>
        <v/>
      </c>
      <c r="J252" s="4"/>
    </row>
    <row r="253">
      <c r="A253" s="7"/>
      <c r="B253" s="5"/>
      <c r="C253" s="9" t="str">
        <f>IF(A253="","",SUMIFS('Ventes du jour'!$E:$E,'Ventes du jour'!$A:$A,A253,'Ventes du jour'!$F:$F,"Espèces"))</f>
        <v/>
      </c>
      <c r="D253" s="5"/>
      <c r="E253" s="5"/>
      <c r="F253" s="9" t="str">
        <f>IF(A253="","",N(B253)+N(C253)+N(D253)-N(E253))</f>
        <v/>
      </c>
      <c r="G253" s="5"/>
      <c r="H253" s="9" t="str">
        <f>IF(OR(A253="",G253=""),"",G253-F253)</f>
        <v/>
      </c>
      <c r="I253" s="9" t="str">
        <f>IF(A253="","",SUMIFS('Ventes du jour'!$E:$E,'Ventes du jour'!$A:$A,A253,'Ventes du jour'!$F:$F,"Mobile money"))</f>
        <v/>
      </c>
      <c r="J253" s="4"/>
    </row>
    <row r="254">
      <c r="A254" s="7"/>
      <c r="B254" s="5"/>
      <c r="C254" s="9" t="str">
        <f>IF(A254="","",SUMIFS('Ventes du jour'!$E:$E,'Ventes du jour'!$A:$A,A254,'Ventes du jour'!$F:$F,"Espèces"))</f>
        <v/>
      </c>
      <c r="D254" s="5"/>
      <c r="E254" s="5"/>
      <c r="F254" s="9" t="str">
        <f>IF(A254="","",N(B254)+N(C254)+N(D254)-N(E254))</f>
        <v/>
      </c>
      <c r="G254" s="5"/>
      <c r="H254" s="9" t="str">
        <f>IF(OR(A254="",G254=""),"",G254-F254)</f>
        <v/>
      </c>
      <c r="I254" s="9" t="str">
        <f>IF(A254="","",SUMIFS('Ventes du jour'!$E:$E,'Ventes du jour'!$A:$A,A254,'Ventes du jour'!$F:$F,"Mobile money"))</f>
        <v/>
      </c>
      <c r="J254" s="4"/>
    </row>
    <row r="255">
      <c r="A255" s="7"/>
      <c r="B255" s="5"/>
      <c r="C255" s="9" t="str">
        <f>IF(A255="","",SUMIFS('Ventes du jour'!$E:$E,'Ventes du jour'!$A:$A,A255,'Ventes du jour'!$F:$F,"Espèces"))</f>
        <v/>
      </c>
      <c r="D255" s="5"/>
      <c r="E255" s="5"/>
      <c r="F255" s="9" t="str">
        <f>IF(A255="","",N(B255)+N(C255)+N(D255)-N(E255))</f>
        <v/>
      </c>
      <c r="G255" s="5"/>
      <c r="H255" s="9" t="str">
        <f>IF(OR(A255="",G255=""),"",G255-F255)</f>
        <v/>
      </c>
      <c r="I255" s="9" t="str">
        <f>IF(A255="","",SUMIFS('Ventes du jour'!$E:$E,'Ventes du jour'!$A:$A,A255,'Ventes du jour'!$F:$F,"Mobile money"))</f>
        <v/>
      </c>
      <c r="J255" s="4"/>
    </row>
    <row r="256">
      <c r="A256" s="7"/>
      <c r="B256" s="5"/>
      <c r="C256" s="9" t="str">
        <f>IF(A256="","",SUMIFS('Ventes du jour'!$E:$E,'Ventes du jour'!$A:$A,A256,'Ventes du jour'!$F:$F,"Espèces"))</f>
        <v/>
      </c>
      <c r="D256" s="5"/>
      <c r="E256" s="5"/>
      <c r="F256" s="9" t="str">
        <f>IF(A256="","",N(B256)+N(C256)+N(D256)-N(E256))</f>
        <v/>
      </c>
      <c r="G256" s="5"/>
      <c r="H256" s="9" t="str">
        <f>IF(OR(A256="",G256=""),"",G256-F256)</f>
        <v/>
      </c>
      <c r="I256" s="9" t="str">
        <f>IF(A256="","",SUMIFS('Ventes du jour'!$E:$E,'Ventes du jour'!$A:$A,A256,'Ventes du jour'!$F:$F,"Mobile money"))</f>
        <v/>
      </c>
      <c r="J256" s="4"/>
    </row>
    <row r="257">
      <c r="A257" s="7"/>
      <c r="B257" s="5"/>
      <c r="C257" s="9" t="str">
        <f>IF(A257="","",SUMIFS('Ventes du jour'!$E:$E,'Ventes du jour'!$A:$A,A257,'Ventes du jour'!$F:$F,"Espèces"))</f>
        <v/>
      </c>
      <c r="D257" s="5"/>
      <c r="E257" s="5"/>
      <c r="F257" s="9" t="str">
        <f>IF(A257="","",N(B257)+N(C257)+N(D257)-N(E257))</f>
        <v/>
      </c>
      <c r="G257" s="5"/>
      <c r="H257" s="9" t="str">
        <f>IF(OR(A257="",G257=""),"",G257-F257)</f>
        <v/>
      </c>
      <c r="I257" s="9" t="str">
        <f>IF(A257="","",SUMIFS('Ventes du jour'!$E:$E,'Ventes du jour'!$A:$A,A257,'Ventes du jour'!$F:$F,"Mobile money"))</f>
        <v/>
      </c>
      <c r="J257" s="4"/>
    </row>
    <row r="258">
      <c r="A258" s="7"/>
      <c r="B258" s="5"/>
      <c r="C258" s="9" t="str">
        <f>IF(A258="","",SUMIFS('Ventes du jour'!$E:$E,'Ventes du jour'!$A:$A,A258,'Ventes du jour'!$F:$F,"Espèces"))</f>
        <v/>
      </c>
      <c r="D258" s="5"/>
      <c r="E258" s="5"/>
      <c r="F258" s="9" t="str">
        <f>IF(A258="","",N(B258)+N(C258)+N(D258)-N(E258))</f>
        <v/>
      </c>
      <c r="G258" s="5"/>
      <c r="H258" s="9" t="str">
        <f>IF(OR(A258="",G258=""),"",G258-F258)</f>
        <v/>
      </c>
      <c r="I258" s="9" t="str">
        <f>IF(A258="","",SUMIFS('Ventes du jour'!$E:$E,'Ventes du jour'!$A:$A,A258,'Ventes du jour'!$F:$F,"Mobile money"))</f>
        <v/>
      </c>
      <c r="J258" s="4"/>
    </row>
    <row r="259">
      <c r="A259" s="7"/>
      <c r="B259" s="5"/>
      <c r="C259" s="9" t="str">
        <f>IF(A259="","",SUMIFS('Ventes du jour'!$E:$E,'Ventes du jour'!$A:$A,A259,'Ventes du jour'!$F:$F,"Espèces"))</f>
        <v/>
      </c>
      <c r="D259" s="5"/>
      <c r="E259" s="5"/>
      <c r="F259" s="9" t="str">
        <f>IF(A259="","",N(B259)+N(C259)+N(D259)-N(E259))</f>
        <v/>
      </c>
      <c r="G259" s="5"/>
      <c r="H259" s="9" t="str">
        <f>IF(OR(A259="",G259=""),"",G259-F259)</f>
        <v/>
      </c>
      <c r="I259" s="9" t="str">
        <f>IF(A259="","",SUMIFS('Ventes du jour'!$E:$E,'Ventes du jour'!$A:$A,A259,'Ventes du jour'!$F:$F,"Mobile money"))</f>
        <v/>
      </c>
      <c r="J259" s="4"/>
    </row>
    <row r="260">
      <c r="A260" s="7"/>
      <c r="B260" s="5"/>
      <c r="C260" s="9" t="str">
        <f>IF(A260="","",SUMIFS('Ventes du jour'!$E:$E,'Ventes du jour'!$A:$A,A260,'Ventes du jour'!$F:$F,"Espèces"))</f>
        <v/>
      </c>
      <c r="D260" s="5"/>
      <c r="E260" s="5"/>
      <c r="F260" s="9" t="str">
        <f>IF(A260="","",N(B260)+N(C260)+N(D260)-N(E260))</f>
        <v/>
      </c>
      <c r="G260" s="5"/>
      <c r="H260" s="9" t="str">
        <f>IF(OR(A260="",G260=""),"",G260-F260)</f>
        <v/>
      </c>
      <c r="I260" s="9" t="str">
        <f>IF(A260="","",SUMIFS('Ventes du jour'!$E:$E,'Ventes du jour'!$A:$A,A260,'Ventes du jour'!$F:$F,"Mobile money"))</f>
        <v/>
      </c>
      <c r="J260" s="4"/>
    </row>
    <row r="261">
      <c r="A261" s="7"/>
      <c r="B261" s="5"/>
      <c r="C261" s="9" t="str">
        <f>IF(A261="","",SUMIFS('Ventes du jour'!$E:$E,'Ventes du jour'!$A:$A,A261,'Ventes du jour'!$F:$F,"Espèces"))</f>
        <v/>
      </c>
      <c r="D261" s="5"/>
      <c r="E261" s="5"/>
      <c r="F261" s="9" t="str">
        <f>IF(A261="","",N(B261)+N(C261)+N(D261)-N(E261))</f>
        <v/>
      </c>
      <c r="G261" s="5"/>
      <c r="H261" s="9" t="str">
        <f>IF(OR(A261="",G261=""),"",G261-F261)</f>
        <v/>
      </c>
      <c r="I261" s="9" t="str">
        <f>IF(A261="","",SUMIFS('Ventes du jour'!$E:$E,'Ventes du jour'!$A:$A,A261,'Ventes du jour'!$F:$F,"Mobile money"))</f>
        <v/>
      </c>
      <c r="J261" s="4"/>
    </row>
    <row r="262">
      <c r="A262" s="7"/>
      <c r="B262" s="5"/>
      <c r="C262" s="9" t="str">
        <f>IF(A262="","",SUMIFS('Ventes du jour'!$E:$E,'Ventes du jour'!$A:$A,A262,'Ventes du jour'!$F:$F,"Espèces"))</f>
        <v/>
      </c>
      <c r="D262" s="5"/>
      <c r="E262" s="5"/>
      <c r="F262" s="9" t="str">
        <f>IF(A262="","",N(B262)+N(C262)+N(D262)-N(E262))</f>
        <v/>
      </c>
      <c r="G262" s="5"/>
      <c r="H262" s="9" t="str">
        <f>IF(OR(A262="",G262=""),"",G262-F262)</f>
        <v/>
      </c>
      <c r="I262" s="9" t="str">
        <f>IF(A262="","",SUMIFS('Ventes du jour'!$E:$E,'Ventes du jour'!$A:$A,A262,'Ventes du jour'!$F:$F,"Mobile money"))</f>
        <v/>
      </c>
      <c r="J262" s="4"/>
    </row>
    <row r="263">
      <c r="A263" s="7"/>
      <c r="B263" s="5"/>
      <c r="C263" s="9" t="str">
        <f>IF(A263="","",SUMIFS('Ventes du jour'!$E:$E,'Ventes du jour'!$A:$A,A263,'Ventes du jour'!$F:$F,"Espèces"))</f>
        <v/>
      </c>
      <c r="D263" s="5"/>
      <c r="E263" s="5"/>
      <c r="F263" s="9" t="str">
        <f>IF(A263="","",N(B263)+N(C263)+N(D263)-N(E263))</f>
        <v/>
      </c>
      <c r="G263" s="5"/>
      <c r="H263" s="9" t="str">
        <f>IF(OR(A263="",G263=""),"",G263-F263)</f>
        <v/>
      </c>
      <c r="I263" s="9" t="str">
        <f>IF(A263="","",SUMIFS('Ventes du jour'!$E:$E,'Ventes du jour'!$A:$A,A263,'Ventes du jour'!$F:$F,"Mobile money"))</f>
        <v/>
      </c>
      <c r="J263" s="4"/>
    </row>
    <row r="264">
      <c r="A264" s="7"/>
      <c r="B264" s="5"/>
      <c r="C264" s="9" t="str">
        <f>IF(A264="","",SUMIFS('Ventes du jour'!$E:$E,'Ventes du jour'!$A:$A,A264,'Ventes du jour'!$F:$F,"Espèces"))</f>
        <v/>
      </c>
      <c r="D264" s="5"/>
      <c r="E264" s="5"/>
      <c r="F264" s="9" t="str">
        <f>IF(A264="","",N(B264)+N(C264)+N(D264)-N(E264))</f>
        <v/>
      </c>
      <c r="G264" s="5"/>
      <c r="H264" s="9" t="str">
        <f>IF(OR(A264="",G264=""),"",G264-F264)</f>
        <v/>
      </c>
      <c r="I264" s="9" t="str">
        <f>IF(A264="","",SUMIFS('Ventes du jour'!$E:$E,'Ventes du jour'!$A:$A,A264,'Ventes du jour'!$F:$F,"Mobile money"))</f>
        <v/>
      </c>
      <c r="J264" s="4"/>
    </row>
    <row r="265">
      <c r="A265" s="7"/>
      <c r="B265" s="5"/>
      <c r="C265" s="9" t="str">
        <f>IF(A265="","",SUMIFS('Ventes du jour'!$E:$E,'Ventes du jour'!$A:$A,A265,'Ventes du jour'!$F:$F,"Espèces"))</f>
        <v/>
      </c>
      <c r="D265" s="5"/>
      <c r="E265" s="5"/>
      <c r="F265" s="9" t="str">
        <f>IF(A265="","",N(B265)+N(C265)+N(D265)-N(E265))</f>
        <v/>
      </c>
      <c r="G265" s="5"/>
      <c r="H265" s="9" t="str">
        <f>IF(OR(A265="",G265=""),"",G265-F265)</f>
        <v/>
      </c>
      <c r="I265" s="9" t="str">
        <f>IF(A265="","",SUMIFS('Ventes du jour'!$E:$E,'Ventes du jour'!$A:$A,A265,'Ventes du jour'!$F:$F,"Mobile money"))</f>
        <v/>
      </c>
      <c r="J265" s="4"/>
    </row>
    <row r="266">
      <c r="A266" s="7"/>
      <c r="B266" s="5"/>
      <c r="C266" s="9" t="str">
        <f>IF(A266="","",SUMIFS('Ventes du jour'!$E:$E,'Ventes du jour'!$A:$A,A266,'Ventes du jour'!$F:$F,"Espèces"))</f>
        <v/>
      </c>
      <c r="D266" s="5"/>
      <c r="E266" s="5"/>
      <c r="F266" s="9" t="str">
        <f>IF(A266="","",N(B266)+N(C266)+N(D266)-N(E266))</f>
        <v/>
      </c>
      <c r="G266" s="5"/>
      <c r="H266" s="9" t="str">
        <f>IF(OR(A266="",G266=""),"",G266-F266)</f>
        <v/>
      </c>
      <c r="I266" s="9" t="str">
        <f>IF(A266="","",SUMIFS('Ventes du jour'!$E:$E,'Ventes du jour'!$A:$A,A266,'Ventes du jour'!$F:$F,"Mobile money"))</f>
        <v/>
      </c>
      <c r="J266" s="4"/>
    </row>
    <row r="267">
      <c r="A267" s="7"/>
      <c r="B267" s="5"/>
      <c r="C267" s="9" t="str">
        <f>IF(A267="","",SUMIFS('Ventes du jour'!$E:$E,'Ventes du jour'!$A:$A,A267,'Ventes du jour'!$F:$F,"Espèces"))</f>
        <v/>
      </c>
      <c r="D267" s="5"/>
      <c r="E267" s="5"/>
      <c r="F267" s="9" t="str">
        <f>IF(A267="","",N(B267)+N(C267)+N(D267)-N(E267))</f>
        <v/>
      </c>
      <c r="G267" s="5"/>
      <c r="H267" s="9" t="str">
        <f>IF(OR(A267="",G267=""),"",G267-F267)</f>
        <v/>
      </c>
      <c r="I267" s="9" t="str">
        <f>IF(A267="","",SUMIFS('Ventes du jour'!$E:$E,'Ventes du jour'!$A:$A,A267,'Ventes du jour'!$F:$F,"Mobile money"))</f>
        <v/>
      </c>
      <c r="J267" s="4"/>
    </row>
    <row r="268">
      <c r="A268" s="7"/>
      <c r="B268" s="5"/>
      <c r="C268" s="9" t="str">
        <f>IF(A268="","",SUMIFS('Ventes du jour'!$E:$E,'Ventes du jour'!$A:$A,A268,'Ventes du jour'!$F:$F,"Espèces"))</f>
        <v/>
      </c>
      <c r="D268" s="5"/>
      <c r="E268" s="5"/>
      <c r="F268" s="9" t="str">
        <f>IF(A268="","",N(B268)+N(C268)+N(D268)-N(E268))</f>
        <v/>
      </c>
      <c r="G268" s="5"/>
      <c r="H268" s="9" t="str">
        <f>IF(OR(A268="",G268=""),"",G268-F268)</f>
        <v/>
      </c>
      <c r="I268" s="9" t="str">
        <f>IF(A268="","",SUMIFS('Ventes du jour'!$E:$E,'Ventes du jour'!$A:$A,A268,'Ventes du jour'!$F:$F,"Mobile money"))</f>
        <v/>
      </c>
      <c r="J268" s="4"/>
    </row>
    <row r="269">
      <c r="A269" s="7"/>
      <c r="B269" s="5"/>
      <c r="C269" s="9" t="str">
        <f>IF(A269="","",SUMIFS('Ventes du jour'!$E:$E,'Ventes du jour'!$A:$A,A269,'Ventes du jour'!$F:$F,"Espèces"))</f>
        <v/>
      </c>
      <c r="D269" s="5"/>
      <c r="E269" s="5"/>
      <c r="F269" s="9" t="str">
        <f>IF(A269="","",N(B269)+N(C269)+N(D269)-N(E269))</f>
        <v/>
      </c>
      <c r="G269" s="5"/>
      <c r="H269" s="9" t="str">
        <f>IF(OR(A269="",G269=""),"",G269-F269)</f>
        <v/>
      </c>
      <c r="I269" s="9" t="str">
        <f>IF(A269="","",SUMIFS('Ventes du jour'!$E:$E,'Ventes du jour'!$A:$A,A269,'Ventes du jour'!$F:$F,"Mobile money"))</f>
        <v/>
      </c>
      <c r="J269" s="4"/>
    </row>
    <row r="270">
      <c r="A270" s="7"/>
      <c r="B270" s="5"/>
      <c r="C270" s="9" t="str">
        <f>IF(A270="","",SUMIFS('Ventes du jour'!$E:$E,'Ventes du jour'!$A:$A,A270,'Ventes du jour'!$F:$F,"Espèces"))</f>
        <v/>
      </c>
      <c r="D270" s="5"/>
      <c r="E270" s="5"/>
      <c r="F270" s="9" t="str">
        <f>IF(A270="","",N(B270)+N(C270)+N(D270)-N(E270))</f>
        <v/>
      </c>
      <c r="G270" s="5"/>
      <c r="H270" s="9" t="str">
        <f>IF(OR(A270="",G270=""),"",G270-F270)</f>
        <v/>
      </c>
      <c r="I270" s="9" t="str">
        <f>IF(A270="","",SUMIFS('Ventes du jour'!$E:$E,'Ventes du jour'!$A:$A,A270,'Ventes du jour'!$F:$F,"Mobile money"))</f>
        <v/>
      </c>
      <c r="J270" s="4"/>
    </row>
    <row r="271">
      <c r="A271" s="7"/>
      <c r="B271" s="5"/>
      <c r="C271" s="9" t="str">
        <f>IF(A271="","",SUMIFS('Ventes du jour'!$E:$E,'Ventes du jour'!$A:$A,A271,'Ventes du jour'!$F:$F,"Espèces"))</f>
        <v/>
      </c>
      <c r="D271" s="5"/>
      <c r="E271" s="5"/>
      <c r="F271" s="9" t="str">
        <f>IF(A271="","",N(B271)+N(C271)+N(D271)-N(E271))</f>
        <v/>
      </c>
      <c r="G271" s="5"/>
      <c r="H271" s="9" t="str">
        <f>IF(OR(A271="",G271=""),"",G271-F271)</f>
        <v/>
      </c>
      <c r="I271" s="9" t="str">
        <f>IF(A271="","",SUMIFS('Ventes du jour'!$E:$E,'Ventes du jour'!$A:$A,A271,'Ventes du jour'!$F:$F,"Mobile money"))</f>
        <v/>
      </c>
      <c r="J271" s="4"/>
    </row>
    <row r="272">
      <c r="A272" s="7"/>
      <c r="B272" s="5"/>
      <c r="C272" s="9" t="str">
        <f>IF(A272="","",SUMIFS('Ventes du jour'!$E:$E,'Ventes du jour'!$A:$A,A272,'Ventes du jour'!$F:$F,"Espèces"))</f>
        <v/>
      </c>
      <c r="D272" s="5"/>
      <c r="E272" s="5"/>
      <c r="F272" s="9" t="str">
        <f>IF(A272="","",N(B272)+N(C272)+N(D272)-N(E272))</f>
        <v/>
      </c>
      <c r="G272" s="5"/>
      <c r="H272" s="9" t="str">
        <f>IF(OR(A272="",G272=""),"",G272-F272)</f>
        <v/>
      </c>
      <c r="I272" s="9" t="str">
        <f>IF(A272="","",SUMIFS('Ventes du jour'!$E:$E,'Ventes du jour'!$A:$A,A272,'Ventes du jour'!$F:$F,"Mobile money"))</f>
        <v/>
      </c>
      <c r="J272" s="4"/>
    </row>
    <row r="273">
      <c r="A273" s="7"/>
      <c r="B273" s="5"/>
      <c r="C273" s="9" t="str">
        <f>IF(A273="","",SUMIFS('Ventes du jour'!$E:$E,'Ventes du jour'!$A:$A,A273,'Ventes du jour'!$F:$F,"Espèces"))</f>
        <v/>
      </c>
      <c r="D273" s="5"/>
      <c r="E273" s="5"/>
      <c r="F273" s="9" t="str">
        <f>IF(A273="","",N(B273)+N(C273)+N(D273)-N(E273))</f>
        <v/>
      </c>
      <c r="G273" s="5"/>
      <c r="H273" s="9" t="str">
        <f>IF(OR(A273="",G273=""),"",G273-F273)</f>
        <v/>
      </c>
      <c r="I273" s="9" t="str">
        <f>IF(A273="","",SUMIFS('Ventes du jour'!$E:$E,'Ventes du jour'!$A:$A,A273,'Ventes du jour'!$F:$F,"Mobile money"))</f>
        <v/>
      </c>
      <c r="J273" s="4"/>
    </row>
    <row r="274">
      <c r="A274" s="7"/>
      <c r="B274" s="5"/>
      <c r="C274" s="9" t="str">
        <f>IF(A274="","",SUMIFS('Ventes du jour'!$E:$E,'Ventes du jour'!$A:$A,A274,'Ventes du jour'!$F:$F,"Espèces"))</f>
        <v/>
      </c>
      <c r="D274" s="5"/>
      <c r="E274" s="5"/>
      <c r="F274" s="9" t="str">
        <f>IF(A274="","",N(B274)+N(C274)+N(D274)-N(E274))</f>
        <v/>
      </c>
      <c r="G274" s="5"/>
      <c r="H274" s="9" t="str">
        <f>IF(OR(A274="",G274=""),"",G274-F274)</f>
        <v/>
      </c>
      <c r="I274" s="9" t="str">
        <f>IF(A274="","",SUMIFS('Ventes du jour'!$E:$E,'Ventes du jour'!$A:$A,A274,'Ventes du jour'!$F:$F,"Mobile money"))</f>
        <v/>
      </c>
      <c r="J274" s="4"/>
    </row>
    <row r="275">
      <c r="A275" s="7"/>
      <c r="B275" s="5"/>
      <c r="C275" s="9" t="str">
        <f>IF(A275="","",SUMIFS('Ventes du jour'!$E:$E,'Ventes du jour'!$A:$A,A275,'Ventes du jour'!$F:$F,"Espèces"))</f>
        <v/>
      </c>
      <c r="D275" s="5"/>
      <c r="E275" s="5"/>
      <c r="F275" s="9" t="str">
        <f>IF(A275="","",N(B275)+N(C275)+N(D275)-N(E275))</f>
        <v/>
      </c>
      <c r="G275" s="5"/>
      <c r="H275" s="9" t="str">
        <f>IF(OR(A275="",G275=""),"",G275-F275)</f>
        <v/>
      </c>
      <c r="I275" s="9" t="str">
        <f>IF(A275="","",SUMIFS('Ventes du jour'!$E:$E,'Ventes du jour'!$A:$A,A275,'Ventes du jour'!$F:$F,"Mobile money"))</f>
        <v/>
      </c>
      <c r="J275" s="4"/>
    </row>
    <row r="276">
      <c r="A276" s="7"/>
      <c r="B276" s="5"/>
      <c r="C276" s="9" t="str">
        <f>IF(A276="","",SUMIFS('Ventes du jour'!$E:$E,'Ventes du jour'!$A:$A,A276,'Ventes du jour'!$F:$F,"Espèces"))</f>
        <v/>
      </c>
      <c r="D276" s="5"/>
      <c r="E276" s="5"/>
      <c r="F276" s="9" t="str">
        <f>IF(A276="","",N(B276)+N(C276)+N(D276)-N(E276))</f>
        <v/>
      </c>
      <c r="G276" s="5"/>
      <c r="H276" s="9" t="str">
        <f>IF(OR(A276="",G276=""),"",G276-F276)</f>
        <v/>
      </c>
      <c r="I276" s="9" t="str">
        <f>IF(A276="","",SUMIFS('Ventes du jour'!$E:$E,'Ventes du jour'!$A:$A,A276,'Ventes du jour'!$F:$F,"Mobile money"))</f>
        <v/>
      </c>
      <c r="J276" s="4"/>
    </row>
    <row r="277">
      <c r="A277" s="7"/>
      <c r="B277" s="5"/>
      <c r="C277" s="9" t="str">
        <f>IF(A277="","",SUMIFS('Ventes du jour'!$E:$E,'Ventes du jour'!$A:$A,A277,'Ventes du jour'!$F:$F,"Espèces"))</f>
        <v/>
      </c>
      <c r="D277" s="5"/>
      <c r="E277" s="5"/>
      <c r="F277" s="9" t="str">
        <f>IF(A277="","",N(B277)+N(C277)+N(D277)-N(E277))</f>
        <v/>
      </c>
      <c r="G277" s="5"/>
      <c r="H277" s="9" t="str">
        <f>IF(OR(A277="",G277=""),"",G277-F277)</f>
        <v/>
      </c>
      <c r="I277" s="9" t="str">
        <f>IF(A277="","",SUMIFS('Ventes du jour'!$E:$E,'Ventes du jour'!$A:$A,A277,'Ventes du jour'!$F:$F,"Mobile money"))</f>
        <v/>
      </c>
      <c r="J277" s="4"/>
    </row>
    <row r="278">
      <c r="A278" s="7"/>
      <c r="B278" s="5"/>
      <c r="C278" s="9" t="str">
        <f>IF(A278="","",SUMIFS('Ventes du jour'!$E:$E,'Ventes du jour'!$A:$A,A278,'Ventes du jour'!$F:$F,"Espèces"))</f>
        <v/>
      </c>
      <c r="D278" s="5"/>
      <c r="E278" s="5"/>
      <c r="F278" s="9" t="str">
        <f>IF(A278="","",N(B278)+N(C278)+N(D278)-N(E278))</f>
        <v/>
      </c>
      <c r="G278" s="5"/>
      <c r="H278" s="9" t="str">
        <f>IF(OR(A278="",G278=""),"",G278-F278)</f>
        <v/>
      </c>
      <c r="I278" s="9" t="str">
        <f>IF(A278="","",SUMIFS('Ventes du jour'!$E:$E,'Ventes du jour'!$A:$A,A278,'Ventes du jour'!$F:$F,"Mobile money"))</f>
        <v/>
      </c>
      <c r="J278" s="4"/>
    </row>
    <row r="279">
      <c r="A279" s="7"/>
      <c r="B279" s="5"/>
      <c r="C279" s="9" t="str">
        <f>IF(A279="","",SUMIFS('Ventes du jour'!$E:$E,'Ventes du jour'!$A:$A,A279,'Ventes du jour'!$F:$F,"Espèces"))</f>
        <v/>
      </c>
      <c r="D279" s="5"/>
      <c r="E279" s="5"/>
      <c r="F279" s="9" t="str">
        <f>IF(A279="","",N(B279)+N(C279)+N(D279)-N(E279))</f>
        <v/>
      </c>
      <c r="G279" s="5"/>
      <c r="H279" s="9" t="str">
        <f>IF(OR(A279="",G279=""),"",G279-F279)</f>
        <v/>
      </c>
      <c r="I279" s="9" t="str">
        <f>IF(A279="","",SUMIFS('Ventes du jour'!$E:$E,'Ventes du jour'!$A:$A,A279,'Ventes du jour'!$F:$F,"Mobile money"))</f>
        <v/>
      </c>
      <c r="J279" s="4"/>
    </row>
    <row r="280">
      <c r="A280" s="7"/>
      <c r="B280" s="5"/>
      <c r="C280" s="9" t="str">
        <f>IF(A280="","",SUMIFS('Ventes du jour'!$E:$E,'Ventes du jour'!$A:$A,A280,'Ventes du jour'!$F:$F,"Espèces"))</f>
        <v/>
      </c>
      <c r="D280" s="5"/>
      <c r="E280" s="5"/>
      <c r="F280" s="9" t="str">
        <f>IF(A280="","",N(B280)+N(C280)+N(D280)-N(E280))</f>
        <v/>
      </c>
      <c r="G280" s="5"/>
      <c r="H280" s="9" t="str">
        <f>IF(OR(A280="",G280=""),"",G280-F280)</f>
        <v/>
      </c>
      <c r="I280" s="9" t="str">
        <f>IF(A280="","",SUMIFS('Ventes du jour'!$E:$E,'Ventes du jour'!$A:$A,A280,'Ventes du jour'!$F:$F,"Mobile money"))</f>
        <v/>
      </c>
      <c r="J280" s="4"/>
    </row>
    <row r="281">
      <c r="A281" s="7"/>
      <c r="B281" s="5"/>
      <c r="C281" s="9" t="str">
        <f>IF(A281="","",SUMIFS('Ventes du jour'!$E:$E,'Ventes du jour'!$A:$A,A281,'Ventes du jour'!$F:$F,"Espèces"))</f>
        <v/>
      </c>
      <c r="D281" s="5"/>
      <c r="E281" s="5"/>
      <c r="F281" s="9" t="str">
        <f>IF(A281="","",N(B281)+N(C281)+N(D281)-N(E281))</f>
        <v/>
      </c>
      <c r="G281" s="5"/>
      <c r="H281" s="9" t="str">
        <f>IF(OR(A281="",G281=""),"",G281-F281)</f>
        <v/>
      </c>
      <c r="I281" s="9" t="str">
        <f>IF(A281="","",SUMIFS('Ventes du jour'!$E:$E,'Ventes du jour'!$A:$A,A281,'Ventes du jour'!$F:$F,"Mobile money"))</f>
        <v/>
      </c>
      <c r="J281" s="4"/>
    </row>
    <row r="282">
      <c r="A282" s="7"/>
      <c r="B282" s="5"/>
      <c r="C282" s="9" t="str">
        <f>IF(A282="","",SUMIFS('Ventes du jour'!$E:$E,'Ventes du jour'!$A:$A,A282,'Ventes du jour'!$F:$F,"Espèces"))</f>
        <v/>
      </c>
      <c r="D282" s="5"/>
      <c r="E282" s="5"/>
      <c r="F282" s="9" t="str">
        <f>IF(A282="","",N(B282)+N(C282)+N(D282)-N(E282))</f>
        <v/>
      </c>
      <c r="G282" s="5"/>
      <c r="H282" s="9" t="str">
        <f>IF(OR(A282="",G282=""),"",G282-F282)</f>
        <v/>
      </c>
      <c r="I282" s="9" t="str">
        <f>IF(A282="","",SUMIFS('Ventes du jour'!$E:$E,'Ventes du jour'!$A:$A,A282,'Ventes du jour'!$F:$F,"Mobile money"))</f>
        <v/>
      </c>
      <c r="J282" s="4"/>
    </row>
    <row r="283">
      <c r="A283" s="7"/>
      <c r="B283" s="5"/>
      <c r="C283" s="9" t="str">
        <f>IF(A283="","",SUMIFS('Ventes du jour'!$E:$E,'Ventes du jour'!$A:$A,A283,'Ventes du jour'!$F:$F,"Espèces"))</f>
        <v/>
      </c>
      <c r="D283" s="5"/>
      <c r="E283" s="5"/>
      <c r="F283" s="9" t="str">
        <f>IF(A283="","",N(B283)+N(C283)+N(D283)-N(E283))</f>
        <v/>
      </c>
      <c r="G283" s="5"/>
      <c r="H283" s="9" t="str">
        <f>IF(OR(A283="",G283=""),"",G283-F283)</f>
        <v/>
      </c>
      <c r="I283" s="9" t="str">
        <f>IF(A283="","",SUMIFS('Ventes du jour'!$E:$E,'Ventes du jour'!$A:$A,A283,'Ventes du jour'!$F:$F,"Mobile money"))</f>
        <v/>
      </c>
      <c r="J283" s="4"/>
    </row>
    <row r="284">
      <c r="A284" s="7"/>
      <c r="B284" s="5"/>
      <c r="C284" s="9" t="str">
        <f>IF(A284="","",SUMIFS('Ventes du jour'!$E:$E,'Ventes du jour'!$A:$A,A284,'Ventes du jour'!$F:$F,"Espèces"))</f>
        <v/>
      </c>
      <c r="D284" s="5"/>
      <c r="E284" s="5"/>
      <c r="F284" s="9" t="str">
        <f>IF(A284="","",N(B284)+N(C284)+N(D284)-N(E284))</f>
        <v/>
      </c>
      <c r="G284" s="5"/>
      <c r="H284" s="9" t="str">
        <f>IF(OR(A284="",G284=""),"",G284-F284)</f>
        <v/>
      </c>
      <c r="I284" s="9" t="str">
        <f>IF(A284="","",SUMIFS('Ventes du jour'!$E:$E,'Ventes du jour'!$A:$A,A284,'Ventes du jour'!$F:$F,"Mobile money"))</f>
        <v/>
      </c>
      <c r="J284" s="4"/>
    </row>
    <row r="285">
      <c r="A285" s="7"/>
      <c r="B285" s="5"/>
      <c r="C285" s="9" t="str">
        <f>IF(A285="","",SUMIFS('Ventes du jour'!$E:$E,'Ventes du jour'!$A:$A,A285,'Ventes du jour'!$F:$F,"Espèces"))</f>
        <v/>
      </c>
      <c r="D285" s="5"/>
      <c r="E285" s="5"/>
      <c r="F285" s="9" t="str">
        <f>IF(A285="","",N(B285)+N(C285)+N(D285)-N(E285))</f>
        <v/>
      </c>
      <c r="G285" s="5"/>
      <c r="H285" s="9" t="str">
        <f>IF(OR(A285="",G285=""),"",G285-F285)</f>
        <v/>
      </c>
      <c r="I285" s="9" t="str">
        <f>IF(A285="","",SUMIFS('Ventes du jour'!$E:$E,'Ventes du jour'!$A:$A,A285,'Ventes du jour'!$F:$F,"Mobile money"))</f>
        <v/>
      </c>
      <c r="J285" s="4"/>
    </row>
    <row r="286">
      <c r="A286" s="7"/>
      <c r="B286" s="5"/>
      <c r="C286" s="9" t="str">
        <f>IF(A286="","",SUMIFS('Ventes du jour'!$E:$E,'Ventes du jour'!$A:$A,A286,'Ventes du jour'!$F:$F,"Espèces"))</f>
        <v/>
      </c>
      <c r="D286" s="5"/>
      <c r="E286" s="5"/>
      <c r="F286" s="9" t="str">
        <f>IF(A286="","",N(B286)+N(C286)+N(D286)-N(E286))</f>
        <v/>
      </c>
      <c r="G286" s="5"/>
      <c r="H286" s="9" t="str">
        <f>IF(OR(A286="",G286=""),"",G286-F286)</f>
        <v/>
      </c>
      <c r="I286" s="9" t="str">
        <f>IF(A286="","",SUMIFS('Ventes du jour'!$E:$E,'Ventes du jour'!$A:$A,A286,'Ventes du jour'!$F:$F,"Mobile money"))</f>
        <v/>
      </c>
      <c r="J286" s="4"/>
    </row>
    <row r="287">
      <c r="A287" s="7"/>
      <c r="B287" s="5"/>
      <c r="C287" s="9" t="str">
        <f>IF(A287="","",SUMIFS('Ventes du jour'!$E:$E,'Ventes du jour'!$A:$A,A287,'Ventes du jour'!$F:$F,"Espèces"))</f>
        <v/>
      </c>
      <c r="D287" s="5"/>
      <c r="E287" s="5"/>
      <c r="F287" s="9" t="str">
        <f>IF(A287="","",N(B287)+N(C287)+N(D287)-N(E287))</f>
        <v/>
      </c>
      <c r="G287" s="5"/>
      <c r="H287" s="9" t="str">
        <f>IF(OR(A287="",G287=""),"",G287-F287)</f>
        <v/>
      </c>
      <c r="I287" s="9" t="str">
        <f>IF(A287="","",SUMIFS('Ventes du jour'!$E:$E,'Ventes du jour'!$A:$A,A287,'Ventes du jour'!$F:$F,"Mobile money"))</f>
        <v/>
      </c>
      <c r="J287" s="4"/>
    </row>
    <row r="288">
      <c r="A288" s="7"/>
      <c r="B288" s="5"/>
      <c r="C288" s="9" t="str">
        <f>IF(A288="","",SUMIFS('Ventes du jour'!$E:$E,'Ventes du jour'!$A:$A,A288,'Ventes du jour'!$F:$F,"Espèces"))</f>
        <v/>
      </c>
      <c r="D288" s="5"/>
      <c r="E288" s="5"/>
      <c r="F288" s="9" t="str">
        <f>IF(A288="","",N(B288)+N(C288)+N(D288)-N(E288))</f>
        <v/>
      </c>
      <c r="G288" s="5"/>
      <c r="H288" s="9" t="str">
        <f>IF(OR(A288="",G288=""),"",G288-F288)</f>
        <v/>
      </c>
      <c r="I288" s="9" t="str">
        <f>IF(A288="","",SUMIFS('Ventes du jour'!$E:$E,'Ventes du jour'!$A:$A,A288,'Ventes du jour'!$F:$F,"Mobile money"))</f>
        <v/>
      </c>
      <c r="J288" s="4"/>
    </row>
    <row r="289">
      <c r="A289" s="7"/>
      <c r="B289" s="5"/>
      <c r="C289" s="9" t="str">
        <f>IF(A289="","",SUMIFS('Ventes du jour'!$E:$E,'Ventes du jour'!$A:$A,A289,'Ventes du jour'!$F:$F,"Espèces"))</f>
        <v/>
      </c>
      <c r="D289" s="5"/>
      <c r="E289" s="5"/>
      <c r="F289" s="9" t="str">
        <f>IF(A289="","",N(B289)+N(C289)+N(D289)-N(E289))</f>
        <v/>
      </c>
      <c r="G289" s="5"/>
      <c r="H289" s="9" t="str">
        <f>IF(OR(A289="",G289=""),"",G289-F289)</f>
        <v/>
      </c>
      <c r="I289" s="9" t="str">
        <f>IF(A289="","",SUMIFS('Ventes du jour'!$E:$E,'Ventes du jour'!$A:$A,A289,'Ventes du jour'!$F:$F,"Mobile money"))</f>
        <v/>
      </c>
      <c r="J289" s="4"/>
    </row>
    <row r="290">
      <c r="A290" s="7"/>
      <c r="B290" s="5"/>
      <c r="C290" s="9" t="str">
        <f>IF(A290="","",SUMIFS('Ventes du jour'!$E:$E,'Ventes du jour'!$A:$A,A290,'Ventes du jour'!$F:$F,"Espèces"))</f>
        <v/>
      </c>
      <c r="D290" s="5"/>
      <c r="E290" s="5"/>
      <c r="F290" s="9" t="str">
        <f>IF(A290="","",N(B290)+N(C290)+N(D290)-N(E290))</f>
        <v/>
      </c>
      <c r="G290" s="5"/>
      <c r="H290" s="9" t="str">
        <f>IF(OR(A290="",G290=""),"",G290-F290)</f>
        <v/>
      </c>
      <c r="I290" s="9" t="str">
        <f>IF(A290="","",SUMIFS('Ventes du jour'!$E:$E,'Ventes du jour'!$A:$A,A290,'Ventes du jour'!$F:$F,"Mobile money"))</f>
        <v/>
      </c>
      <c r="J290" s="4"/>
    </row>
    <row r="291">
      <c r="A291" s="7"/>
      <c r="B291" s="5"/>
      <c r="C291" s="9" t="str">
        <f>IF(A291="","",SUMIFS('Ventes du jour'!$E:$E,'Ventes du jour'!$A:$A,A291,'Ventes du jour'!$F:$F,"Espèces"))</f>
        <v/>
      </c>
      <c r="D291" s="5"/>
      <c r="E291" s="5"/>
      <c r="F291" s="9" t="str">
        <f>IF(A291="","",N(B291)+N(C291)+N(D291)-N(E291))</f>
        <v/>
      </c>
      <c r="G291" s="5"/>
      <c r="H291" s="9" t="str">
        <f>IF(OR(A291="",G291=""),"",G291-F291)</f>
        <v/>
      </c>
      <c r="I291" s="9" t="str">
        <f>IF(A291="","",SUMIFS('Ventes du jour'!$E:$E,'Ventes du jour'!$A:$A,A291,'Ventes du jour'!$F:$F,"Mobile money"))</f>
        <v/>
      </c>
      <c r="J291" s="4"/>
    </row>
    <row r="292">
      <c r="A292" s="7"/>
      <c r="B292" s="5"/>
      <c r="C292" s="9" t="str">
        <f>IF(A292="","",SUMIFS('Ventes du jour'!$E:$E,'Ventes du jour'!$A:$A,A292,'Ventes du jour'!$F:$F,"Espèces"))</f>
        <v/>
      </c>
      <c r="D292" s="5"/>
      <c r="E292" s="5"/>
      <c r="F292" s="9" t="str">
        <f>IF(A292="","",N(B292)+N(C292)+N(D292)-N(E292))</f>
        <v/>
      </c>
      <c r="G292" s="5"/>
      <c r="H292" s="9" t="str">
        <f>IF(OR(A292="",G292=""),"",G292-F292)</f>
        <v/>
      </c>
      <c r="I292" s="9" t="str">
        <f>IF(A292="","",SUMIFS('Ventes du jour'!$E:$E,'Ventes du jour'!$A:$A,A292,'Ventes du jour'!$F:$F,"Mobile money"))</f>
        <v/>
      </c>
      <c r="J292" s="4"/>
    </row>
    <row r="293">
      <c r="A293" s="7"/>
      <c r="B293" s="5"/>
      <c r="C293" s="9" t="str">
        <f>IF(A293="","",SUMIFS('Ventes du jour'!$E:$E,'Ventes du jour'!$A:$A,A293,'Ventes du jour'!$F:$F,"Espèces"))</f>
        <v/>
      </c>
      <c r="D293" s="5"/>
      <c r="E293" s="5"/>
      <c r="F293" s="9" t="str">
        <f>IF(A293="","",N(B293)+N(C293)+N(D293)-N(E293))</f>
        <v/>
      </c>
      <c r="G293" s="5"/>
      <c r="H293" s="9" t="str">
        <f>IF(OR(A293="",G293=""),"",G293-F293)</f>
        <v/>
      </c>
      <c r="I293" s="9" t="str">
        <f>IF(A293="","",SUMIFS('Ventes du jour'!$E:$E,'Ventes du jour'!$A:$A,A293,'Ventes du jour'!$F:$F,"Mobile money"))</f>
        <v/>
      </c>
      <c r="J293" s="4"/>
    </row>
    <row r="294">
      <c r="A294" s="7"/>
      <c r="B294" s="5"/>
      <c r="C294" s="9" t="str">
        <f>IF(A294="","",SUMIFS('Ventes du jour'!$E:$E,'Ventes du jour'!$A:$A,A294,'Ventes du jour'!$F:$F,"Espèces"))</f>
        <v/>
      </c>
      <c r="D294" s="5"/>
      <c r="E294" s="5"/>
      <c r="F294" s="9" t="str">
        <f>IF(A294="","",N(B294)+N(C294)+N(D294)-N(E294))</f>
        <v/>
      </c>
      <c r="G294" s="5"/>
      <c r="H294" s="9" t="str">
        <f>IF(OR(A294="",G294=""),"",G294-F294)</f>
        <v/>
      </c>
      <c r="I294" s="9" t="str">
        <f>IF(A294="","",SUMIFS('Ventes du jour'!$E:$E,'Ventes du jour'!$A:$A,A294,'Ventes du jour'!$F:$F,"Mobile money"))</f>
        <v/>
      </c>
      <c r="J294" s="4"/>
    </row>
    <row r="295">
      <c r="A295" s="7"/>
      <c r="B295" s="5"/>
      <c r="C295" s="9" t="str">
        <f>IF(A295="","",SUMIFS('Ventes du jour'!$E:$E,'Ventes du jour'!$A:$A,A295,'Ventes du jour'!$F:$F,"Espèces"))</f>
        <v/>
      </c>
      <c r="D295" s="5"/>
      <c r="E295" s="5"/>
      <c r="F295" s="9" t="str">
        <f>IF(A295="","",N(B295)+N(C295)+N(D295)-N(E295))</f>
        <v/>
      </c>
      <c r="G295" s="5"/>
      <c r="H295" s="9" t="str">
        <f>IF(OR(A295="",G295=""),"",G295-F295)</f>
        <v/>
      </c>
      <c r="I295" s="9" t="str">
        <f>IF(A295="","",SUMIFS('Ventes du jour'!$E:$E,'Ventes du jour'!$A:$A,A295,'Ventes du jour'!$F:$F,"Mobile money"))</f>
        <v/>
      </c>
      <c r="J295" s="4"/>
    </row>
    <row r="296">
      <c r="A296" s="7"/>
      <c r="B296" s="5"/>
      <c r="C296" s="9" t="str">
        <f>IF(A296="","",SUMIFS('Ventes du jour'!$E:$E,'Ventes du jour'!$A:$A,A296,'Ventes du jour'!$F:$F,"Espèces"))</f>
        <v/>
      </c>
      <c r="D296" s="5"/>
      <c r="E296" s="5"/>
      <c r="F296" s="9" t="str">
        <f>IF(A296="","",N(B296)+N(C296)+N(D296)-N(E296))</f>
        <v/>
      </c>
      <c r="G296" s="5"/>
      <c r="H296" s="9" t="str">
        <f>IF(OR(A296="",G296=""),"",G296-F296)</f>
        <v/>
      </c>
      <c r="I296" s="9" t="str">
        <f>IF(A296="","",SUMIFS('Ventes du jour'!$E:$E,'Ventes du jour'!$A:$A,A296,'Ventes du jour'!$F:$F,"Mobile money"))</f>
        <v/>
      </c>
      <c r="J296" s="4"/>
    </row>
    <row r="297">
      <c r="A297" s="7"/>
      <c r="B297" s="5"/>
      <c r="C297" s="9" t="str">
        <f>IF(A297="","",SUMIFS('Ventes du jour'!$E:$E,'Ventes du jour'!$A:$A,A297,'Ventes du jour'!$F:$F,"Espèces"))</f>
        <v/>
      </c>
      <c r="D297" s="5"/>
      <c r="E297" s="5"/>
      <c r="F297" s="9" t="str">
        <f>IF(A297="","",N(B297)+N(C297)+N(D297)-N(E297))</f>
        <v/>
      </c>
      <c r="G297" s="5"/>
      <c r="H297" s="9" t="str">
        <f>IF(OR(A297="",G297=""),"",G297-F297)</f>
        <v/>
      </c>
      <c r="I297" s="9" t="str">
        <f>IF(A297="","",SUMIFS('Ventes du jour'!$E:$E,'Ventes du jour'!$A:$A,A297,'Ventes du jour'!$F:$F,"Mobile money"))</f>
        <v/>
      </c>
      <c r="J297" s="4"/>
    </row>
    <row r="298">
      <c r="A298" s="7"/>
      <c r="B298" s="5"/>
      <c r="C298" s="9" t="str">
        <f>IF(A298="","",SUMIFS('Ventes du jour'!$E:$E,'Ventes du jour'!$A:$A,A298,'Ventes du jour'!$F:$F,"Espèces"))</f>
        <v/>
      </c>
      <c r="D298" s="5"/>
      <c r="E298" s="5"/>
      <c r="F298" s="9" t="str">
        <f>IF(A298="","",N(B298)+N(C298)+N(D298)-N(E298))</f>
        <v/>
      </c>
      <c r="G298" s="5"/>
      <c r="H298" s="9" t="str">
        <f>IF(OR(A298="",G298=""),"",G298-F298)</f>
        <v/>
      </c>
      <c r="I298" s="9" t="str">
        <f>IF(A298="","",SUMIFS('Ventes du jour'!$E:$E,'Ventes du jour'!$A:$A,A298,'Ventes du jour'!$F:$F,"Mobile money"))</f>
        <v/>
      </c>
      <c r="J298" s="4"/>
    </row>
    <row r="299">
      <c r="A299" s="7"/>
      <c r="B299" s="5"/>
      <c r="C299" s="9" t="str">
        <f>IF(A299="","",SUMIFS('Ventes du jour'!$E:$E,'Ventes du jour'!$A:$A,A299,'Ventes du jour'!$F:$F,"Espèces"))</f>
        <v/>
      </c>
      <c r="D299" s="5"/>
      <c r="E299" s="5"/>
      <c r="F299" s="9" t="str">
        <f>IF(A299="","",N(B299)+N(C299)+N(D299)-N(E299))</f>
        <v/>
      </c>
      <c r="G299" s="5"/>
      <c r="H299" s="9" t="str">
        <f>IF(OR(A299="",G299=""),"",G299-F299)</f>
        <v/>
      </c>
      <c r="I299" s="9" t="str">
        <f>IF(A299="","",SUMIFS('Ventes du jour'!$E:$E,'Ventes du jour'!$A:$A,A299,'Ventes du jour'!$F:$F,"Mobile money"))</f>
        <v/>
      </c>
      <c r="J299" s="4"/>
    </row>
    <row r="300">
      <c r="A300" s="7"/>
      <c r="B300" s="5"/>
      <c r="C300" s="9" t="str">
        <f>IF(A300="","",SUMIFS('Ventes du jour'!$E:$E,'Ventes du jour'!$A:$A,A300,'Ventes du jour'!$F:$F,"Espèces"))</f>
        <v/>
      </c>
      <c r="D300" s="5"/>
      <c r="E300" s="5"/>
      <c r="F300" s="9" t="str">
        <f>IF(A300="","",N(B300)+N(C300)+N(D300)-N(E300))</f>
        <v/>
      </c>
      <c r="G300" s="5"/>
      <c r="H300" s="9" t="str">
        <f>IF(OR(A300="",G300=""),"",G300-F300)</f>
        <v/>
      </c>
      <c r="I300" s="9" t="str">
        <f>IF(A300="","",SUMIFS('Ventes du jour'!$E:$E,'Ventes du jour'!$A:$A,A300,'Ventes du jour'!$F:$F,"Mobile money"))</f>
        <v/>
      </c>
      <c r="J300" s="4"/>
    </row>
    <row r="301">
      <c r="A301" s="7"/>
      <c r="B301" s="5"/>
      <c r="C301" s="9" t="str">
        <f>IF(A301="","",SUMIFS('Ventes du jour'!$E:$E,'Ventes du jour'!$A:$A,A301,'Ventes du jour'!$F:$F,"Espèces"))</f>
        <v/>
      </c>
      <c r="D301" s="5"/>
      <c r="E301" s="5"/>
      <c r="F301" s="9" t="str">
        <f>IF(A301="","",N(B301)+N(C301)+N(D301)-N(E301))</f>
        <v/>
      </c>
      <c r="G301" s="5"/>
      <c r="H301" s="9" t="str">
        <f>IF(OR(A301="",G301=""),"",G301-F301)</f>
        <v/>
      </c>
      <c r="I301" s="9" t="str">
        <f>IF(A301="","",SUMIFS('Ventes du jour'!$E:$E,'Ventes du jour'!$A:$A,A301,'Ventes du jour'!$F:$F,"Mobile money"))</f>
        <v/>
      </c>
      <c r="J301" s="4"/>
    </row>
    <row r="302">
      <c r="A302" s="7"/>
      <c r="B302" s="5"/>
      <c r="C302" s="9" t="str">
        <f>IF(A302="","",SUMIFS('Ventes du jour'!$E:$E,'Ventes du jour'!$A:$A,A302,'Ventes du jour'!$F:$F,"Espèces"))</f>
        <v/>
      </c>
      <c r="D302" s="5"/>
      <c r="E302" s="5"/>
      <c r="F302" s="9" t="str">
        <f>IF(A302="","",N(B302)+N(C302)+N(D302)-N(E302))</f>
        <v/>
      </c>
      <c r="G302" s="5"/>
      <c r="H302" s="9" t="str">
        <f>IF(OR(A302="",G302=""),"",G302-F302)</f>
        <v/>
      </c>
      <c r="I302" s="9" t="str">
        <f>IF(A302="","",SUMIFS('Ventes du jour'!$E:$E,'Ventes du jour'!$A:$A,A302,'Ventes du jour'!$F:$F,"Mobile money"))</f>
        <v/>
      </c>
      <c r="J302" s="4"/>
    </row>
    <row r="303">
      <c r="A303" s="7"/>
      <c r="B303" s="5"/>
      <c r="C303" s="9" t="str">
        <f>IF(A303="","",SUMIFS('Ventes du jour'!$E:$E,'Ventes du jour'!$A:$A,A303,'Ventes du jour'!$F:$F,"Espèces"))</f>
        <v/>
      </c>
      <c r="D303" s="5"/>
      <c r="E303" s="5"/>
      <c r="F303" s="9" t="str">
        <f>IF(A303="","",N(B303)+N(C303)+N(D303)-N(E303))</f>
        <v/>
      </c>
      <c r="G303" s="5"/>
      <c r="H303" s="9" t="str">
        <f>IF(OR(A303="",G303=""),"",G303-F303)</f>
        <v/>
      </c>
      <c r="I303" s="9" t="str">
        <f>IF(A303="","",SUMIFS('Ventes du jour'!$E:$E,'Ventes du jour'!$A:$A,A303,'Ventes du jour'!$F:$F,"Mobile money"))</f>
        <v/>
      </c>
      <c r="J303" s="4"/>
    </row>
    <row r="304">
      <c r="A304" s="7"/>
      <c r="B304" s="5"/>
      <c r="C304" s="9" t="str">
        <f>IF(A304="","",SUMIFS('Ventes du jour'!$E:$E,'Ventes du jour'!$A:$A,A304,'Ventes du jour'!$F:$F,"Espèces"))</f>
        <v/>
      </c>
      <c r="D304" s="5"/>
      <c r="E304" s="5"/>
      <c r="F304" s="9" t="str">
        <f>IF(A304="","",N(B304)+N(C304)+N(D304)-N(E304))</f>
        <v/>
      </c>
      <c r="G304" s="5"/>
      <c r="H304" s="9" t="str">
        <f>IF(OR(A304="",G304=""),"",G304-F304)</f>
        <v/>
      </c>
      <c r="I304" s="9" t="str">
        <f>IF(A304="","",SUMIFS('Ventes du jour'!$E:$E,'Ventes du jour'!$A:$A,A304,'Ventes du jour'!$F:$F,"Mobile money"))</f>
        <v/>
      </c>
      <c r="J304" s="4"/>
    </row>
    <row r="305">
      <c r="A305" s="7"/>
      <c r="B305" s="5"/>
      <c r="C305" s="9" t="str">
        <f>IF(A305="","",SUMIFS('Ventes du jour'!$E:$E,'Ventes du jour'!$A:$A,A305,'Ventes du jour'!$F:$F,"Espèces"))</f>
        <v/>
      </c>
      <c r="D305" s="5"/>
      <c r="E305" s="5"/>
      <c r="F305" s="9" t="str">
        <f>IF(A305="","",N(B305)+N(C305)+N(D305)-N(E305))</f>
        <v/>
      </c>
      <c r="G305" s="5"/>
      <c r="H305" s="9" t="str">
        <f>IF(OR(A305="",G305=""),"",G305-F305)</f>
        <v/>
      </c>
      <c r="I305" s="9" t="str">
        <f>IF(A305="","",SUMIFS('Ventes du jour'!$E:$E,'Ventes du jour'!$A:$A,A305,'Ventes du jour'!$F:$F,"Mobile money"))</f>
        <v/>
      </c>
      <c r="J305" s="4"/>
    </row>
    <row r="306">
      <c r="A306" s="7"/>
      <c r="B306" s="5"/>
      <c r="C306" s="9" t="str">
        <f>IF(A306="","",SUMIFS('Ventes du jour'!$E:$E,'Ventes du jour'!$A:$A,A306,'Ventes du jour'!$F:$F,"Espèces"))</f>
        <v/>
      </c>
      <c r="D306" s="5"/>
      <c r="E306" s="5"/>
      <c r="F306" s="9" t="str">
        <f>IF(A306="","",N(B306)+N(C306)+N(D306)-N(E306))</f>
        <v/>
      </c>
      <c r="G306" s="5"/>
      <c r="H306" s="9" t="str">
        <f>IF(OR(A306="",G306=""),"",G306-F306)</f>
        <v/>
      </c>
      <c r="I306" s="9" t="str">
        <f>IF(A306="","",SUMIFS('Ventes du jour'!$E:$E,'Ventes du jour'!$A:$A,A306,'Ventes du jour'!$F:$F,"Mobile money"))</f>
        <v/>
      </c>
      <c r="J306" s="4"/>
    </row>
    <row r="307">
      <c r="A307" s="7"/>
      <c r="B307" s="5"/>
      <c r="C307" s="9" t="str">
        <f>IF(A307="","",SUMIFS('Ventes du jour'!$E:$E,'Ventes du jour'!$A:$A,A307,'Ventes du jour'!$F:$F,"Espèces"))</f>
        <v/>
      </c>
      <c r="D307" s="5"/>
      <c r="E307" s="5"/>
      <c r="F307" s="9" t="str">
        <f>IF(A307="","",N(B307)+N(C307)+N(D307)-N(E307))</f>
        <v/>
      </c>
      <c r="G307" s="5"/>
      <c r="H307" s="9" t="str">
        <f>IF(OR(A307="",G307=""),"",G307-F307)</f>
        <v/>
      </c>
      <c r="I307" s="9" t="str">
        <f>IF(A307="","",SUMIFS('Ventes du jour'!$E:$E,'Ventes du jour'!$A:$A,A307,'Ventes du jour'!$F:$F,"Mobile money"))</f>
        <v/>
      </c>
      <c r="J307" s="4"/>
    </row>
    <row r="308">
      <c r="A308" s="7"/>
      <c r="B308" s="5"/>
      <c r="C308" s="9" t="str">
        <f>IF(A308="","",SUMIFS('Ventes du jour'!$E:$E,'Ventes du jour'!$A:$A,A308,'Ventes du jour'!$F:$F,"Espèces"))</f>
        <v/>
      </c>
      <c r="D308" s="5"/>
      <c r="E308" s="5"/>
      <c r="F308" s="9" t="str">
        <f>IF(A308="","",N(B308)+N(C308)+N(D308)-N(E308))</f>
        <v/>
      </c>
      <c r="G308" s="5"/>
      <c r="H308" s="9" t="str">
        <f>IF(OR(A308="",G308=""),"",G308-F308)</f>
        <v/>
      </c>
      <c r="I308" s="9" t="str">
        <f>IF(A308="","",SUMIFS('Ventes du jour'!$E:$E,'Ventes du jour'!$A:$A,A308,'Ventes du jour'!$F:$F,"Mobile money"))</f>
        <v/>
      </c>
      <c r="J308" s="4"/>
    </row>
    <row r="309">
      <c r="A309" s="7"/>
      <c r="B309" s="5"/>
      <c r="C309" s="9" t="str">
        <f>IF(A309="","",SUMIFS('Ventes du jour'!$E:$E,'Ventes du jour'!$A:$A,A309,'Ventes du jour'!$F:$F,"Espèces"))</f>
        <v/>
      </c>
      <c r="D309" s="5"/>
      <c r="E309" s="5"/>
      <c r="F309" s="9" t="str">
        <f>IF(A309="","",N(B309)+N(C309)+N(D309)-N(E309))</f>
        <v/>
      </c>
      <c r="G309" s="5"/>
      <c r="H309" s="9" t="str">
        <f>IF(OR(A309="",G309=""),"",G309-F309)</f>
        <v/>
      </c>
      <c r="I309" s="9" t="str">
        <f>IF(A309="","",SUMIFS('Ventes du jour'!$E:$E,'Ventes du jour'!$A:$A,A309,'Ventes du jour'!$F:$F,"Mobile money"))</f>
        <v/>
      </c>
      <c r="J309" s="4"/>
    </row>
    <row r="310">
      <c r="A310" s="7"/>
      <c r="B310" s="5"/>
      <c r="C310" s="9" t="str">
        <f>IF(A310="","",SUMIFS('Ventes du jour'!$E:$E,'Ventes du jour'!$A:$A,A310,'Ventes du jour'!$F:$F,"Espèces"))</f>
        <v/>
      </c>
      <c r="D310" s="5"/>
      <c r="E310" s="5"/>
      <c r="F310" s="9" t="str">
        <f>IF(A310="","",N(B310)+N(C310)+N(D310)-N(E310))</f>
        <v/>
      </c>
      <c r="G310" s="5"/>
      <c r="H310" s="9" t="str">
        <f>IF(OR(A310="",G310=""),"",G310-F310)</f>
        <v/>
      </c>
      <c r="I310" s="9" t="str">
        <f>IF(A310="","",SUMIFS('Ventes du jour'!$E:$E,'Ventes du jour'!$A:$A,A310,'Ventes du jour'!$F:$F,"Mobile money"))</f>
        <v/>
      </c>
      <c r="J310" s="4"/>
    </row>
    <row r="311">
      <c r="A311" s="7"/>
      <c r="B311" s="5"/>
      <c r="C311" s="9" t="str">
        <f>IF(A311="","",SUMIFS('Ventes du jour'!$E:$E,'Ventes du jour'!$A:$A,A311,'Ventes du jour'!$F:$F,"Espèces"))</f>
        <v/>
      </c>
      <c r="D311" s="5"/>
      <c r="E311" s="5"/>
      <c r="F311" s="9" t="str">
        <f>IF(A311="","",N(B311)+N(C311)+N(D311)-N(E311))</f>
        <v/>
      </c>
      <c r="G311" s="5"/>
      <c r="H311" s="9" t="str">
        <f>IF(OR(A311="",G311=""),"",G311-F311)</f>
        <v/>
      </c>
      <c r="I311" s="9" t="str">
        <f>IF(A311="","",SUMIFS('Ventes du jour'!$E:$E,'Ventes du jour'!$A:$A,A311,'Ventes du jour'!$F:$F,"Mobile money"))</f>
        <v/>
      </c>
      <c r="J311" s="4"/>
    </row>
    <row r="312">
      <c r="A312" s="7"/>
      <c r="B312" s="5"/>
      <c r="C312" s="9" t="str">
        <f>IF(A312="","",SUMIFS('Ventes du jour'!$E:$E,'Ventes du jour'!$A:$A,A312,'Ventes du jour'!$F:$F,"Espèces"))</f>
        <v/>
      </c>
      <c r="D312" s="5"/>
      <c r="E312" s="5"/>
      <c r="F312" s="9" t="str">
        <f>IF(A312="","",N(B312)+N(C312)+N(D312)-N(E312))</f>
        <v/>
      </c>
      <c r="G312" s="5"/>
      <c r="H312" s="9" t="str">
        <f>IF(OR(A312="",G312=""),"",G312-F312)</f>
        <v/>
      </c>
      <c r="I312" s="9" t="str">
        <f>IF(A312="","",SUMIFS('Ventes du jour'!$E:$E,'Ventes du jour'!$A:$A,A312,'Ventes du jour'!$F:$F,"Mobile money"))</f>
        <v/>
      </c>
      <c r="J312" s="4"/>
    </row>
    <row r="313">
      <c r="A313" s="7"/>
      <c r="B313" s="5"/>
      <c r="C313" s="9" t="str">
        <f>IF(A313="","",SUMIFS('Ventes du jour'!$E:$E,'Ventes du jour'!$A:$A,A313,'Ventes du jour'!$F:$F,"Espèces"))</f>
        <v/>
      </c>
      <c r="D313" s="5"/>
      <c r="E313" s="5"/>
      <c r="F313" s="9" t="str">
        <f>IF(A313="","",N(B313)+N(C313)+N(D313)-N(E313))</f>
        <v/>
      </c>
      <c r="G313" s="5"/>
      <c r="H313" s="9" t="str">
        <f>IF(OR(A313="",G313=""),"",G313-F313)</f>
        <v/>
      </c>
      <c r="I313" s="9" t="str">
        <f>IF(A313="","",SUMIFS('Ventes du jour'!$E:$E,'Ventes du jour'!$A:$A,A313,'Ventes du jour'!$F:$F,"Mobile money"))</f>
        <v/>
      </c>
      <c r="J313" s="4"/>
    </row>
    <row r="314">
      <c r="A314" s="7"/>
      <c r="B314" s="5"/>
      <c r="C314" s="9" t="str">
        <f>IF(A314="","",SUMIFS('Ventes du jour'!$E:$E,'Ventes du jour'!$A:$A,A314,'Ventes du jour'!$F:$F,"Espèces"))</f>
        <v/>
      </c>
      <c r="D314" s="5"/>
      <c r="E314" s="5"/>
      <c r="F314" s="9" t="str">
        <f>IF(A314="","",N(B314)+N(C314)+N(D314)-N(E314))</f>
        <v/>
      </c>
      <c r="G314" s="5"/>
      <c r="H314" s="9" t="str">
        <f>IF(OR(A314="",G314=""),"",G314-F314)</f>
        <v/>
      </c>
      <c r="I314" s="9" t="str">
        <f>IF(A314="","",SUMIFS('Ventes du jour'!$E:$E,'Ventes du jour'!$A:$A,A314,'Ventes du jour'!$F:$F,"Mobile money"))</f>
        <v/>
      </c>
      <c r="J314" s="4"/>
    </row>
    <row r="315">
      <c r="A315" s="7"/>
      <c r="B315" s="5"/>
      <c r="C315" s="9" t="str">
        <f>IF(A315="","",SUMIFS('Ventes du jour'!$E:$E,'Ventes du jour'!$A:$A,A315,'Ventes du jour'!$F:$F,"Espèces"))</f>
        <v/>
      </c>
      <c r="D315" s="5"/>
      <c r="E315" s="5"/>
      <c r="F315" s="9" t="str">
        <f>IF(A315="","",N(B315)+N(C315)+N(D315)-N(E315))</f>
        <v/>
      </c>
      <c r="G315" s="5"/>
      <c r="H315" s="9" t="str">
        <f>IF(OR(A315="",G315=""),"",G315-F315)</f>
        <v/>
      </c>
      <c r="I315" s="9" t="str">
        <f>IF(A315="","",SUMIFS('Ventes du jour'!$E:$E,'Ventes du jour'!$A:$A,A315,'Ventes du jour'!$F:$F,"Mobile money"))</f>
        <v/>
      </c>
      <c r="J315" s="4"/>
    </row>
    <row r="316">
      <c r="A316" s="7"/>
      <c r="B316" s="5"/>
      <c r="C316" s="9" t="str">
        <f>IF(A316="","",SUMIFS('Ventes du jour'!$E:$E,'Ventes du jour'!$A:$A,A316,'Ventes du jour'!$F:$F,"Espèces"))</f>
        <v/>
      </c>
      <c r="D316" s="5"/>
      <c r="E316" s="5"/>
      <c r="F316" s="9" t="str">
        <f>IF(A316="","",N(B316)+N(C316)+N(D316)-N(E316))</f>
        <v/>
      </c>
      <c r="G316" s="5"/>
      <c r="H316" s="9" t="str">
        <f>IF(OR(A316="",G316=""),"",G316-F316)</f>
        <v/>
      </c>
      <c r="I316" s="9" t="str">
        <f>IF(A316="","",SUMIFS('Ventes du jour'!$E:$E,'Ventes du jour'!$A:$A,A316,'Ventes du jour'!$F:$F,"Mobile money"))</f>
        <v/>
      </c>
      <c r="J316" s="4"/>
    </row>
    <row r="317">
      <c r="A317" s="7"/>
      <c r="B317" s="5"/>
      <c r="C317" s="9" t="str">
        <f>IF(A317="","",SUMIFS('Ventes du jour'!$E:$E,'Ventes du jour'!$A:$A,A317,'Ventes du jour'!$F:$F,"Espèces"))</f>
        <v/>
      </c>
      <c r="D317" s="5"/>
      <c r="E317" s="5"/>
      <c r="F317" s="9" t="str">
        <f>IF(A317="","",N(B317)+N(C317)+N(D317)-N(E317))</f>
        <v/>
      </c>
      <c r="G317" s="5"/>
      <c r="H317" s="9" t="str">
        <f>IF(OR(A317="",G317=""),"",G317-F317)</f>
        <v/>
      </c>
      <c r="I317" s="9" t="str">
        <f>IF(A317="","",SUMIFS('Ventes du jour'!$E:$E,'Ventes du jour'!$A:$A,A317,'Ventes du jour'!$F:$F,"Mobile money"))</f>
        <v/>
      </c>
      <c r="J317" s="4"/>
    </row>
    <row r="318">
      <c r="A318" s="7"/>
      <c r="B318" s="5"/>
      <c r="C318" s="9" t="str">
        <f>IF(A318="","",SUMIFS('Ventes du jour'!$E:$E,'Ventes du jour'!$A:$A,A318,'Ventes du jour'!$F:$F,"Espèces"))</f>
        <v/>
      </c>
      <c r="D318" s="5"/>
      <c r="E318" s="5"/>
      <c r="F318" s="9" t="str">
        <f>IF(A318="","",N(B318)+N(C318)+N(D318)-N(E318))</f>
        <v/>
      </c>
      <c r="G318" s="5"/>
      <c r="H318" s="9" t="str">
        <f>IF(OR(A318="",G318=""),"",G318-F318)</f>
        <v/>
      </c>
      <c r="I318" s="9" t="str">
        <f>IF(A318="","",SUMIFS('Ventes du jour'!$E:$E,'Ventes du jour'!$A:$A,A318,'Ventes du jour'!$F:$F,"Mobile money"))</f>
        <v/>
      </c>
      <c r="J318" s="4"/>
    </row>
    <row r="319">
      <c r="A319" s="7"/>
      <c r="B319" s="5"/>
      <c r="C319" s="9" t="str">
        <f>IF(A319="","",SUMIFS('Ventes du jour'!$E:$E,'Ventes du jour'!$A:$A,A319,'Ventes du jour'!$F:$F,"Espèces"))</f>
        <v/>
      </c>
      <c r="D319" s="5"/>
      <c r="E319" s="5"/>
      <c r="F319" s="9" t="str">
        <f>IF(A319="","",N(B319)+N(C319)+N(D319)-N(E319))</f>
        <v/>
      </c>
      <c r="G319" s="5"/>
      <c r="H319" s="9" t="str">
        <f>IF(OR(A319="",G319=""),"",G319-F319)</f>
        <v/>
      </c>
      <c r="I319" s="9" t="str">
        <f>IF(A319="","",SUMIFS('Ventes du jour'!$E:$E,'Ventes du jour'!$A:$A,A319,'Ventes du jour'!$F:$F,"Mobile money"))</f>
        <v/>
      </c>
      <c r="J319" s="4"/>
    </row>
    <row r="320">
      <c r="A320" s="7"/>
      <c r="B320" s="5"/>
      <c r="C320" s="9" t="str">
        <f>IF(A320="","",SUMIFS('Ventes du jour'!$E:$E,'Ventes du jour'!$A:$A,A320,'Ventes du jour'!$F:$F,"Espèces"))</f>
        <v/>
      </c>
      <c r="D320" s="5"/>
      <c r="E320" s="5"/>
      <c r="F320" s="9" t="str">
        <f>IF(A320="","",N(B320)+N(C320)+N(D320)-N(E320))</f>
        <v/>
      </c>
      <c r="G320" s="5"/>
      <c r="H320" s="9" t="str">
        <f>IF(OR(A320="",G320=""),"",G320-F320)</f>
        <v/>
      </c>
      <c r="I320" s="9" t="str">
        <f>IF(A320="","",SUMIFS('Ventes du jour'!$E:$E,'Ventes du jour'!$A:$A,A320,'Ventes du jour'!$F:$F,"Mobile money"))</f>
        <v/>
      </c>
      <c r="J320" s="4"/>
    </row>
    <row r="321">
      <c r="A321" s="7"/>
      <c r="B321" s="5"/>
      <c r="C321" s="9" t="str">
        <f>IF(A321="","",SUMIFS('Ventes du jour'!$E:$E,'Ventes du jour'!$A:$A,A321,'Ventes du jour'!$F:$F,"Espèces"))</f>
        <v/>
      </c>
      <c r="D321" s="5"/>
      <c r="E321" s="5"/>
      <c r="F321" s="9" t="str">
        <f>IF(A321="","",N(B321)+N(C321)+N(D321)-N(E321))</f>
        <v/>
      </c>
      <c r="G321" s="5"/>
      <c r="H321" s="9" t="str">
        <f>IF(OR(A321="",G321=""),"",G321-F321)</f>
        <v/>
      </c>
      <c r="I321" s="9" t="str">
        <f>IF(A321="","",SUMIFS('Ventes du jour'!$E:$E,'Ventes du jour'!$A:$A,A321,'Ventes du jour'!$F:$F,"Mobile money"))</f>
        <v/>
      </c>
      <c r="J321" s="4"/>
    </row>
    <row r="322">
      <c r="A322" s="7"/>
      <c r="B322" s="5"/>
      <c r="C322" s="9" t="str">
        <f>IF(A322="","",SUMIFS('Ventes du jour'!$E:$E,'Ventes du jour'!$A:$A,A322,'Ventes du jour'!$F:$F,"Espèces"))</f>
        <v/>
      </c>
      <c r="D322" s="5"/>
      <c r="E322" s="5"/>
      <c r="F322" s="9" t="str">
        <f>IF(A322="","",N(B322)+N(C322)+N(D322)-N(E322))</f>
        <v/>
      </c>
      <c r="G322" s="5"/>
      <c r="H322" s="9" t="str">
        <f>IF(OR(A322="",G322=""),"",G322-F322)</f>
        <v/>
      </c>
      <c r="I322" s="9" t="str">
        <f>IF(A322="","",SUMIFS('Ventes du jour'!$E:$E,'Ventes du jour'!$A:$A,A322,'Ventes du jour'!$F:$F,"Mobile money"))</f>
        <v/>
      </c>
      <c r="J322" s="4"/>
    </row>
    <row r="323">
      <c r="A323" s="7"/>
      <c r="B323" s="5"/>
      <c r="C323" s="9" t="str">
        <f>IF(A323="","",SUMIFS('Ventes du jour'!$E:$E,'Ventes du jour'!$A:$A,A323,'Ventes du jour'!$F:$F,"Espèces"))</f>
        <v/>
      </c>
      <c r="D323" s="5"/>
      <c r="E323" s="5"/>
      <c r="F323" s="9" t="str">
        <f>IF(A323="","",N(B323)+N(C323)+N(D323)-N(E323))</f>
        <v/>
      </c>
      <c r="G323" s="5"/>
      <c r="H323" s="9" t="str">
        <f>IF(OR(A323="",G323=""),"",G323-F323)</f>
        <v/>
      </c>
      <c r="I323" s="9" t="str">
        <f>IF(A323="","",SUMIFS('Ventes du jour'!$E:$E,'Ventes du jour'!$A:$A,A323,'Ventes du jour'!$F:$F,"Mobile money"))</f>
        <v/>
      </c>
      <c r="J323" s="4"/>
    </row>
    <row r="324">
      <c r="A324" s="7"/>
      <c r="B324" s="5"/>
      <c r="C324" s="9" t="str">
        <f>IF(A324="","",SUMIFS('Ventes du jour'!$E:$E,'Ventes du jour'!$A:$A,A324,'Ventes du jour'!$F:$F,"Espèces"))</f>
        <v/>
      </c>
      <c r="D324" s="5"/>
      <c r="E324" s="5"/>
      <c r="F324" s="9" t="str">
        <f>IF(A324="","",N(B324)+N(C324)+N(D324)-N(E324))</f>
        <v/>
      </c>
      <c r="G324" s="5"/>
      <c r="H324" s="9" t="str">
        <f>IF(OR(A324="",G324=""),"",G324-F324)</f>
        <v/>
      </c>
      <c r="I324" s="9" t="str">
        <f>IF(A324="","",SUMIFS('Ventes du jour'!$E:$E,'Ventes du jour'!$A:$A,A324,'Ventes du jour'!$F:$F,"Mobile money"))</f>
        <v/>
      </c>
      <c r="J324" s="4"/>
    </row>
    <row r="325">
      <c r="A325" s="7"/>
      <c r="B325" s="5"/>
      <c r="C325" s="9" t="str">
        <f>IF(A325="","",SUMIFS('Ventes du jour'!$E:$E,'Ventes du jour'!$A:$A,A325,'Ventes du jour'!$F:$F,"Espèces"))</f>
        <v/>
      </c>
      <c r="D325" s="5"/>
      <c r="E325" s="5"/>
      <c r="F325" s="9" t="str">
        <f>IF(A325="","",N(B325)+N(C325)+N(D325)-N(E325))</f>
        <v/>
      </c>
      <c r="G325" s="5"/>
      <c r="H325" s="9" t="str">
        <f>IF(OR(A325="",G325=""),"",G325-F325)</f>
        <v/>
      </c>
      <c r="I325" s="9" t="str">
        <f>IF(A325="","",SUMIFS('Ventes du jour'!$E:$E,'Ventes du jour'!$A:$A,A325,'Ventes du jour'!$F:$F,"Mobile money"))</f>
        <v/>
      </c>
      <c r="J325" s="4"/>
    </row>
    <row r="326">
      <c r="A326" s="7"/>
      <c r="B326" s="5"/>
      <c r="C326" s="9" t="str">
        <f>IF(A326="","",SUMIFS('Ventes du jour'!$E:$E,'Ventes du jour'!$A:$A,A326,'Ventes du jour'!$F:$F,"Espèces"))</f>
        <v/>
      </c>
      <c r="D326" s="5"/>
      <c r="E326" s="5"/>
      <c r="F326" s="9" t="str">
        <f>IF(A326="","",N(B326)+N(C326)+N(D326)-N(E326))</f>
        <v/>
      </c>
      <c r="G326" s="5"/>
      <c r="H326" s="9" t="str">
        <f>IF(OR(A326="",G326=""),"",G326-F326)</f>
        <v/>
      </c>
      <c r="I326" s="9" t="str">
        <f>IF(A326="","",SUMIFS('Ventes du jour'!$E:$E,'Ventes du jour'!$A:$A,A326,'Ventes du jour'!$F:$F,"Mobile money"))</f>
        <v/>
      </c>
      <c r="J326" s="4"/>
    </row>
    <row r="327">
      <c r="A327" s="7"/>
      <c r="B327" s="5"/>
      <c r="C327" s="9" t="str">
        <f>IF(A327="","",SUMIFS('Ventes du jour'!$E:$E,'Ventes du jour'!$A:$A,A327,'Ventes du jour'!$F:$F,"Espèces"))</f>
        <v/>
      </c>
      <c r="D327" s="5"/>
      <c r="E327" s="5"/>
      <c r="F327" s="9" t="str">
        <f>IF(A327="","",N(B327)+N(C327)+N(D327)-N(E327))</f>
        <v/>
      </c>
      <c r="G327" s="5"/>
      <c r="H327" s="9" t="str">
        <f>IF(OR(A327="",G327=""),"",G327-F327)</f>
        <v/>
      </c>
      <c r="I327" s="9" t="str">
        <f>IF(A327="","",SUMIFS('Ventes du jour'!$E:$E,'Ventes du jour'!$A:$A,A327,'Ventes du jour'!$F:$F,"Mobile money"))</f>
        <v/>
      </c>
      <c r="J327" s="4"/>
    </row>
    <row r="328">
      <c r="A328" s="7"/>
      <c r="B328" s="5"/>
      <c r="C328" s="9" t="str">
        <f>IF(A328="","",SUMIFS('Ventes du jour'!$E:$E,'Ventes du jour'!$A:$A,A328,'Ventes du jour'!$F:$F,"Espèces"))</f>
        <v/>
      </c>
      <c r="D328" s="5"/>
      <c r="E328" s="5"/>
      <c r="F328" s="9" t="str">
        <f>IF(A328="","",N(B328)+N(C328)+N(D328)-N(E328))</f>
        <v/>
      </c>
      <c r="G328" s="5"/>
      <c r="H328" s="9" t="str">
        <f>IF(OR(A328="",G328=""),"",G328-F328)</f>
        <v/>
      </c>
      <c r="I328" s="9" t="str">
        <f>IF(A328="","",SUMIFS('Ventes du jour'!$E:$E,'Ventes du jour'!$A:$A,A328,'Ventes du jour'!$F:$F,"Mobile money"))</f>
        <v/>
      </c>
      <c r="J328" s="4"/>
    </row>
    <row r="329">
      <c r="A329" s="7"/>
      <c r="B329" s="5"/>
      <c r="C329" s="9" t="str">
        <f>IF(A329="","",SUMIFS('Ventes du jour'!$E:$E,'Ventes du jour'!$A:$A,A329,'Ventes du jour'!$F:$F,"Espèces"))</f>
        <v/>
      </c>
      <c r="D329" s="5"/>
      <c r="E329" s="5"/>
      <c r="F329" s="9" t="str">
        <f>IF(A329="","",N(B329)+N(C329)+N(D329)-N(E329))</f>
        <v/>
      </c>
      <c r="G329" s="5"/>
      <c r="H329" s="9" t="str">
        <f>IF(OR(A329="",G329=""),"",G329-F329)</f>
        <v/>
      </c>
      <c r="I329" s="9" t="str">
        <f>IF(A329="","",SUMIFS('Ventes du jour'!$E:$E,'Ventes du jour'!$A:$A,A329,'Ventes du jour'!$F:$F,"Mobile money"))</f>
        <v/>
      </c>
      <c r="J329" s="4"/>
    </row>
    <row r="330">
      <c r="A330" s="7"/>
      <c r="B330" s="5"/>
      <c r="C330" s="9" t="str">
        <f>IF(A330="","",SUMIFS('Ventes du jour'!$E:$E,'Ventes du jour'!$A:$A,A330,'Ventes du jour'!$F:$F,"Espèces"))</f>
        <v/>
      </c>
      <c r="D330" s="5"/>
      <c r="E330" s="5"/>
      <c r="F330" s="9" t="str">
        <f>IF(A330="","",N(B330)+N(C330)+N(D330)-N(E330))</f>
        <v/>
      </c>
      <c r="G330" s="5"/>
      <c r="H330" s="9" t="str">
        <f>IF(OR(A330="",G330=""),"",G330-F330)</f>
        <v/>
      </c>
      <c r="I330" s="9" t="str">
        <f>IF(A330="","",SUMIFS('Ventes du jour'!$E:$E,'Ventes du jour'!$A:$A,A330,'Ventes du jour'!$F:$F,"Mobile money"))</f>
        <v/>
      </c>
      <c r="J330" s="4"/>
    </row>
    <row r="331">
      <c r="A331" s="7"/>
      <c r="B331" s="5"/>
      <c r="C331" s="9" t="str">
        <f>IF(A331="","",SUMIFS('Ventes du jour'!$E:$E,'Ventes du jour'!$A:$A,A331,'Ventes du jour'!$F:$F,"Espèces"))</f>
        <v/>
      </c>
      <c r="D331" s="5"/>
      <c r="E331" s="5"/>
      <c r="F331" s="9" t="str">
        <f>IF(A331="","",N(B331)+N(C331)+N(D331)-N(E331))</f>
        <v/>
      </c>
      <c r="G331" s="5"/>
      <c r="H331" s="9" t="str">
        <f>IF(OR(A331="",G331=""),"",G331-F331)</f>
        <v/>
      </c>
      <c r="I331" s="9" t="str">
        <f>IF(A331="","",SUMIFS('Ventes du jour'!$E:$E,'Ventes du jour'!$A:$A,A331,'Ventes du jour'!$F:$F,"Mobile money"))</f>
        <v/>
      </c>
      <c r="J331" s="4"/>
    </row>
    <row r="332">
      <c r="A332" s="7"/>
      <c r="B332" s="5"/>
      <c r="C332" s="9" t="str">
        <f>IF(A332="","",SUMIFS('Ventes du jour'!$E:$E,'Ventes du jour'!$A:$A,A332,'Ventes du jour'!$F:$F,"Espèces"))</f>
        <v/>
      </c>
      <c r="D332" s="5"/>
      <c r="E332" s="5"/>
      <c r="F332" s="9" t="str">
        <f>IF(A332="","",N(B332)+N(C332)+N(D332)-N(E332))</f>
        <v/>
      </c>
      <c r="G332" s="5"/>
      <c r="H332" s="9" t="str">
        <f>IF(OR(A332="",G332=""),"",G332-F332)</f>
        <v/>
      </c>
      <c r="I332" s="9" t="str">
        <f>IF(A332="","",SUMIFS('Ventes du jour'!$E:$E,'Ventes du jour'!$A:$A,A332,'Ventes du jour'!$F:$F,"Mobile money"))</f>
        <v/>
      </c>
      <c r="J332" s="4"/>
    </row>
    <row r="333">
      <c r="A333" s="7"/>
      <c r="B333" s="5"/>
      <c r="C333" s="9" t="str">
        <f>IF(A333="","",SUMIFS('Ventes du jour'!$E:$E,'Ventes du jour'!$A:$A,A333,'Ventes du jour'!$F:$F,"Espèces"))</f>
        <v/>
      </c>
      <c r="D333" s="5"/>
      <c r="E333" s="5"/>
      <c r="F333" s="9" t="str">
        <f>IF(A333="","",N(B333)+N(C333)+N(D333)-N(E333))</f>
        <v/>
      </c>
      <c r="G333" s="5"/>
      <c r="H333" s="9" t="str">
        <f>IF(OR(A333="",G333=""),"",G333-F333)</f>
        <v/>
      </c>
      <c r="I333" s="9" t="str">
        <f>IF(A333="","",SUMIFS('Ventes du jour'!$E:$E,'Ventes du jour'!$A:$A,A333,'Ventes du jour'!$F:$F,"Mobile money"))</f>
        <v/>
      </c>
      <c r="J333" s="4"/>
    </row>
    <row r="334">
      <c r="A334" s="7"/>
      <c r="B334" s="5"/>
      <c r="C334" s="9" t="str">
        <f>IF(A334="","",SUMIFS('Ventes du jour'!$E:$E,'Ventes du jour'!$A:$A,A334,'Ventes du jour'!$F:$F,"Espèces"))</f>
        <v/>
      </c>
      <c r="D334" s="5"/>
      <c r="E334" s="5"/>
      <c r="F334" s="9" t="str">
        <f>IF(A334="","",N(B334)+N(C334)+N(D334)-N(E334))</f>
        <v/>
      </c>
      <c r="G334" s="5"/>
      <c r="H334" s="9" t="str">
        <f>IF(OR(A334="",G334=""),"",G334-F334)</f>
        <v/>
      </c>
      <c r="I334" s="9" t="str">
        <f>IF(A334="","",SUMIFS('Ventes du jour'!$E:$E,'Ventes du jour'!$A:$A,A334,'Ventes du jour'!$F:$F,"Mobile money"))</f>
        <v/>
      </c>
      <c r="J334" s="4"/>
    </row>
    <row r="335">
      <c r="A335" s="7"/>
      <c r="B335" s="5"/>
      <c r="C335" s="9" t="str">
        <f>IF(A335="","",SUMIFS('Ventes du jour'!$E:$E,'Ventes du jour'!$A:$A,A335,'Ventes du jour'!$F:$F,"Espèces"))</f>
        <v/>
      </c>
      <c r="D335" s="5"/>
      <c r="E335" s="5"/>
      <c r="F335" s="9" t="str">
        <f>IF(A335="","",N(B335)+N(C335)+N(D335)-N(E335))</f>
        <v/>
      </c>
      <c r="G335" s="5"/>
      <c r="H335" s="9" t="str">
        <f>IF(OR(A335="",G335=""),"",G335-F335)</f>
        <v/>
      </c>
      <c r="I335" s="9" t="str">
        <f>IF(A335="","",SUMIFS('Ventes du jour'!$E:$E,'Ventes du jour'!$A:$A,A335,'Ventes du jour'!$F:$F,"Mobile money"))</f>
        <v/>
      </c>
      <c r="J335" s="4"/>
    </row>
    <row r="336">
      <c r="A336" s="7"/>
      <c r="B336" s="5"/>
      <c r="C336" s="9" t="str">
        <f>IF(A336="","",SUMIFS('Ventes du jour'!$E:$E,'Ventes du jour'!$A:$A,A336,'Ventes du jour'!$F:$F,"Espèces"))</f>
        <v/>
      </c>
      <c r="D336" s="5"/>
      <c r="E336" s="5"/>
      <c r="F336" s="9" t="str">
        <f>IF(A336="","",N(B336)+N(C336)+N(D336)-N(E336))</f>
        <v/>
      </c>
      <c r="G336" s="5"/>
      <c r="H336" s="9" t="str">
        <f>IF(OR(A336="",G336=""),"",G336-F336)</f>
        <v/>
      </c>
      <c r="I336" s="9" t="str">
        <f>IF(A336="","",SUMIFS('Ventes du jour'!$E:$E,'Ventes du jour'!$A:$A,A336,'Ventes du jour'!$F:$F,"Mobile money"))</f>
        <v/>
      </c>
      <c r="J336" s="4"/>
    </row>
    <row r="337">
      <c r="A337" s="7"/>
      <c r="B337" s="5"/>
      <c r="C337" s="9" t="str">
        <f>IF(A337="","",SUMIFS('Ventes du jour'!$E:$E,'Ventes du jour'!$A:$A,A337,'Ventes du jour'!$F:$F,"Espèces"))</f>
        <v/>
      </c>
      <c r="D337" s="5"/>
      <c r="E337" s="5"/>
      <c r="F337" s="9" t="str">
        <f>IF(A337="","",N(B337)+N(C337)+N(D337)-N(E337))</f>
        <v/>
      </c>
      <c r="G337" s="5"/>
      <c r="H337" s="9" t="str">
        <f>IF(OR(A337="",G337=""),"",G337-F337)</f>
        <v/>
      </c>
      <c r="I337" s="9" t="str">
        <f>IF(A337="","",SUMIFS('Ventes du jour'!$E:$E,'Ventes du jour'!$A:$A,A337,'Ventes du jour'!$F:$F,"Mobile money"))</f>
        <v/>
      </c>
      <c r="J337" s="4"/>
    </row>
    <row r="338">
      <c r="A338" s="7"/>
      <c r="B338" s="5"/>
      <c r="C338" s="9" t="str">
        <f>IF(A338="","",SUMIFS('Ventes du jour'!$E:$E,'Ventes du jour'!$A:$A,A338,'Ventes du jour'!$F:$F,"Espèces"))</f>
        <v/>
      </c>
      <c r="D338" s="5"/>
      <c r="E338" s="5"/>
      <c r="F338" s="9" t="str">
        <f>IF(A338="","",N(B338)+N(C338)+N(D338)-N(E338))</f>
        <v/>
      </c>
      <c r="G338" s="5"/>
      <c r="H338" s="9" t="str">
        <f>IF(OR(A338="",G338=""),"",G338-F338)</f>
        <v/>
      </c>
      <c r="I338" s="9" t="str">
        <f>IF(A338="","",SUMIFS('Ventes du jour'!$E:$E,'Ventes du jour'!$A:$A,A338,'Ventes du jour'!$F:$F,"Mobile money"))</f>
        <v/>
      </c>
      <c r="J338" s="4"/>
    </row>
    <row r="339">
      <c r="A339" s="7"/>
      <c r="B339" s="5"/>
      <c r="C339" s="9" t="str">
        <f>IF(A339="","",SUMIFS('Ventes du jour'!$E:$E,'Ventes du jour'!$A:$A,A339,'Ventes du jour'!$F:$F,"Espèces"))</f>
        <v/>
      </c>
      <c r="D339" s="5"/>
      <c r="E339" s="5"/>
      <c r="F339" s="9" t="str">
        <f>IF(A339="","",N(B339)+N(C339)+N(D339)-N(E339))</f>
        <v/>
      </c>
      <c r="G339" s="5"/>
      <c r="H339" s="9" t="str">
        <f>IF(OR(A339="",G339=""),"",G339-F339)</f>
        <v/>
      </c>
      <c r="I339" s="9" t="str">
        <f>IF(A339="","",SUMIFS('Ventes du jour'!$E:$E,'Ventes du jour'!$A:$A,A339,'Ventes du jour'!$F:$F,"Mobile money"))</f>
        <v/>
      </c>
      <c r="J339" s="4"/>
    </row>
    <row r="340">
      <c r="A340" s="7"/>
      <c r="B340" s="5"/>
      <c r="C340" s="9" t="str">
        <f>IF(A340="","",SUMIFS('Ventes du jour'!$E:$E,'Ventes du jour'!$A:$A,A340,'Ventes du jour'!$F:$F,"Espèces"))</f>
        <v/>
      </c>
      <c r="D340" s="5"/>
      <c r="E340" s="5"/>
      <c r="F340" s="9" t="str">
        <f>IF(A340="","",N(B340)+N(C340)+N(D340)-N(E340))</f>
        <v/>
      </c>
      <c r="G340" s="5"/>
      <c r="H340" s="9" t="str">
        <f>IF(OR(A340="",G340=""),"",G340-F340)</f>
        <v/>
      </c>
      <c r="I340" s="9" t="str">
        <f>IF(A340="","",SUMIFS('Ventes du jour'!$E:$E,'Ventes du jour'!$A:$A,A340,'Ventes du jour'!$F:$F,"Mobile money"))</f>
        <v/>
      </c>
      <c r="J340" s="4"/>
    </row>
    <row r="341">
      <c r="A341" s="7"/>
      <c r="B341" s="5"/>
      <c r="C341" s="9" t="str">
        <f>IF(A341="","",SUMIFS('Ventes du jour'!$E:$E,'Ventes du jour'!$A:$A,A341,'Ventes du jour'!$F:$F,"Espèces"))</f>
        <v/>
      </c>
      <c r="D341" s="5"/>
      <c r="E341" s="5"/>
      <c r="F341" s="9" t="str">
        <f>IF(A341="","",N(B341)+N(C341)+N(D341)-N(E341))</f>
        <v/>
      </c>
      <c r="G341" s="5"/>
      <c r="H341" s="9" t="str">
        <f>IF(OR(A341="",G341=""),"",G341-F341)</f>
        <v/>
      </c>
      <c r="I341" s="9" t="str">
        <f>IF(A341="","",SUMIFS('Ventes du jour'!$E:$E,'Ventes du jour'!$A:$A,A341,'Ventes du jour'!$F:$F,"Mobile money"))</f>
        <v/>
      </c>
      <c r="J341" s="4"/>
    </row>
    <row r="342">
      <c r="A342" s="7"/>
      <c r="B342" s="5"/>
      <c r="C342" s="9" t="str">
        <f>IF(A342="","",SUMIFS('Ventes du jour'!$E:$E,'Ventes du jour'!$A:$A,A342,'Ventes du jour'!$F:$F,"Espèces"))</f>
        <v/>
      </c>
      <c r="D342" s="5"/>
      <c r="E342" s="5"/>
      <c r="F342" s="9" t="str">
        <f>IF(A342="","",N(B342)+N(C342)+N(D342)-N(E342))</f>
        <v/>
      </c>
      <c r="G342" s="5"/>
      <c r="H342" s="9" t="str">
        <f>IF(OR(A342="",G342=""),"",G342-F342)</f>
        <v/>
      </c>
      <c r="I342" s="9" t="str">
        <f>IF(A342="","",SUMIFS('Ventes du jour'!$E:$E,'Ventes du jour'!$A:$A,A342,'Ventes du jour'!$F:$F,"Mobile money"))</f>
        <v/>
      </c>
      <c r="J342" s="4"/>
    </row>
    <row r="343">
      <c r="A343" s="7"/>
      <c r="B343" s="5"/>
      <c r="C343" s="9" t="str">
        <f>IF(A343="","",SUMIFS('Ventes du jour'!$E:$E,'Ventes du jour'!$A:$A,A343,'Ventes du jour'!$F:$F,"Espèces"))</f>
        <v/>
      </c>
      <c r="D343" s="5"/>
      <c r="E343" s="5"/>
      <c r="F343" s="9" t="str">
        <f>IF(A343="","",N(B343)+N(C343)+N(D343)-N(E343))</f>
        <v/>
      </c>
      <c r="G343" s="5"/>
      <c r="H343" s="9" t="str">
        <f>IF(OR(A343="",G343=""),"",G343-F343)</f>
        <v/>
      </c>
      <c r="I343" s="9" t="str">
        <f>IF(A343="","",SUMIFS('Ventes du jour'!$E:$E,'Ventes du jour'!$A:$A,A343,'Ventes du jour'!$F:$F,"Mobile money"))</f>
        <v/>
      </c>
      <c r="J343" s="4"/>
    </row>
    <row r="344">
      <c r="A344" s="7"/>
      <c r="B344" s="5"/>
      <c r="C344" s="9" t="str">
        <f>IF(A344="","",SUMIFS('Ventes du jour'!$E:$E,'Ventes du jour'!$A:$A,A344,'Ventes du jour'!$F:$F,"Espèces"))</f>
        <v/>
      </c>
      <c r="D344" s="5"/>
      <c r="E344" s="5"/>
      <c r="F344" s="9" t="str">
        <f>IF(A344="","",N(B344)+N(C344)+N(D344)-N(E344))</f>
        <v/>
      </c>
      <c r="G344" s="5"/>
      <c r="H344" s="9" t="str">
        <f>IF(OR(A344="",G344=""),"",G344-F344)</f>
        <v/>
      </c>
      <c r="I344" s="9" t="str">
        <f>IF(A344="","",SUMIFS('Ventes du jour'!$E:$E,'Ventes du jour'!$A:$A,A344,'Ventes du jour'!$F:$F,"Mobile money"))</f>
        <v/>
      </c>
      <c r="J344" s="4"/>
    </row>
    <row r="345">
      <c r="A345" s="7"/>
      <c r="B345" s="5"/>
      <c r="C345" s="9" t="str">
        <f>IF(A345="","",SUMIFS('Ventes du jour'!$E:$E,'Ventes du jour'!$A:$A,A345,'Ventes du jour'!$F:$F,"Espèces"))</f>
        <v/>
      </c>
      <c r="D345" s="5"/>
      <c r="E345" s="5"/>
      <c r="F345" s="9" t="str">
        <f>IF(A345="","",N(B345)+N(C345)+N(D345)-N(E345))</f>
        <v/>
      </c>
      <c r="G345" s="5"/>
      <c r="H345" s="9" t="str">
        <f>IF(OR(A345="",G345=""),"",G345-F345)</f>
        <v/>
      </c>
      <c r="I345" s="9" t="str">
        <f>IF(A345="","",SUMIFS('Ventes du jour'!$E:$E,'Ventes du jour'!$A:$A,A345,'Ventes du jour'!$F:$F,"Mobile money"))</f>
        <v/>
      </c>
      <c r="J345" s="4"/>
    </row>
    <row r="346">
      <c r="A346" s="7"/>
      <c r="B346" s="5"/>
      <c r="C346" s="9" t="str">
        <f>IF(A346="","",SUMIFS('Ventes du jour'!$E:$E,'Ventes du jour'!$A:$A,A346,'Ventes du jour'!$F:$F,"Espèces"))</f>
        <v/>
      </c>
      <c r="D346" s="5"/>
      <c r="E346" s="5"/>
      <c r="F346" s="9" t="str">
        <f>IF(A346="","",N(B346)+N(C346)+N(D346)-N(E346))</f>
        <v/>
      </c>
      <c r="G346" s="5"/>
      <c r="H346" s="9" t="str">
        <f>IF(OR(A346="",G346=""),"",G346-F346)</f>
        <v/>
      </c>
      <c r="I346" s="9" t="str">
        <f>IF(A346="","",SUMIFS('Ventes du jour'!$E:$E,'Ventes du jour'!$A:$A,A346,'Ventes du jour'!$F:$F,"Mobile money"))</f>
        <v/>
      </c>
      <c r="J346" s="4"/>
    </row>
    <row r="347">
      <c r="A347" s="7"/>
      <c r="B347" s="5"/>
      <c r="C347" s="9" t="str">
        <f>IF(A347="","",SUMIFS('Ventes du jour'!$E:$E,'Ventes du jour'!$A:$A,A347,'Ventes du jour'!$F:$F,"Espèces"))</f>
        <v/>
      </c>
      <c r="D347" s="5"/>
      <c r="E347" s="5"/>
      <c r="F347" s="9" t="str">
        <f>IF(A347="","",N(B347)+N(C347)+N(D347)-N(E347))</f>
        <v/>
      </c>
      <c r="G347" s="5"/>
      <c r="H347" s="9" t="str">
        <f>IF(OR(A347="",G347=""),"",G347-F347)</f>
        <v/>
      </c>
      <c r="I347" s="9" t="str">
        <f>IF(A347="","",SUMIFS('Ventes du jour'!$E:$E,'Ventes du jour'!$A:$A,A347,'Ventes du jour'!$F:$F,"Mobile money"))</f>
        <v/>
      </c>
      <c r="J347" s="4"/>
    </row>
    <row r="348">
      <c r="A348" s="7"/>
      <c r="B348" s="5"/>
      <c r="C348" s="9" t="str">
        <f>IF(A348="","",SUMIFS('Ventes du jour'!$E:$E,'Ventes du jour'!$A:$A,A348,'Ventes du jour'!$F:$F,"Espèces"))</f>
        <v/>
      </c>
      <c r="D348" s="5"/>
      <c r="E348" s="5"/>
      <c r="F348" s="9" t="str">
        <f>IF(A348="","",N(B348)+N(C348)+N(D348)-N(E348))</f>
        <v/>
      </c>
      <c r="G348" s="5"/>
      <c r="H348" s="9" t="str">
        <f>IF(OR(A348="",G348=""),"",G348-F348)</f>
        <v/>
      </c>
      <c r="I348" s="9" t="str">
        <f>IF(A348="","",SUMIFS('Ventes du jour'!$E:$E,'Ventes du jour'!$A:$A,A348,'Ventes du jour'!$F:$F,"Mobile money"))</f>
        <v/>
      </c>
      <c r="J348" s="4"/>
    </row>
    <row r="349">
      <c r="A349" s="7"/>
      <c r="B349" s="5"/>
      <c r="C349" s="9" t="str">
        <f>IF(A349="","",SUMIFS('Ventes du jour'!$E:$E,'Ventes du jour'!$A:$A,A349,'Ventes du jour'!$F:$F,"Espèces"))</f>
        <v/>
      </c>
      <c r="D349" s="5"/>
      <c r="E349" s="5"/>
      <c r="F349" s="9" t="str">
        <f>IF(A349="","",N(B349)+N(C349)+N(D349)-N(E349))</f>
        <v/>
      </c>
      <c r="G349" s="5"/>
      <c r="H349" s="9" t="str">
        <f>IF(OR(A349="",G349=""),"",G349-F349)</f>
        <v/>
      </c>
      <c r="I349" s="9" t="str">
        <f>IF(A349="","",SUMIFS('Ventes du jour'!$E:$E,'Ventes du jour'!$A:$A,A349,'Ventes du jour'!$F:$F,"Mobile money"))</f>
        <v/>
      </c>
      <c r="J349" s="4"/>
    </row>
    <row r="350">
      <c r="A350" s="7"/>
      <c r="B350" s="5"/>
      <c r="C350" s="9" t="str">
        <f>IF(A350="","",SUMIFS('Ventes du jour'!$E:$E,'Ventes du jour'!$A:$A,A350,'Ventes du jour'!$F:$F,"Espèces"))</f>
        <v/>
      </c>
      <c r="D350" s="5"/>
      <c r="E350" s="5"/>
      <c r="F350" s="9" t="str">
        <f>IF(A350="","",N(B350)+N(C350)+N(D350)-N(E350))</f>
        <v/>
      </c>
      <c r="G350" s="5"/>
      <c r="H350" s="9" t="str">
        <f>IF(OR(A350="",G350=""),"",G350-F350)</f>
        <v/>
      </c>
      <c r="I350" s="9" t="str">
        <f>IF(A350="","",SUMIFS('Ventes du jour'!$E:$E,'Ventes du jour'!$A:$A,A350,'Ventes du jour'!$F:$F,"Mobile money"))</f>
        <v/>
      </c>
      <c r="J350" s="4"/>
    </row>
    <row r="351">
      <c r="A351" s="7"/>
      <c r="B351" s="5"/>
      <c r="C351" s="9" t="str">
        <f>IF(A351="","",SUMIFS('Ventes du jour'!$E:$E,'Ventes du jour'!$A:$A,A351,'Ventes du jour'!$F:$F,"Espèces"))</f>
        <v/>
      </c>
      <c r="D351" s="5"/>
      <c r="E351" s="5"/>
      <c r="F351" s="9" t="str">
        <f>IF(A351="","",N(B351)+N(C351)+N(D351)-N(E351))</f>
        <v/>
      </c>
      <c r="G351" s="5"/>
      <c r="H351" s="9" t="str">
        <f>IF(OR(A351="",G351=""),"",G351-F351)</f>
        <v/>
      </c>
      <c r="I351" s="9" t="str">
        <f>IF(A351="","",SUMIFS('Ventes du jour'!$E:$E,'Ventes du jour'!$A:$A,A351,'Ventes du jour'!$F:$F,"Mobile money"))</f>
        <v/>
      </c>
      <c r="J351" s="4"/>
    </row>
    <row r="352">
      <c r="A352" s="7"/>
      <c r="B352" s="5"/>
      <c r="C352" s="9" t="str">
        <f>IF(A352="","",SUMIFS('Ventes du jour'!$E:$E,'Ventes du jour'!$A:$A,A352,'Ventes du jour'!$F:$F,"Espèces"))</f>
        <v/>
      </c>
      <c r="D352" s="5"/>
      <c r="E352" s="5"/>
      <c r="F352" s="9" t="str">
        <f>IF(A352="","",N(B352)+N(C352)+N(D352)-N(E352))</f>
        <v/>
      </c>
      <c r="G352" s="5"/>
      <c r="H352" s="9" t="str">
        <f>IF(OR(A352="",G352=""),"",G352-F352)</f>
        <v/>
      </c>
      <c r="I352" s="9" t="str">
        <f>IF(A352="","",SUMIFS('Ventes du jour'!$E:$E,'Ventes du jour'!$A:$A,A352,'Ventes du jour'!$F:$F,"Mobile money"))</f>
        <v/>
      </c>
      <c r="J352" s="4"/>
    </row>
    <row r="353">
      <c r="A353" s="7"/>
      <c r="B353" s="5"/>
      <c r="C353" s="9" t="str">
        <f>IF(A353="","",SUMIFS('Ventes du jour'!$E:$E,'Ventes du jour'!$A:$A,A353,'Ventes du jour'!$F:$F,"Espèces"))</f>
        <v/>
      </c>
      <c r="D353" s="5"/>
      <c r="E353" s="5"/>
      <c r="F353" s="9" t="str">
        <f>IF(A353="","",N(B353)+N(C353)+N(D353)-N(E353))</f>
        <v/>
      </c>
      <c r="G353" s="5"/>
      <c r="H353" s="9" t="str">
        <f>IF(OR(A353="",G353=""),"",G353-F353)</f>
        <v/>
      </c>
      <c r="I353" s="9" t="str">
        <f>IF(A353="","",SUMIFS('Ventes du jour'!$E:$E,'Ventes du jour'!$A:$A,A353,'Ventes du jour'!$F:$F,"Mobile money"))</f>
        <v/>
      </c>
      <c r="J353" s="4"/>
    </row>
    <row r="354">
      <c r="A354" s="7"/>
      <c r="B354" s="5"/>
      <c r="C354" s="9" t="str">
        <f>IF(A354="","",SUMIFS('Ventes du jour'!$E:$E,'Ventes du jour'!$A:$A,A354,'Ventes du jour'!$F:$F,"Espèces"))</f>
        <v/>
      </c>
      <c r="D354" s="5"/>
      <c r="E354" s="5"/>
      <c r="F354" s="9" t="str">
        <f>IF(A354="","",N(B354)+N(C354)+N(D354)-N(E354))</f>
        <v/>
      </c>
      <c r="G354" s="5"/>
      <c r="H354" s="9" t="str">
        <f>IF(OR(A354="",G354=""),"",G354-F354)</f>
        <v/>
      </c>
      <c r="I354" s="9" t="str">
        <f>IF(A354="","",SUMIFS('Ventes du jour'!$E:$E,'Ventes du jour'!$A:$A,A354,'Ventes du jour'!$F:$F,"Mobile money"))</f>
        <v/>
      </c>
      <c r="J354" s="4"/>
    </row>
    <row r="355">
      <c r="A355" s="7"/>
      <c r="B355" s="5"/>
      <c r="C355" s="9" t="str">
        <f>IF(A355="","",SUMIFS('Ventes du jour'!$E:$E,'Ventes du jour'!$A:$A,A355,'Ventes du jour'!$F:$F,"Espèces"))</f>
        <v/>
      </c>
      <c r="D355" s="5"/>
      <c r="E355" s="5"/>
      <c r="F355" s="9" t="str">
        <f>IF(A355="","",N(B355)+N(C355)+N(D355)-N(E355))</f>
        <v/>
      </c>
      <c r="G355" s="5"/>
      <c r="H355" s="9" t="str">
        <f>IF(OR(A355="",G355=""),"",G355-F355)</f>
        <v/>
      </c>
      <c r="I355" s="9" t="str">
        <f>IF(A355="","",SUMIFS('Ventes du jour'!$E:$E,'Ventes du jour'!$A:$A,A355,'Ventes du jour'!$F:$F,"Mobile money"))</f>
        <v/>
      </c>
      <c r="J355" s="4"/>
    </row>
    <row r="356">
      <c r="A356" s="7"/>
      <c r="B356" s="5"/>
      <c r="C356" s="9" t="str">
        <f>IF(A356="","",SUMIFS('Ventes du jour'!$E:$E,'Ventes du jour'!$A:$A,A356,'Ventes du jour'!$F:$F,"Espèces"))</f>
        <v/>
      </c>
      <c r="D356" s="5"/>
      <c r="E356" s="5"/>
      <c r="F356" s="9" t="str">
        <f>IF(A356="","",N(B356)+N(C356)+N(D356)-N(E356))</f>
        <v/>
      </c>
      <c r="G356" s="5"/>
      <c r="H356" s="9" t="str">
        <f>IF(OR(A356="",G356=""),"",G356-F356)</f>
        <v/>
      </c>
      <c r="I356" s="9" t="str">
        <f>IF(A356="","",SUMIFS('Ventes du jour'!$E:$E,'Ventes du jour'!$A:$A,A356,'Ventes du jour'!$F:$F,"Mobile money"))</f>
        <v/>
      </c>
      <c r="J356" s="4"/>
    </row>
    <row r="357">
      <c r="A357" s="7"/>
      <c r="B357" s="5"/>
      <c r="C357" s="9" t="str">
        <f>IF(A357="","",SUMIFS('Ventes du jour'!$E:$E,'Ventes du jour'!$A:$A,A357,'Ventes du jour'!$F:$F,"Espèces"))</f>
        <v/>
      </c>
      <c r="D357" s="5"/>
      <c r="E357" s="5"/>
      <c r="F357" s="9" t="str">
        <f>IF(A357="","",N(B357)+N(C357)+N(D357)-N(E357))</f>
        <v/>
      </c>
      <c r="G357" s="5"/>
      <c r="H357" s="9" t="str">
        <f>IF(OR(A357="",G357=""),"",G357-F357)</f>
        <v/>
      </c>
      <c r="I357" s="9" t="str">
        <f>IF(A357="","",SUMIFS('Ventes du jour'!$E:$E,'Ventes du jour'!$A:$A,A357,'Ventes du jour'!$F:$F,"Mobile money"))</f>
        <v/>
      </c>
      <c r="J357" s="4"/>
    </row>
    <row r="358">
      <c r="A358" s="7"/>
      <c r="B358" s="5"/>
      <c r="C358" s="9" t="str">
        <f>IF(A358="","",SUMIFS('Ventes du jour'!$E:$E,'Ventes du jour'!$A:$A,A358,'Ventes du jour'!$F:$F,"Espèces"))</f>
        <v/>
      </c>
      <c r="D358" s="5"/>
      <c r="E358" s="5"/>
      <c r="F358" s="9" t="str">
        <f>IF(A358="","",N(B358)+N(C358)+N(D358)-N(E358))</f>
        <v/>
      </c>
      <c r="G358" s="5"/>
      <c r="H358" s="9" t="str">
        <f>IF(OR(A358="",G358=""),"",G358-F358)</f>
        <v/>
      </c>
      <c r="I358" s="9" t="str">
        <f>IF(A358="","",SUMIFS('Ventes du jour'!$E:$E,'Ventes du jour'!$A:$A,A358,'Ventes du jour'!$F:$F,"Mobile money"))</f>
        <v/>
      </c>
      <c r="J358" s="4"/>
    </row>
    <row r="359">
      <c r="A359" s="7"/>
      <c r="B359" s="5"/>
      <c r="C359" s="9" t="str">
        <f>IF(A359="","",SUMIFS('Ventes du jour'!$E:$E,'Ventes du jour'!$A:$A,A359,'Ventes du jour'!$F:$F,"Espèces"))</f>
        <v/>
      </c>
      <c r="D359" s="5"/>
      <c r="E359" s="5"/>
      <c r="F359" s="9" t="str">
        <f>IF(A359="","",N(B359)+N(C359)+N(D359)-N(E359))</f>
        <v/>
      </c>
      <c r="G359" s="5"/>
      <c r="H359" s="9" t="str">
        <f>IF(OR(A359="",G359=""),"",G359-F359)</f>
        <v/>
      </c>
      <c r="I359" s="9" t="str">
        <f>IF(A359="","",SUMIFS('Ventes du jour'!$E:$E,'Ventes du jour'!$A:$A,A359,'Ventes du jour'!$F:$F,"Mobile money"))</f>
        <v/>
      </c>
      <c r="J359" s="4"/>
    </row>
    <row r="360">
      <c r="A360" s="7"/>
      <c r="B360" s="5"/>
      <c r="C360" s="9" t="str">
        <f>IF(A360="","",SUMIFS('Ventes du jour'!$E:$E,'Ventes du jour'!$A:$A,A360,'Ventes du jour'!$F:$F,"Espèces"))</f>
        <v/>
      </c>
      <c r="D360" s="5"/>
      <c r="E360" s="5"/>
      <c r="F360" s="9" t="str">
        <f>IF(A360="","",N(B360)+N(C360)+N(D360)-N(E360))</f>
        <v/>
      </c>
      <c r="G360" s="5"/>
      <c r="H360" s="9" t="str">
        <f>IF(OR(A360="",G360=""),"",G360-F360)</f>
        <v/>
      </c>
      <c r="I360" s="9" t="str">
        <f>IF(A360="","",SUMIFS('Ventes du jour'!$E:$E,'Ventes du jour'!$A:$A,A360,'Ventes du jour'!$F:$F,"Mobile money"))</f>
        <v/>
      </c>
      <c r="J360" s="4"/>
    </row>
    <row r="361">
      <c r="A361" s="7"/>
      <c r="B361" s="5"/>
      <c r="C361" s="9" t="str">
        <f>IF(A361="","",SUMIFS('Ventes du jour'!$E:$E,'Ventes du jour'!$A:$A,A361,'Ventes du jour'!$F:$F,"Espèces"))</f>
        <v/>
      </c>
      <c r="D361" s="5"/>
      <c r="E361" s="5"/>
      <c r="F361" s="9" t="str">
        <f>IF(A361="","",N(B361)+N(C361)+N(D361)-N(E361))</f>
        <v/>
      </c>
      <c r="G361" s="5"/>
      <c r="H361" s="9" t="str">
        <f>IF(OR(A361="",G361=""),"",G361-F361)</f>
        <v/>
      </c>
      <c r="I361" s="9" t="str">
        <f>IF(A361="","",SUMIFS('Ventes du jour'!$E:$E,'Ventes du jour'!$A:$A,A361,'Ventes du jour'!$F:$F,"Mobile money"))</f>
        <v/>
      </c>
      <c r="J361" s="4"/>
    </row>
    <row r="362">
      <c r="A362" s="7"/>
      <c r="B362" s="5"/>
      <c r="C362" s="9" t="str">
        <f>IF(A362="","",SUMIFS('Ventes du jour'!$E:$E,'Ventes du jour'!$A:$A,A362,'Ventes du jour'!$F:$F,"Espèces"))</f>
        <v/>
      </c>
      <c r="D362" s="5"/>
      <c r="E362" s="5"/>
      <c r="F362" s="9" t="str">
        <f>IF(A362="","",N(B362)+N(C362)+N(D362)-N(E362))</f>
        <v/>
      </c>
      <c r="G362" s="5"/>
      <c r="H362" s="9" t="str">
        <f>IF(OR(A362="",G362=""),"",G362-F362)</f>
        <v/>
      </c>
      <c r="I362" s="9" t="str">
        <f>IF(A362="","",SUMIFS('Ventes du jour'!$E:$E,'Ventes du jour'!$A:$A,A362,'Ventes du jour'!$F:$F,"Mobile money"))</f>
        <v/>
      </c>
      <c r="J362" s="4"/>
    </row>
    <row r="363">
      <c r="A363" s="7"/>
      <c r="B363" s="5"/>
      <c r="C363" s="9" t="str">
        <f>IF(A363="","",SUMIFS('Ventes du jour'!$E:$E,'Ventes du jour'!$A:$A,A363,'Ventes du jour'!$F:$F,"Espèces"))</f>
        <v/>
      </c>
      <c r="D363" s="5"/>
      <c r="E363" s="5"/>
      <c r="F363" s="9" t="str">
        <f>IF(A363="","",N(B363)+N(C363)+N(D363)-N(E363))</f>
        <v/>
      </c>
      <c r="G363" s="5"/>
      <c r="H363" s="9" t="str">
        <f>IF(OR(A363="",G363=""),"",G363-F363)</f>
        <v/>
      </c>
      <c r="I363" s="9" t="str">
        <f>IF(A363="","",SUMIFS('Ventes du jour'!$E:$E,'Ventes du jour'!$A:$A,A363,'Ventes du jour'!$F:$F,"Mobile money"))</f>
        <v/>
      </c>
      <c r="J363" s="4"/>
    </row>
    <row r="364">
      <c r="A364" s="7"/>
      <c r="B364" s="5"/>
      <c r="C364" s="9" t="str">
        <f>IF(A364="","",SUMIFS('Ventes du jour'!$E:$E,'Ventes du jour'!$A:$A,A364,'Ventes du jour'!$F:$F,"Espèces"))</f>
        <v/>
      </c>
      <c r="D364" s="5"/>
      <c r="E364" s="5"/>
      <c r="F364" s="9" t="str">
        <f>IF(A364="","",N(B364)+N(C364)+N(D364)-N(E364))</f>
        <v/>
      </c>
      <c r="G364" s="5"/>
      <c r="H364" s="9" t="str">
        <f>IF(OR(A364="",G364=""),"",G364-F364)</f>
        <v/>
      </c>
      <c r="I364" s="9" t="str">
        <f>IF(A364="","",SUMIFS('Ventes du jour'!$E:$E,'Ventes du jour'!$A:$A,A364,'Ventes du jour'!$F:$F,"Mobile money"))</f>
        <v/>
      </c>
      <c r="J364" s="4"/>
    </row>
    <row r="365">
      <c r="A365" s="7"/>
      <c r="B365" s="5"/>
      <c r="C365" s="9" t="str">
        <f>IF(A365="","",SUMIFS('Ventes du jour'!$E:$E,'Ventes du jour'!$A:$A,A365,'Ventes du jour'!$F:$F,"Espèces"))</f>
        <v/>
      </c>
      <c r="D365" s="5"/>
      <c r="E365" s="5"/>
      <c r="F365" s="9" t="str">
        <f>IF(A365="","",N(B365)+N(C365)+N(D365)-N(E365))</f>
        <v/>
      </c>
      <c r="G365" s="5"/>
      <c r="H365" s="9" t="str">
        <f>IF(OR(A365="",G365=""),"",G365-F365)</f>
        <v/>
      </c>
      <c r="I365" s="9" t="str">
        <f>IF(A365="","",SUMIFS('Ventes du jour'!$E:$E,'Ventes du jour'!$A:$A,A365,'Ventes du jour'!$F:$F,"Mobile money"))</f>
        <v/>
      </c>
      <c r="J365" s="4"/>
    </row>
    <row r="366">
      <c r="A366" s="7"/>
      <c r="B366" s="5"/>
      <c r="C366" s="9" t="str">
        <f>IF(A366="","",SUMIFS('Ventes du jour'!$E:$E,'Ventes du jour'!$A:$A,A366,'Ventes du jour'!$F:$F,"Espèces"))</f>
        <v/>
      </c>
      <c r="D366" s="5"/>
      <c r="E366" s="5"/>
      <c r="F366" s="9" t="str">
        <f>IF(A366="","",N(B366)+N(C366)+N(D366)-N(E366))</f>
        <v/>
      </c>
      <c r="G366" s="5"/>
      <c r="H366" s="9" t="str">
        <f>IF(OR(A366="",G366=""),"",G366-F366)</f>
        <v/>
      </c>
      <c r="I366" s="9" t="str">
        <f>IF(A366="","",SUMIFS('Ventes du jour'!$E:$E,'Ventes du jour'!$A:$A,A366,'Ventes du jour'!$F:$F,"Mobile money"))</f>
        <v/>
      </c>
      <c r="J366" s="4"/>
    </row>
    <row r="367">
      <c r="A367" s="7"/>
      <c r="B367" s="5"/>
      <c r="C367" s="9" t="str">
        <f>IF(A367="","",SUMIFS('Ventes du jour'!$E:$E,'Ventes du jour'!$A:$A,A367,'Ventes du jour'!$F:$F,"Espèces"))</f>
        <v/>
      </c>
      <c r="D367" s="5"/>
      <c r="E367" s="5"/>
      <c r="F367" s="9" t="str">
        <f>IF(A367="","",N(B367)+N(C367)+N(D367)-N(E367))</f>
        <v/>
      </c>
      <c r="G367" s="5"/>
      <c r="H367" s="9" t="str">
        <f>IF(OR(A367="",G367=""),"",G367-F367)</f>
        <v/>
      </c>
      <c r="I367" s="9" t="str">
        <f>IF(A367="","",SUMIFS('Ventes du jour'!$E:$E,'Ventes du jour'!$A:$A,A367,'Ventes du jour'!$F:$F,"Mobile money"))</f>
        <v/>
      </c>
      <c r="J367" s="4"/>
    </row>
    <row r="368">
      <c r="A368" s="7"/>
      <c r="B368" s="5"/>
      <c r="C368" s="9" t="str">
        <f>IF(A368="","",SUMIFS('Ventes du jour'!$E:$E,'Ventes du jour'!$A:$A,A368,'Ventes du jour'!$F:$F,"Espèces"))</f>
        <v/>
      </c>
      <c r="D368" s="5"/>
      <c r="E368" s="5"/>
      <c r="F368" s="9" t="str">
        <f>IF(A368="","",N(B368)+N(C368)+N(D368)-N(E368))</f>
        <v/>
      </c>
      <c r="G368" s="5"/>
      <c r="H368" s="9" t="str">
        <f>IF(OR(A368="",G368=""),"",G368-F368)</f>
        <v/>
      </c>
      <c r="I368" s="9" t="str">
        <f>IF(A368="","",SUMIFS('Ventes du jour'!$E:$E,'Ventes du jour'!$A:$A,A368,'Ventes du jour'!$F:$F,"Mobile money"))</f>
        <v/>
      </c>
      <c r="J368" s="4"/>
    </row>
    <row r="369">
      <c r="A369" s="7"/>
      <c r="B369" s="5"/>
      <c r="C369" s="9" t="str">
        <f>IF(A369="","",SUMIFS('Ventes du jour'!$E:$E,'Ventes du jour'!$A:$A,A369,'Ventes du jour'!$F:$F,"Espèces"))</f>
        <v/>
      </c>
      <c r="D369" s="5"/>
      <c r="E369" s="5"/>
      <c r="F369" s="9" t="str">
        <f>IF(A369="","",N(B369)+N(C369)+N(D369)-N(E369))</f>
        <v/>
      </c>
      <c r="G369" s="5"/>
      <c r="H369" s="9" t="str">
        <f>IF(OR(A369="",G369=""),"",G369-F369)</f>
        <v/>
      </c>
      <c r="I369" s="9" t="str">
        <f>IF(A369="","",SUMIFS('Ventes du jour'!$E:$E,'Ventes du jour'!$A:$A,A369,'Ventes du jour'!$F:$F,"Mobile money"))</f>
        <v/>
      </c>
      <c r="J369" s="4"/>
    </row>
    <row r="370">
      <c r="A370" s="7"/>
      <c r="B370" s="5"/>
      <c r="C370" s="9" t="str">
        <f>IF(A370="","",SUMIFS('Ventes du jour'!$E:$E,'Ventes du jour'!$A:$A,A370,'Ventes du jour'!$F:$F,"Espèces"))</f>
        <v/>
      </c>
      <c r="D370" s="5"/>
      <c r="E370" s="5"/>
      <c r="F370" s="9" t="str">
        <f>IF(A370="","",N(B370)+N(C370)+N(D370)-N(E370))</f>
        <v/>
      </c>
      <c r="G370" s="5"/>
      <c r="H370" s="9" t="str">
        <f>IF(OR(A370="",G370=""),"",G370-F370)</f>
        <v/>
      </c>
      <c r="I370" s="9" t="str">
        <f>IF(A370="","",SUMIFS('Ventes du jour'!$E:$E,'Ventes du jour'!$A:$A,A370,'Ventes du jour'!$F:$F,"Mobile money"))</f>
        <v/>
      </c>
      <c r="J370" s="4"/>
    </row>
    <row r="371">
      <c r="A371" s="7"/>
      <c r="B371" s="5"/>
      <c r="C371" s="9" t="str">
        <f>IF(A371="","",SUMIFS('Ventes du jour'!$E:$E,'Ventes du jour'!$A:$A,A371,'Ventes du jour'!$F:$F,"Espèces"))</f>
        <v/>
      </c>
      <c r="D371" s="5"/>
      <c r="E371" s="5"/>
      <c r="F371" s="9" t="str">
        <f>IF(A371="","",N(B371)+N(C371)+N(D371)-N(E371))</f>
        <v/>
      </c>
      <c r="G371" s="5"/>
      <c r="H371" s="9" t="str">
        <f>IF(OR(A371="",G371=""),"",G371-F371)</f>
        <v/>
      </c>
      <c r="I371" s="9" t="str">
        <f>IF(A371="","",SUMIFS('Ventes du jour'!$E:$E,'Ventes du jour'!$A:$A,A371,'Ventes du jour'!$F:$F,"Mobile money"))</f>
        <v/>
      </c>
      <c r="J371" s="4"/>
    </row>
    <row r="372">
      <c r="A372" s="7"/>
      <c r="B372" s="5"/>
      <c r="C372" s="9" t="str">
        <f>IF(A372="","",SUMIFS('Ventes du jour'!$E:$E,'Ventes du jour'!$A:$A,A372,'Ventes du jour'!$F:$F,"Espèces"))</f>
        <v/>
      </c>
      <c r="D372" s="5"/>
      <c r="E372" s="5"/>
      <c r="F372" s="9" t="str">
        <f>IF(A372="","",N(B372)+N(C372)+N(D372)-N(E372))</f>
        <v/>
      </c>
      <c r="G372" s="5"/>
      <c r="H372" s="9" t="str">
        <f>IF(OR(A372="",G372=""),"",G372-F372)</f>
        <v/>
      </c>
      <c r="I372" s="9" t="str">
        <f>IF(A372="","",SUMIFS('Ventes du jour'!$E:$E,'Ventes du jour'!$A:$A,A372,'Ventes du jour'!$F:$F,"Mobile money"))</f>
        <v/>
      </c>
      <c r="J372" s="4"/>
    </row>
    <row r="373">
      <c r="A373" s="7"/>
      <c r="B373" s="5"/>
      <c r="C373" s="9" t="str">
        <f>IF(A373="","",SUMIFS('Ventes du jour'!$E:$E,'Ventes du jour'!$A:$A,A373,'Ventes du jour'!$F:$F,"Espèces"))</f>
        <v/>
      </c>
      <c r="D373" s="5"/>
      <c r="E373" s="5"/>
      <c r="F373" s="9" t="str">
        <f>IF(A373="","",N(B373)+N(C373)+N(D373)-N(E373))</f>
        <v/>
      </c>
      <c r="G373" s="5"/>
      <c r="H373" s="9" t="str">
        <f>IF(OR(A373="",G373=""),"",G373-F373)</f>
        <v/>
      </c>
      <c r="I373" s="9" t="str">
        <f>IF(A373="","",SUMIFS('Ventes du jour'!$E:$E,'Ventes du jour'!$A:$A,A373,'Ventes du jour'!$F:$F,"Mobile money"))</f>
        <v/>
      </c>
      <c r="J373" s="4"/>
    </row>
    <row r="374">
      <c r="A374" s="7"/>
      <c r="B374" s="5"/>
      <c r="C374" s="9" t="str">
        <f>IF(A374="","",SUMIFS('Ventes du jour'!$E:$E,'Ventes du jour'!$A:$A,A374,'Ventes du jour'!$F:$F,"Espèces"))</f>
        <v/>
      </c>
      <c r="D374" s="5"/>
      <c r="E374" s="5"/>
      <c r="F374" s="9" t="str">
        <f>IF(A374="","",N(B374)+N(C374)+N(D374)-N(E374))</f>
        <v/>
      </c>
      <c r="G374" s="5"/>
      <c r="H374" s="9" t="str">
        <f>IF(OR(A374="",G374=""),"",G374-F374)</f>
        <v/>
      </c>
      <c r="I374" s="9" t="str">
        <f>IF(A374="","",SUMIFS('Ventes du jour'!$E:$E,'Ventes du jour'!$A:$A,A374,'Ventes du jour'!$F:$F,"Mobile money"))</f>
        <v/>
      </c>
      <c r="J374" s="4"/>
    </row>
    <row r="375">
      <c r="A375" s="7"/>
      <c r="B375" s="5"/>
      <c r="C375" s="9" t="str">
        <f>IF(A375="","",SUMIFS('Ventes du jour'!$E:$E,'Ventes du jour'!$A:$A,A375,'Ventes du jour'!$F:$F,"Espèces"))</f>
        <v/>
      </c>
      <c r="D375" s="5"/>
      <c r="E375" s="5"/>
      <c r="F375" s="9" t="str">
        <f>IF(A375="","",N(B375)+N(C375)+N(D375)-N(E375))</f>
        <v/>
      </c>
      <c r="G375" s="5"/>
      <c r="H375" s="9" t="str">
        <f>IF(OR(A375="",G375=""),"",G375-F375)</f>
        <v/>
      </c>
      <c r="I375" s="9" t="str">
        <f>IF(A375="","",SUMIFS('Ventes du jour'!$E:$E,'Ventes du jour'!$A:$A,A375,'Ventes du jour'!$F:$F,"Mobile money"))</f>
        <v/>
      </c>
      <c r="J375" s="4"/>
    </row>
    <row r="376">
      <c r="A376" s="7"/>
      <c r="B376" s="5"/>
      <c r="C376" s="9" t="str">
        <f>IF(A376="","",SUMIFS('Ventes du jour'!$E:$E,'Ventes du jour'!$A:$A,A376,'Ventes du jour'!$F:$F,"Espèces"))</f>
        <v/>
      </c>
      <c r="D376" s="5"/>
      <c r="E376" s="5"/>
      <c r="F376" s="9" t="str">
        <f>IF(A376="","",N(B376)+N(C376)+N(D376)-N(E376))</f>
        <v/>
      </c>
      <c r="G376" s="5"/>
      <c r="H376" s="9" t="str">
        <f>IF(OR(A376="",G376=""),"",G376-F376)</f>
        <v/>
      </c>
      <c r="I376" s="9" t="str">
        <f>IF(A376="","",SUMIFS('Ventes du jour'!$E:$E,'Ventes du jour'!$A:$A,A376,'Ventes du jour'!$F:$F,"Mobile money"))</f>
        <v/>
      </c>
      <c r="J376" s="4"/>
    </row>
    <row r="377">
      <c r="A377" s="7"/>
      <c r="B377" s="5"/>
      <c r="C377" s="9" t="str">
        <f>IF(A377="","",SUMIFS('Ventes du jour'!$E:$E,'Ventes du jour'!$A:$A,A377,'Ventes du jour'!$F:$F,"Espèces"))</f>
        <v/>
      </c>
      <c r="D377" s="5"/>
      <c r="E377" s="5"/>
      <c r="F377" s="9" t="str">
        <f>IF(A377="","",N(B377)+N(C377)+N(D377)-N(E377))</f>
        <v/>
      </c>
      <c r="G377" s="5"/>
      <c r="H377" s="9" t="str">
        <f>IF(OR(A377="",G377=""),"",G377-F377)</f>
        <v/>
      </c>
      <c r="I377" s="9" t="str">
        <f>IF(A377="","",SUMIFS('Ventes du jour'!$E:$E,'Ventes du jour'!$A:$A,A377,'Ventes du jour'!$F:$F,"Mobile money"))</f>
        <v/>
      </c>
      <c r="J377" s="4"/>
    </row>
    <row r="378">
      <c r="A378" s="7"/>
      <c r="B378" s="5"/>
      <c r="C378" s="9" t="str">
        <f>IF(A378="","",SUMIFS('Ventes du jour'!$E:$E,'Ventes du jour'!$A:$A,A378,'Ventes du jour'!$F:$F,"Espèces"))</f>
        <v/>
      </c>
      <c r="D378" s="5"/>
      <c r="E378" s="5"/>
      <c r="F378" s="9" t="str">
        <f>IF(A378="","",N(B378)+N(C378)+N(D378)-N(E378))</f>
        <v/>
      </c>
      <c r="G378" s="5"/>
      <c r="H378" s="9" t="str">
        <f>IF(OR(A378="",G378=""),"",G378-F378)</f>
        <v/>
      </c>
      <c r="I378" s="9" t="str">
        <f>IF(A378="","",SUMIFS('Ventes du jour'!$E:$E,'Ventes du jour'!$A:$A,A378,'Ventes du jour'!$F:$F,"Mobile money"))</f>
        <v/>
      </c>
      <c r="J378" s="4"/>
    </row>
    <row r="379">
      <c r="A379" s="7"/>
      <c r="B379" s="5"/>
      <c r="C379" s="9" t="str">
        <f>IF(A379="","",SUMIFS('Ventes du jour'!$E:$E,'Ventes du jour'!$A:$A,A379,'Ventes du jour'!$F:$F,"Espèces"))</f>
        <v/>
      </c>
      <c r="D379" s="5"/>
      <c r="E379" s="5"/>
      <c r="F379" s="9" t="str">
        <f>IF(A379="","",N(B379)+N(C379)+N(D379)-N(E379))</f>
        <v/>
      </c>
      <c r="G379" s="5"/>
      <c r="H379" s="9" t="str">
        <f>IF(OR(A379="",G379=""),"",G379-F379)</f>
        <v/>
      </c>
      <c r="I379" s="9" t="str">
        <f>IF(A379="","",SUMIFS('Ventes du jour'!$E:$E,'Ventes du jour'!$A:$A,A379,'Ventes du jour'!$F:$F,"Mobile money"))</f>
        <v/>
      </c>
      <c r="J379" s="4"/>
    </row>
    <row r="380">
      <c r="A380" s="7"/>
      <c r="B380" s="5"/>
      <c r="C380" s="9" t="str">
        <f>IF(A380="","",SUMIFS('Ventes du jour'!$E:$E,'Ventes du jour'!$A:$A,A380,'Ventes du jour'!$F:$F,"Espèces"))</f>
        <v/>
      </c>
      <c r="D380" s="5"/>
      <c r="E380" s="5"/>
      <c r="F380" s="9" t="str">
        <f>IF(A380="","",N(B380)+N(C380)+N(D380)-N(E380))</f>
        <v/>
      </c>
      <c r="G380" s="5"/>
      <c r="H380" s="9" t="str">
        <f>IF(OR(A380="",G380=""),"",G380-F380)</f>
        <v/>
      </c>
      <c r="I380" s="9" t="str">
        <f>IF(A380="","",SUMIFS('Ventes du jour'!$E:$E,'Ventes du jour'!$A:$A,A380,'Ventes du jour'!$F:$F,"Mobile money"))</f>
        <v/>
      </c>
      <c r="J380" s="4"/>
    </row>
    <row r="381">
      <c r="A381" s="7"/>
      <c r="B381" s="5"/>
      <c r="C381" s="9" t="str">
        <f>IF(A381="","",SUMIFS('Ventes du jour'!$E:$E,'Ventes du jour'!$A:$A,A381,'Ventes du jour'!$F:$F,"Espèces"))</f>
        <v/>
      </c>
      <c r="D381" s="5"/>
      <c r="E381" s="5"/>
      <c r="F381" s="9" t="str">
        <f>IF(A381="","",N(B381)+N(C381)+N(D381)-N(E381))</f>
        <v/>
      </c>
      <c r="G381" s="5"/>
      <c r="H381" s="9" t="str">
        <f>IF(OR(A381="",G381=""),"",G381-F381)</f>
        <v/>
      </c>
      <c r="I381" s="9" t="str">
        <f>IF(A381="","",SUMIFS('Ventes du jour'!$E:$E,'Ventes du jour'!$A:$A,A381,'Ventes du jour'!$F:$F,"Mobile money"))</f>
        <v/>
      </c>
      <c r="J381" s="4"/>
    </row>
    <row r="382">
      <c r="A382" s="7"/>
      <c r="B382" s="5"/>
      <c r="C382" s="9" t="str">
        <f>IF(A382="","",SUMIFS('Ventes du jour'!$E:$E,'Ventes du jour'!$A:$A,A382,'Ventes du jour'!$F:$F,"Espèces"))</f>
        <v/>
      </c>
      <c r="D382" s="5"/>
      <c r="E382" s="5"/>
      <c r="F382" s="9" t="str">
        <f>IF(A382="","",N(B382)+N(C382)+N(D382)-N(E382))</f>
        <v/>
      </c>
      <c r="G382" s="5"/>
      <c r="H382" s="9" t="str">
        <f>IF(OR(A382="",G382=""),"",G382-F382)</f>
        <v/>
      </c>
      <c r="I382" s="9" t="str">
        <f>IF(A382="","",SUMIFS('Ventes du jour'!$E:$E,'Ventes du jour'!$A:$A,A382,'Ventes du jour'!$F:$F,"Mobile money"))</f>
        <v/>
      </c>
      <c r="J382" s="4"/>
    </row>
    <row r="383">
      <c r="A383" s="7"/>
      <c r="B383" s="5"/>
      <c r="C383" s="9" t="str">
        <f>IF(A383="","",SUMIFS('Ventes du jour'!$E:$E,'Ventes du jour'!$A:$A,A383,'Ventes du jour'!$F:$F,"Espèces"))</f>
        <v/>
      </c>
      <c r="D383" s="5"/>
      <c r="E383" s="5"/>
      <c r="F383" s="9" t="str">
        <f>IF(A383="","",N(B383)+N(C383)+N(D383)-N(E383))</f>
        <v/>
      </c>
      <c r="G383" s="5"/>
      <c r="H383" s="9" t="str">
        <f>IF(OR(A383="",G383=""),"",G383-F383)</f>
        <v/>
      </c>
      <c r="I383" s="9" t="str">
        <f>IF(A383="","",SUMIFS('Ventes du jour'!$E:$E,'Ventes du jour'!$A:$A,A383,'Ventes du jour'!$F:$F,"Mobile money"))</f>
        <v/>
      </c>
      <c r="J383" s="4"/>
    </row>
    <row r="384">
      <c r="A384" s="7"/>
      <c r="B384" s="5"/>
      <c r="C384" s="9" t="str">
        <f>IF(A384="","",SUMIFS('Ventes du jour'!$E:$E,'Ventes du jour'!$A:$A,A384,'Ventes du jour'!$F:$F,"Espèces"))</f>
        <v/>
      </c>
      <c r="D384" s="5"/>
      <c r="E384" s="5"/>
      <c r="F384" s="9" t="str">
        <f>IF(A384="","",N(B384)+N(C384)+N(D384)-N(E384))</f>
        <v/>
      </c>
      <c r="G384" s="5"/>
      <c r="H384" s="9" t="str">
        <f>IF(OR(A384="",G384=""),"",G384-F384)</f>
        <v/>
      </c>
      <c r="I384" s="9" t="str">
        <f>IF(A384="","",SUMIFS('Ventes du jour'!$E:$E,'Ventes du jour'!$A:$A,A384,'Ventes du jour'!$F:$F,"Mobile money"))</f>
        <v/>
      </c>
      <c r="J384" s="4"/>
    </row>
    <row r="385">
      <c r="A385" s="7"/>
      <c r="B385" s="5"/>
      <c r="C385" s="9" t="str">
        <f>IF(A385="","",SUMIFS('Ventes du jour'!$E:$E,'Ventes du jour'!$A:$A,A385,'Ventes du jour'!$F:$F,"Espèces"))</f>
        <v/>
      </c>
      <c r="D385" s="5"/>
      <c r="E385" s="5"/>
      <c r="F385" s="9" t="str">
        <f>IF(A385="","",N(B385)+N(C385)+N(D385)-N(E385))</f>
        <v/>
      </c>
      <c r="G385" s="5"/>
      <c r="H385" s="9" t="str">
        <f>IF(OR(A385="",G385=""),"",G385-F385)</f>
        <v/>
      </c>
      <c r="I385" s="9" t="str">
        <f>IF(A385="","",SUMIFS('Ventes du jour'!$E:$E,'Ventes du jour'!$A:$A,A385,'Ventes du jour'!$F:$F,"Mobile money"))</f>
        <v/>
      </c>
      <c r="J385" s="4"/>
    </row>
    <row r="386">
      <c r="A386" s="7"/>
      <c r="B386" s="5"/>
      <c r="C386" s="9" t="str">
        <f>IF(A386="","",SUMIFS('Ventes du jour'!$E:$E,'Ventes du jour'!$A:$A,A386,'Ventes du jour'!$F:$F,"Espèces"))</f>
        <v/>
      </c>
      <c r="D386" s="5"/>
      <c r="E386" s="5"/>
      <c r="F386" s="9" t="str">
        <f>IF(A386="","",N(B386)+N(C386)+N(D386)-N(E386))</f>
        <v/>
      </c>
      <c r="G386" s="5"/>
      <c r="H386" s="9" t="str">
        <f>IF(OR(A386="",G386=""),"",G386-F386)</f>
        <v/>
      </c>
      <c r="I386" s="9" t="str">
        <f>IF(A386="","",SUMIFS('Ventes du jour'!$E:$E,'Ventes du jour'!$A:$A,A386,'Ventes du jour'!$F:$F,"Mobile money"))</f>
        <v/>
      </c>
      <c r="J386" s="4"/>
    </row>
    <row r="387">
      <c r="A387" s="7"/>
      <c r="B387" s="5"/>
      <c r="C387" s="9" t="str">
        <f>IF(A387="","",SUMIFS('Ventes du jour'!$E:$E,'Ventes du jour'!$A:$A,A387,'Ventes du jour'!$F:$F,"Espèces"))</f>
        <v/>
      </c>
      <c r="D387" s="5"/>
      <c r="E387" s="5"/>
      <c r="F387" s="9" t="str">
        <f>IF(A387="","",N(B387)+N(C387)+N(D387)-N(E387))</f>
        <v/>
      </c>
      <c r="G387" s="5"/>
      <c r="H387" s="9" t="str">
        <f>IF(OR(A387="",G387=""),"",G387-F387)</f>
        <v/>
      </c>
      <c r="I387" s="9" t="str">
        <f>IF(A387="","",SUMIFS('Ventes du jour'!$E:$E,'Ventes du jour'!$A:$A,A387,'Ventes du jour'!$F:$F,"Mobile money"))</f>
        <v/>
      </c>
      <c r="J387" s="4"/>
    </row>
    <row r="388">
      <c r="A388" s="7"/>
      <c r="B388" s="5"/>
      <c r="C388" s="9" t="str">
        <f>IF(A388="","",SUMIFS('Ventes du jour'!$E:$E,'Ventes du jour'!$A:$A,A388,'Ventes du jour'!$F:$F,"Espèces"))</f>
        <v/>
      </c>
      <c r="D388" s="5"/>
      <c r="E388" s="5"/>
      <c r="F388" s="9" t="str">
        <f>IF(A388="","",N(B388)+N(C388)+N(D388)-N(E388))</f>
        <v/>
      </c>
      <c r="G388" s="5"/>
      <c r="H388" s="9" t="str">
        <f>IF(OR(A388="",G388=""),"",G388-F388)</f>
        <v/>
      </c>
      <c r="I388" s="9" t="str">
        <f>IF(A388="","",SUMIFS('Ventes du jour'!$E:$E,'Ventes du jour'!$A:$A,A388,'Ventes du jour'!$F:$F,"Mobile money"))</f>
        <v/>
      </c>
      <c r="J388" s="4"/>
    </row>
    <row r="389">
      <c r="A389" s="7"/>
      <c r="B389" s="5"/>
      <c r="C389" s="9" t="str">
        <f>IF(A389="","",SUMIFS('Ventes du jour'!$E:$E,'Ventes du jour'!$A:$A,A389,'Ventes du jour'!$F:$F,"Espèces"))</f>
        <v/>
      </c>
      <c r="D389" s="5"/>
      <c r="E389" s="5"/>
      <c r="F389" s="9" t="str">
        <f>IF(A389="","",N(B389)+N(C389)+N(D389)-N(E389))</f>
        <v/>
      </c>
      <c r="G389" s="5"/>
      <c r="H389" s="9" t="str">
        <f>IF(OR(A389="",G389=""),"",G389-F389)</f>
        <v/>
      </c>
      <c r="I389" s="9" t="str">
        <f>IF(A389="","",SUMIFS('Ventes du jour'!$E:$E,'Ventes du jour'!$A:$A,A389,'Ventes du jour'!$F:$F,"Mobile money"))</f>
        <v/>
      </c>
      <c r="J389" s="4"/>
    </row>
    <row r="390">
      <c r="A390" s="7"/>
      <c r="B390" s="5"/>
      <c r="C390" s="9" t="str">
        <f>IF(A390="","",SUMIFS('Ventes du jour'!$E:$E,'Ventes du jour'!$A:$A,A390,'Ventes du jour'!$F:$F,"Espèces"))</f>
        <v/>
      </c>
      <c r="D390" s="5"/>
      <c r="E390" s="5"/>
      <c r="F390" s="9" t="str">
        <f>IF(A390="","",N(B390)+N(C390)+N(D390)-N(E390))</f>
        <v/>
      </c>
      <c r="G390" s="5"/>
      <c r="H390" s="9" t="str">
        <f>IF(OR(A390="",G390=""),"",G390-F390)</f>
        <v/>
      </c>
      <c r="I390" s="9" t="str">
        <f>IF(A390="","",SUMIFS('Ventes du jour'!$E:$E,'Ventes du jour'!$A:$A,A390,'Ventes du jour'!$F:$F,"Mobile money"))</f>
        <v/>
      </c>
      <c r="J390" s="4"/>
    </row>
    <row r="391">
      <c r="A391" s="7"/>
      <c r="B391" s="5"/>
      <c r="C391" s="9" t="str">
        <f>IF(A391="","",SUMIFS('Ventes du jour'!$E:$E,'Ventes du jour'!$A:$A,A391,'Ventes du jour'!$F:$F,"Espèces"))</f>
        <v/>
      </c>
      <c r="D391" s="5"/>
      <c r="E391" s="5"/>
      <c r="F391" s="9" t="str">
        <f>IF(A391="","",N(B391)+N(C391)+N(D391)-N(E391))</f>
        <v/>
      </c>
      <c r="G391" s="5"/>
      <c r="H391" s="9" t="str">
        <f>IF(OR(A391="",G391=""),"",G391-F391)</f>
        <v/>
      </c>
      <c r="I391" s="9" t="str">
        <f>IF(A391="","",SUMIFS('Ventes du jour'!$E:$E,'Ventes du jour'!$A:$A,A391,'Ventes du jour'!$F:$F,"Mobile money"))</f>
        <v/>
      </c>
      <c r="J391" s="4"/>
    </row>
    <row r="392">
      <c r="A392" s="7"/>
      <c r="B392" s="5"/>
      <c r="C392" s="9" t="str">
        <f>IF(A392="","",SUMIFS('Ventes du jour'!$E:$E,'Ventes du jour'!$A:$A,A392,'Ventes du jour'!$F:$F,"Espèces"))</f>
        <v/>
      </c>
      <c r="D392" s="5"/>
      <c r="E392" s="5"/>
      <c r="F392" s="9" t="str">
        <f>IF(A392="","",N(B392)+N(C392)+N(D392)-N(E392))</f>
        <v/>
      </c>
      <c r="G392" s="5"/>
      <c r="H392" s="9" t="str">
        <f>IF(OR(A392="",G392=""),"",G392-F392)</f>
        <v/>
      </c>
      <c r="I392" s="9" t="str">
        <f>IF(A392="","",SUMIFS('Ventes du jour'!$E:$E,'Ventes du jour'!$A:$A,A392,'Ventes du jour'!$F:$F,"Mobile money"))</f>
        <v/>
      </c>
      <c r="J392" s="4"/>
    </row>
    <row r="393">
      <c r="A393" s="7"/>
      <c r="B393" s="5"/>
      <c r="C393" s="9" t="str">
        <f>IF(A393="","",SUMIFS('Ventes du jour'!$E:$E,'Ventes du jour'!$A:$A,A393,'Ventes du jour'!$F:$F,"Espèces"))</f>
        <v/>
      </c>
      <c r="D393" s="5"/>
      <c r="E393" s="5"/>
      <c r="F393" s="9" t="str">
        <f>IF(A393="","",N(B393)+N(C393)+N(D393)-N(E393))</f>
        <v/>
      </c>
      <c r="G393" s="5"/>
      <c r="H393" s="9" t="str">
        <f>IF(OR(A393="",G393=""),"",G393-F393)</f>
        <v/>
      </c>
      <c r="I393" s="9" t="str">
        <f>IF(A393="","",SUMIFS('Ventes du jour'!$E:$E,'Ventes du jour'!$A:$A,A393,'Ventes du jour'!$F:$F,"Mobile money"))</f>
        <v/>
      </c>
      <c r="J393" s="4"/>
    </row>
    <row r="394">
      <c r="A394" s="7"/>
      <c r="B394" s="5"/>
      <c r="C394" s="9" t="str">
        <f>IF(A394="","",SUMIFS('Ventes du jour'!$E:$E,'Ventes du jour'!$A:$A,A394,'Ventes du jour'!$F:$F,"Espèces"))</f>
        <v/>
      </c>
      <c r="D394" s="5"/>
      <c r="E394" s="5"/>
      <c r="F394" s="9" t="str">
        <f>IF(A394="","",N(B394)+N(C394)+N(D394)-N(E394))</f>
        <v/>
      </c>
      <c r="G394" s="5"/>
      <c r="H394" s="9" t="str">
        <f>IF(OR(A394="",G394=""),"",G394-F394)</f>
        <v/>
      </c>
      <c r="I394" s="9" t="str">
        <f>IF(A394="","",SUMIFS('Ventes du jour'!$E:$E,'Ventes du jour'!$A:$A,A394,'Ventes du jour'!$F:$F,"Mobile money"))</f>
        <v/>
      </c>
      <c r="J394" s="4"/>
    </row>
    <row r="395">
      <c r="A395" s="7"/>
      <c r="B395" s="5"/>
      <c r="C395" s="9" t="str">
        <f>IF(A395="","",SUMIFS('Ventes du jour'!$E:$E,'Ventes du jour'!$A:$A,A395,'Ventes du jour'!$F:$F,"Espèces"))</f>
        <v/>
      </c>
      <c r="D395" s="5"/>
      <c r="E395" s="5"/>
      <c r="F395" s="9" t="str">
        <f>IF(A395="","",N(B395)+N(C395)+N(D395)-N(E395))</f>
        <v/>
      </c>
      <c r="G395" s="5"/>
      <c r="H395" s="9" t="str">
        <f>IF(OR(A395="",G395=""),"",G395-F395)</f>
        <v/>
      </c>
      <c r="I395" s="9" t="str">
        <f>IF(A395="","",SUMIFS('Ventes du jour'!$E:$E,'Ventes du jour'!$A:$A,A395,'Ventes du jour'!$F:$F,"Mobile money"))</f>
        <v/>
      </c>
      <c r="J395" s="4"/>
    </row>
    <row r="396">
      <c r="A396" s="7"/>
      <c r="B396" s="5"/>
      <c r="C396" s="9" t="str">
        <f>IF(A396="","",SUMIFS('Ventes du jour'!$E:$E,'Ventes du jour'!$A:$A,A396,'Ventes du jour'!$F:$F,"Espèces"))</f>
        <v/>
      </c>
      <c r="D396" s="5"/>
      <c r="E396" s="5"/>
      <c r="F396" s="9" t="str">
        <f>IF(A396="","",N(B396)+N(C396)+N(D396)-N(E396))</f>
        <v/>
      </c>
      <c r="G396" s="5"/>
      <c r="H396" s="9" t="str">
        <f>IF(OR(A396="",G396=""),"",G396-F396)</f>
        <v/>
      </c>
      <c r="I396" s="9" t="str">
        <f>IF(A396="","",SUMIFS('Ventes du jour'!$E:$E,'Ventes du jour'!$A:$A,A396,'Ventes du jour'!$F:$F,"Mobile money"))</f>
        <v/>
      </c>
      <c r="J396" s="4"/>
    </row>
    <row r="397">
      <c r="A397" s="7"/>
      <c r="B397" s="5"/>
      <c r="C397" s="9" t="str">
        <f>IF(A397="","",SUMIFS('Ventes du jour'!$E:$E,'Ventes du jour'!$A:$A,A397,'Ventes du jour'!$F:$F,"Espèces"))</f>
        <v/>
      </c>
      <c r="D397" s="5"/>
      <c r="E397" s="5"/>
      <c r="F397" s="9" t="str">
        <f>IF(A397="","",N(B397)+N(C397)+N(D397)-N(E397))</f>
        <v/>
      </c>
      <c r="G397" s="5"/>
      <c r="H397" s="9" t="str">
        <f>IF(OR(A397="",G397=""),"",G397-F397)</f>
        <v/>
      </c>
      <c r="I397" s="9" t="str">
        <f>IF(A397="","",SUMIFS('Ventes du jour'!$E:$E,'Ventes du jour'!$A:$A,A397,'Ventes du jour'!$F:$F,"Mobile money"))</f>
        <v/>
      </c>
      <c r="J397" s="4"/>
    </row>
    <row r="398">
      <c r="A398" s="7"/>
      <c r="B398" s="5"/>
      <c r="C398" s="9" t="str">
        <f>IF(A398="","",SUMIFS('Ventes du jour'!$E:$E,'Ventes du jour'!$A:$A,A398,'Ventes du jour'!$F:$F,"Espèces"))</f>
        <v/>
      </c>
      <c r="D398" s="5"/>
      <c r="E398" s="5"/>
      <c r="F398" s="9" t="str">
        <f>IF(A398="","",N(B398)+N(C398)+N(D398)-N(E398))</f>
        <v/>
      </c>
      <c r="G398" s="5"/>
      <c r="H398" s="9" t="str">
        <f>IF(OR(A398="",G398=""),"",G398-F398)</f>
        <v/>
      </c>
      <c r="I398" s="9" t="str">
        <f>IF(A398="","",SUMIFS('Ventes du jour'!$E:$E,'Ventes du jour'!$A:$A,A398,'Ventes du jour'!$F:$F,"Mobile money"))</f>
        <v/>
      </c>
      <c r="J398" s="4"/>
    </row>
    <row r="399">
      <c r="A399" s="7"/>
      <c r="B399" s="5"/>
      <c r="C399" s="9" t="str">
        <f>IF(A399="","",SUMIFS('Ventes du jour'!$E:$E,'Ventes du jour'!$A:$A,A399,'Ventes du jour'!$F:$F,"Espèces"))</f>
        <v/>
      </c>
      <c r="D399" s="5"/>
      <c r="E399" s="5"/>
      <c r="F399" s="9" t="str">
        <f>IF(A399="","",N(B399)+N(C399)+N(D399)-N(E399))</f>
        <v/>
      </c>
      <c r="G399" s="5"/>
      <c r="H399" s="9" t="str">
        <f>IF(OR(A399="",G399=""),"",G399-F399)</f>
        <v/>
      </c>
      <c r="I399" s="9" t="str">
        <f>IF(A399="","",SUMIFS('Ventes du jour'!$E:$E,'Ventes du jour'!$A:$A,A399,'Ventes du jour'!$F:$F,"Mobile money"))</f>
        <v/>
      </c>
      <c r="J399" s="4"/>
    </row>
    <row r="400">
      <c r="A400" s="7"/>
      <c r="B400" s="5"/>
      <c r="C400" s="9" t="str">
        <f>IF(A400="","",SUMIFS('Ventes du jour'!$E:$E,'Ventes du jour'!$A:$A,A400,'Ventes du jour'!$F:$F,"Espèces"))</f>
        <v/>
      </c>
      <c r="D400" s="5"/>
      <c r="E400" s="5"/>
      <c r="F400" s="9" t="str">
        <f>IF(A400="","",N(B400)+N(C400)+N(D400)-N(E400))</f>
        <v/>
      </c>
      <c r="G400" s="5"/>
      <c r="H400" s="9" t="str">
        <f>IF(OR(A400="",G400=""),"",G400-F400)</f>
        <v/>
      </c>
      <c r="I400" s="9" t="str">
        <f>IF(A400="","",SUMIFS('Ventes du jour'!$E:$E,'Ventes du jour'!$A:$A,A400,'Ventes du jour'!$F:$F,"Mobile money"))</f>
        <v/>
      </c>
      <c r="J400" s="4"/>
    </row>
    <row r="401">
      <c r="A401" s="7"/>
      <c r="B401" s="5"/>
      <c r="C401" s="9" t="str">
        <f>IF(A401="","",SUMIFS('Ventes du jour'!$E:$E,'Ventes du jour'!$A:$A,A401,'Ventes du jour'!$F:$F,"Espèces"))</f>
        <v/>
      </c>
      <c r="D401" s="5"/>
      <c r="E401" s="5"/>
      <c r="F401" s="9" t="str">
        <f>IF(A401="","",N(B401)+N(C401)+N(D401)-N(E401))</f>
        <v/>
      </c>
      <c r="G401" s="5"/>
      <c r="H401" s="9" t="str">
        <f>IF(OR(A401="",G401=""),"",G401-F401)</f>
        <v/>
      </c>
      <c r="I401" s="9" t="str">
        <f>IF(A401="","",SUMIFS('Ventes du jour'!$E:$E,'Ventes du jour'!$A:$A,A401,'Ventes du jour'!$F:$F,"Mobile money"))</f>
        <v/>
      </c>
      <c r="J401" s="4"/>
    </row>
    <row r="402">
      <c r="A402" s="7"/>
      <c r="B402" s="5"/>
      <c r="C402" s="9" t="str">
        <f>IF(A402="","",SUMIFS('Ventes du jour'!$E:$E,'Ventes du jour'!$A:$A,A402,'Ventes du jour'!$F:$F,"Espèces"))</f>
        <v/>
      </c>
      <c r="D402" s="5"/>
      <c r="E402" s="5"/>
      <c r="F402" s="9" t="str">
        <f>IF(A402="","",N(B402)+N(C402)+N(D402)-N(E402))</f>
        <v/>
      </c>
      <c r="G402" s="5"/>
      <c r="H402" s="9" t="str">
        <f>IF(OR(A402="",G402=""),"",G402-F402)</f>
        <v/>
      </c>
      <c r="I402" s="9" t="str">
        <f>IF(A402="","",SUMIFS('Ventes du jour'!$E:$E,'Ventes du jour'!$A:$A,A402,'Ventes du jour'!$F:$F,"Mobile money"))</f>
        <v/>
      </c>
      <c r="J402" s="4"/>
    </row>
    <row r="403">
      <c r="A403" s="7"/>
      <c r="B403" s="5"/>
      <c r="C403" s="9" t="str">
        <f>IF(A403="","",SUMIFS('Ventes du jour'!$E:$E,'Ventes du jour'!$A:$A,A403,'Ventes du jour'!$F:$F,"Espèces"))</f>
        <v/>
      </c>
      <c r="D403" s="5"/>
      <c r="E403" s="5"/>
      <c r="F403" s="9" t="str">
        <f>IF(A403="","",N(B403)+N(C403)+N(D403)-N(E403))</f>
        <v/>
      </c>
      <c r="G403" s="5"/>
      <c r="H403" s="9" t="str">
        <f>IF(OR(A403="",G403=""),"",G403-F403)</f>
        <v/>
      </c>
      <c r="I403" s="9" t="str">
        <f>IF(A403="","",SUMIFS('Ventes du jour'!$E:$E,'Ventes du jour'!$A:$A,A403,'Ventes du jour'!$F:$F,"Mobile money"))</f>
        <v/>
      </c>
      <c r="J403" s="4"/>
    </row>
  </sheetData>
  <mergeCells count="1">
    <mergeCell ref="A2:J2"/>
  </mergeCells>
  <conditionalFormatting sqref="B4:I403">
    <cfRule type="expression" dxfId="0" priority="1">
      <formula>MOD(B4,1)&lt;&gt;0</formula>
    </cfRule>
  </conditionalFormatting>
  <conditionalFormatting sqref="H4:H403">
    <cfRule type="expression" dxfId="1" priority="2">
      <formula>AND(ISNUMBER($H4),$H4&lt;&gt;0)</formula>
    </cfRule>
    <cfRule type="expression" dxfId="2" priority="3">
      <formula>AND(ISNUMBER($H4),$H4=0)</formula>
    </cfRule>
  </conditionalFormatting>
  <pageMargins left="0.4" right="0.4" top="0.5" bottom="0.5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71B26"/>
    <pageSetUpPr fitToPage="1"/>
  </sheetPr>
  <sheetViews>
    <sheetView workbookViewId="0"/>
  </sheetViews>
  <sheetFormatPr defaultRowHeight="15"/>
  <cols>
    <col min="1" max="1" width="44" customWidth="1"/>
    <col min="2" max="2" width="20" customWidth="1"/>
    <col min="3" max="3" width="44" customWidth="1"/>
  </cols>
  <sheetData>
    <row r="1" ht="24" customHeight="1">
      <c r="A1" s="1" t="inlineStr">
        <is>
          <t xml:space="preserve">Où j'en suis</t>
        </is>
      </c>
    </row>
    <row r="2">
      <c r="A2" s="17" t="inlineStr">
        <is>
          <t xml:space="preserve">Montants en :</t>
        </is>
      </c>
      <c r="B2" s="22" t="str">
        <f>IF(Articles!$N$1="","(écris ta monnaie dans Articles, case « Ma monnaie »)",Articles!$N$1)</f>
        <v>(écris ta monnaie dans Articles, case « Ma monnaie »)</v>
      </c>
    </row>
    <row r="4">
      <c r="A4" s="17" t="inlineStr">
        <is>
          <t xml:space="preserve">Jour à regarder</t>
        </is>
      </c>
      <c r="B4" s="21"/>
      <c r="C4" s="2" t="inlineStr">
        <is>
          <t xml:space="preserve">Laisse vide pour aujourd'hui, ou écris une date.</t>
        </is>
      </c>
    </row>
    <row r="5">
      <c r="A5" s="17" t="inlineStr">
        <is>
          <t xml:space="preserve">Jour affiché</t>
        </is>
      </c>
      <c r="B5" s="23">
        <f>IF(B4="",TODAY(),B4)</f>
      </c>
    </row>
    <row r="7" ht="20" customHeight="1">
      <c r="A7" s="20" t="inlineStr">
        <is>
          <t xml:space="preserve">La journée</t>
        </is>
      </c>
    </row>
    <row r="8">
      <c r="A8" s="17" t="inlineStr">
        <is>
          <t xml:space="preserve">Ventes du jour</t>
        </is>
      </c>
      <c r="B8" s="18">
        <f>SUMIFS('Ventes du jour'!$E:$E,'Ventes du jour'!$A:$A,$B$5)</f>
      </c>
    </row>
    <row r="9">
      <c r="A9" s="17" t="inlineStr">
        <is>
          <t xml:space="preserve">   dont Espèces</t>
        </is>
      </c>
      <c r="B9" s="18">
        <f>SUMIFS('Ventes du jour'!$E:$E,'Ventes du jour'!$A:$A,$B$5,'Ventes du jour'!$F:$F,"Espèces")</f>
      </c>
    </row>
    <row r="10">
      <c r="A10" s="17" t="inlineStr">
        <is>
          <t xml:space="preserve">   dont Mobile money</t>
        </is>
      </c>
      <c r="B10" s="18">
        <f>SUMIFS('Ventes du jour'!$E:$E,'Ventes du jour'!$A:$A,$B$5,'Ventes du jour'!$F:$F,"Mobile money")</f>
      </c>
    </row>
    <row r="11">
      <c r="A11" s="17" t="inlineStr">
        <is>
          <t xml:space="preserve">   dont Carte</t>
        </is>
      </c>
      <c r="B11" s="18">
        <f>SUMIFS('Ventes du jour'!$E:$E,'Ventes du jour'!$A:$A,$B$5,'Ventes du jour'!$F:$F,"Carte")</f>
      </c>
    </row>
    <row r="12">
      <c r="A12" s="17" t="inlineStr">
        <is>
          <t xml:space="preserve">   dont Crédit</t>
        </is>
      </c>
      <c r="B12" s="18">
        <f>SUMIFS('Ventes du jour'!$E:$E,'Ventes du jour'!$A:$A,$B$5,'Ventes du jour'!$F:$F,"Crédit")</f>
      </c>
    </row>
    <row r="13">
      <c r="A13" s="17" t="inlineStr">
        <is>
          <t xml:space="preserve">Marge du jour</t>
        </is>
      </c>
      <c r="B13" s="18">
        <f>SUMIFS('Ventes du jour'!$I:$I,'Ventes du jour'!$A:$A,$B$5)</f>
      </c>
    </row>
    <row r="14">
      <c r="A14" s="17" t="inlineStr">
        <is>
          <t xml:space="preserve">Écart de caisse du jour</t>
        </is>
      </c>
      <c r="B14" s="18">
        <f>IFERROR(INDEX('Caisse du jour'!$H:$H,MATCH($B$5,'Caisse du jour'!$A:$A,0)),"")</f>
      </c>
      <c r="C14" s="2" t="inlineStr">
        <is>
          <t xml:space="preserve">vide = caisse pas encore comptée ce jour-là</t>
        </is>
      </c>
    </row>
    <row r="16" ht="20" customHeight="1">
      <c r="A16" s="20" t="inlineStr">
        <is>
          <t xml:space="preserve">Le mois de ce jour</t>
        </is>
      </c>
    </row>
    <row r="17">
      <c r="A17" s="17" t="inlineStr">
        <is>
          <t xml:space="preserve">Ventes du mois</t>
        </is>
      </c>
      <c r="B17" s="18">
        <f>SUMIFS('Ventes du jour'!$E:$E,'Ventes du jour'!$A:$A,"&gt;="&amp;(EOMONTH($B$5,-1)+1),'Ventes du jour'!$A:$A,"&lt;="&amp;EOMONTH($B$5,0))</f>
      </c>
    </row>
    <row r="18">
      <c r="A18" s="17" t="inlineStr">
        <is>
          <t xml:space="preserve">Marge du mois</t>
        </is>
      </c>
      <c r="B18" s="18">
        <f>SUMIFS('Ventes du jour'!$I:$I,'Ventes du jour'!$A:$A,"&gt;="&amp;(EOMONTH($B$5,-1)+1),'Ventes du jour'!$A:$A,"&lt;="&amp;EOMONTH($B$5,0))</f>
      </c>
    </row>
    <row r="19">
      <c r="A19" s="17" t="inlineStr">
        <is>
          <t xml:space="preserve">Achats de stock du mois</t>
        </is>
      </c>
      <c r="B19" s="18">
        <f>SUMIFS('Entrées de stock'!$E:$E,'Entrées de stock'!$A:$A,"&gt;="&amp;(EOMONTH($B$5,-1)+1),'Entrées de stock'!$A:$A,"&lt;="&amp;EOMONTH($B$5,0))</f>
      </c>
    </row>
    <row r="20">
      <c r="A20" s="17" t="inlineStr">
        <is>
          <t xml:space="preserve">Écarts de caisse du mois (cumulés)</t>
        </is>
      </c>
      <c r="B20" s="18">
        <f>SUMIFS('Caisse du jour'!$H:$H,'Caisse du jour'!$A:$A,"&gt;="&amp;(EOMONTH($B$5,-1)+1),'Caisse du jour'!$A:$A,"&lt;="&amp;EOMONTH($B$5,0))</f>
      </c>
    </row>
    <row r="22" ht="20" customHeight="1">
      <c r="A22" s="20" t="inlineStr">
        <is>
          <t xml:space="preserve">Le stock</t>
        </is>
      </c>
    </row>
    <row r="23">
      <c r="A23" s="17" t="inlineStr">
        <is>
          <t xml:space="preserve">Valeur du stock (au prix d'achat)</t>
        </is>
      </c>
      <c r="B23" s="18">
        <f>SUM(Articles!$J$2:$J$301)</f>
      </c>
    </row>
    <row r="24">
      <c r="A24" s="17" t="inlineStr">
        <is>
          <t xml:space="preserve">Articles à commander</t>
        </is>
      </c>
      <c r="B24" s="19">
        <f>COUNTIF(Articles!$K$2:$K$301,"À commander")</f>
      </c>
    </row>
    <row r="25">
      <c r="A25" s="17" t="inlineStr">
        <is>
          <t xml:space="preserve">Ce que je dois encore aux fournisseurs</t>
        </is>
      </c>
      <c r="B25" s="18">
        <f>SUMIFS('Entrées de stock'!$E:$E,'Entrées de stock'!$G:$G,"Non")</f>
      </c>
    </row>
    <row r="27" ht="32" customHeight="1">
      <c r="A27" s="2" t="inlineStr">
        <is>
          <t xml:space="preserve">Quand ce classeur devient trop lourd (plusieurs caisses, reçus à envoyer, codes-barres) : Finjaro Accounting, accounting.finjaro.net — tes articles s'y importent depuis ce fichier.</t>
        </is>
      </c>
    </row>
  </sheetData>
  <mergeCells count="1">
    <mergeCell ref="A27:C27"/>
  </mergeCells>
  <conditionalFormatting sqref="B8:B25">
    <cfRule type="expression" dxfId="0" priority="1">
      <formula>MOD(B8,1)&lt;&gt;0</formula>
    </cfRule>
  </conditionalFormatting>
  <pageMargins left="0.4" right="0.4" top="0.5" bottom="0.5" header="0.3" footer="0.3"/>
  <pageSetup orientation="portrait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Tenir son stock et sa caisse — Finjaro</dc:title>
  <dc:creator>Finjaro</dc:creator>
</cp:coreProperties>
</file>