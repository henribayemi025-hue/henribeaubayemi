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Tableau de bord" sheetId="2" state="visible" r:id="rId2"/>
    <sheet xmlns:r="http://schemas.openxmlformats.org/officeDocument/2006/relationships" name="Listes" sheetId="3" state="hidden" r:id="rId3"/>
    <sheet xmlns:r="http://schemas.openxmlformats.org/officeDocument/2006/relationships" name="Léo" sheetId="4" state="visible" r:id="rId4"/>
    <sheet xmlns:r="http://schemas.openxmlformats.org/officeDocument/2006/relationships" name="Place de marché" sheetId="5" state="visible" r:id="rId5"/>
    <sheet xmlns:r="http://schemas.openxmlformats.org/officeDocument/2006/relationships" name="Anomalies" sheetId="6" state="visible" r:id="rId6"/>
  </sheets>
  <definedNames>
    <definedName name="_xlnm._FilterDatabase" localSheetId="3" hidden="1">'Léo'!$A$1:$P$77</definedName>
    <definedName name="_xlnm.Print_Titles" localSheetId="3">'Léo'!$1:$1</definedName>
    <definedName name="_xlnm._FilterDatabase" localSheetId="4" hidden="1">'Place de marché'!$A$1:$P$36</definedName>
    <definedName name="_xlnm.Print_Titles" localSheetId="4">'Place de marché'!$1:$1</definedName>
    <definedName name="_xlnm._FilterDatabase" localSheetId="5" hidden="1">'Anomalies'!$A$1:$N$201</definedName>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2B2118"/>
      <sz val="10"/>
    </font>
    <font>
      <name val="Arial"/>
      <color rgb="002B2118"/>
      <sz val="10"/>
    </font>
    <font>
      <name val="Arial"/>
      <b val="1"/>
      <color rgb="00FFFFFF"/>
      <sz val="10"/>
    </font>
    <font>
      <name val="Arial"/>
      <color rgb="006B5B4B"/>
      <sz val="10"/>
    </font>
    <font>
      <name val="Arial"/>
      <b val="1"/>
      <color rgb="00B5532E"/>
      <sz val="16"/>
    </font>
    <font>
      <name val="Arial"/>
      <i val="1"/>
      <color rgb="006B5B4B"/>
      <sz val="10"/>
    </font>
    <font>
      <name val="Arial"/>
      <b val="1"/>
      <color rgb="002B2118"/>
      <sz val="12"/>
    </font>
    <font>
      <name val="Arial"/>
      <i val="1"/>
      <color rgb="006B5B4B"/>
      <sz val="9"/>
    </font>
    <font>
      <name val="Arial"/>
      <b val="1"/>
      <color rgb="00A8823F"/>
      <sz val="12"/>
    </font>
  </fonts>
  <fills count="6">
    <fill>
      <patternFill/>
    </fill>
    <fill>
      <patternFill patternType="gray125"/>
    </fill>
    <fill>
      <patternFill patternType="solid">
        <fgColor rgb="00B5532E"/>
        <bgColor rgb="00B5532E"/>
      </patternFill>
    </fill>
    <fill>
      <patternFill patternType="solid">
        <fgColor rgb="00A8823F"/>
        <bgColor rgb="00A8823F"/>
      </patternFill>
    </fill>
    <fill>
      <patternFill patternType="solid">
        <fgColor rgb="00FBF6EE"/>
        <bgColor rgb="00FBF6EE"/>
      </patternFill>
    </fill>
    <fill>
      <patternFill patternType="solid">
        <fgColor rgb="00FFF8E1"/>
        <bgColor rgb="00FFF8E1"/>
      </patternFill>
    </fill>
  </fills>
  <borders count="2">
    <border>
      <left/>
      <right/>
      <top/>
      <bottom/>
      <diagonal/>
    </border>
    <border>
      <left style="thin">
        <color rgb="00D9CFC1"/>
      </left>
      <right style="thin">
        <color rgb="00D9CFC1"/>
      </right>
      <top style="thin">
        <color rgb="00D9CFC1"/>
      </top>
      <bottom style="thin">
        <color rgb="00D9CFC1"/>
      </bottom>
    </border>
  </borders>
  <cellStyleXfs count="1">
    <xf numFmtId="0" fontId="0" fillId="0" borderId="0"/>
  </cellStyleXfs>
  <cellXfs count="26">
    <xf numFmtId="0" fontId="0" fillId="0" borderId="0" pivotButton="0" quotePrefix="0" xfId="0"/>
    <xf numFmtId="0" fontId="5"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9" fillId="0" borderId="0" pivotButton="0" quotePrefix="0" xfId="0"/>
    <xf numFmtId="0" fontId="6" fillId="0" borderId="0" pivotButton="0" quotePrefix="0" xfId="0"/>
    <xf numFmtId="0" fontId="7" fillId="0" borderId="0" pivotButton="0" quotePrefix="0" xfId="0"/>
    <xf numFmtId="0" fontId="3" fillId="2"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 fillId="4" borderId="1" pivotButton="0" quotePrefix="0" xfId="0"/>
    <xf numFmtId="0" fontId="1" fillId="4" borderId="1" applyAlignment="1" pivotButton="0" quotePrefix="0" xfId="0">
      <alignment horizontal="center"/>
    </xf>
    <xf numFmtId="9" fontId="1" fillId="4" borderId="1" applyAlignment="1" pivotButton="0" quotePrefix="0" xfId="0">
      <alignment horizontal="center"/>
    </xf>
    <xf numFmtId="0" fontId="1" fillId="0" borderId="1" applyAlignment="1" pivotButton="0" quotePrefix="0" xfId="0">
      <alignment horizontal="center"/>
    </xf>
    <xf numFmtId="0" fontId="8"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164" fontId="2" fillId="5"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hidden="0"/>
  </cellStyles>
  <dxfs count="5">
    <dxf>
      <font>
        <name val="Arial"/>
        <b val="1"/>
        <color rgb="00C62828"/>
      </font>
    </dxf>
    <dxf>
      <font>
        <name val="Arial"/>
        <b val="1"/>
      </font>
      <fill>
        <patternFill patternType="solid">
          <fgColor rgb="00C8E6C9"/>
          <bgColor rgb="00C8E6C9"/>
        </patternFill>
      </fill>
    </dxf>
    <dxf>
      <font>
        <name val="Arial"/>
        <b val="1"/>
      </font>
      <fill>
        <patternFill patternType="solid">
          <fgColor rgb="00F8C7C0"/>
          <bgColor rgb="00F8C7C0"/>
        </patternFill>
      </fill>
    </dxf>
    <dxf>
      <font>
        <name val="Arial"/>
        <b val="1"/>
      </font>
      <fill>
        <patternFill patternType="solid">
          <fgColor rgb="00FFE0B2"/>
          <bgColor rgb="00FFE0B2"/>
        </patternFill>
      </fill>
    </dxf>
    <dxf>
      <font>
        <name val="Arial"/>
        <b val="1"/>
      </font>
      <fill>
        <patternFill patternType="solid">
          <fgColor rgb="00E0E0E0"/>
          <b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26" customWidth="1" min="1" max="1"/>
    <col width="100" customWidth="1" min="2" max="2"/>
  </cols>
  <sheetData>
    <row r="1">
      <c r="A1" s="1" t="inlineStr">
        <is>
          <t>Cahier de test — Léo et place de marché Finjaro</t>
        </is>
      </c>
    </row>
    <row r="2" ht="15" customHeight="1">
      <c r="A2" s="2" t="inlineStr">
        <is>
          <t>Version</t>
        </is>
      </c>
      <c r="B2" s="3" t="inlineStr">
        <is>
          <t>1.0 — 30/09/2026 — préparé pour l'équipe de test</t>
        </is>
      </c>
    </row>
    <row r="3" ht="30" customHeight="1">
      <c r="A3" s="2" t="inlineStr">
        <is>
          <t>But</t>
        </is>
      </c>
      <c r="B3" s="3" t="inlineStr">
        <is>
          <t>Vérifier une par une les fonctionnalités de Léo (les agents IA) et de la place de marché Finjaro, noter ce qui marche et ce qui casse, avec assez de détails pour qu'on puisse corriger.</t>
        </is>
      </c>
    </row>
    <row r="4" ht="30" customHeight="1">
      <c r="A4" s="2" t="inlineStr">
        <is>
          <t>Où tester</t>
        </is>
      </c>
      <c r="B4" s="3" t="inlineStr">
        <is>
          <t>Préproduction uniquement : https://staging-finjaro.finjaro.workers.dev — ne jamais tester sur finjaro.net (c'est la production : les applications Android et iOS la chargent directement).</t>
        </is>
      </c>
    </row>
    <row r="5" ht="30" customHeight="1">
      <c r="A5" s="2" t="inlineStr">
        <is>
          <t>Comptes</t>
        </is>
      </c>
      <c r="B5" s="3" t="inlineStr">
        <is>
          <t>Utilisez uniquement les comptes de test fournis par Beau (marqués « test » dans la base, exclus de tous les chiffres). Aucun mot de passe n'est écrit dans ce fichier.</t>
        </is>
      </c>
    </row>
    <row r="6" ht="30" customHeight="1">
      <c r="A6" s="2" t="inlineStr">
        <is>
          <t>Données</t>
        </is>
      </c>
      <c r="B6" s="3" t="inlineStr">
        <is>
          <t>Aucune donnée réelle : pas de vrai client, pas de vrai numéro, pas de vraie carte. Inventez des noms clairement fictifs (« Boutique Test », « Client Test »).</t>
        </is>
      </c>
    </row>
    <row r="7">
      <c r="A7" s="2" t="inlineStr"/>
      <c r="B7" s="3" t="n"/>
    </row>
    <row r="8">
      <c r="A8" s="4" t="inlineStr">
        <is>
          <t>Comment remplir</t>
        </is>
      </c>
    </row>
    <row r="9" ht="30" customHeight="1">
      <c r="A9" s="2" t="inlineStr">
        <is>
          <t>Colonnes à remplir</t>
        </is>
      </c>
      <c r="B9" s="3" t="inlineStr">
        <is>
          <t>Seules les colonnes à en-tête doré (Statut → N° anomalie), fond jaune pâle, sont à remplir. Ne modifiez pas les colonnes terracotta (le scénario).</t>
        </is>
      </c>
    </row>
    <row r="10" ht="30" customHeight="1">
      <c r="A10" s="2" t="inlineStr">
        <is>
          <t>Statut</t>
        </is>
      </c>
      <c r="B10" s="3" t="inlineStr">
        <is>
          <t>À tester (par défaut) · OK : le résultat attendu est obtenu · KO : ça ne marche pas → créer une anomalie · Bloqué : impossible de tester (prérequis manquant) · Non applicable.</t>
        </is>
      </c>
    </row>
    <row r="11" ht="15" customHeight="1">
      <c r="A11" s="2" t="inlineStr">
        <is>
          <t>Résultat obtenu</t>
        </is>
      </c>
      <c r="B11" s="3" t="inlineStr">
        <is>
          <t>Ce que vous avez vraiment vu, en une ou deux phrases. Obligatoire si KO ou Bloqué.</t>
        </is>
      </c>
    </row>
    <row r="12" ht="30" customHeight="1">
      <c r="A12" s="2" t="inlineStr">
        <is>
          <t>Remarques</t>
        </is>
      </c>
      <c r="B12" s="3" t="inlineStr">
        <is>
          <t>Tout ce qui gêne sans être une panne : lenteur, texte peu clair, faute, bouton mal placé, idée d'amélioration.</t>
        </is>
      </c>
    </row>
    <row r="13" ht="30" customHeight="1">
      <c r="A13" s="2" t="inlineStr">
        <is>
          <t>Anomalies</t>
        </is>
      </c>
      <c r="B13" s="3" t="inlineStr">
        <is>
          <t>Chaque KO a une ligne dans la feuille « Anomalies » (le numéro ANO-xxx se crée tout seul dès que le titre est rempli). Reportez ce numéro dans la colonne « N° anomalie » du cas.</t>
        </is>
      </c>
    </row>
    <row r="14" ht="30" customHeight="1">
      <c r="A14" s="2" t="inlineStr">
        <is>
          <t>Gravité</t>
        </is>
      </c>
      <c r="B14" s="3" t="inlineStr">
        <is>
          <t>Bloquante : on ne peut pas continuer (connexion, commande impossible) · Majeure : fonction cassée mais contournable · Mineure : gêne légère · Cosmétique : affichage, texte, alignement.</t>
        </is>
      </c>
    </row>
    <row r="15" ht="30" customHeight="1">
      <c r="A15" s="2" t="inlineStr">
        <is>
          <t>Capture</t>
        </is>
      </c>
      <c r="B15" s="3" t="inlineStr">
        <is>
          <t>Une capture d'écran ou une courte vidéo par anomalie, en lien (Drive, WhatsApp…). Précisez l'appareil et le navigateur (ex. « Samsung A14, Chrome »).</t>
        </is>
      </c>
    </row>
    <row r="16" ht="30" customHeight="1">
      <c r="A16" s="2" t="inlineStr">
        <is>
          <t>Deux formats</t>
        </is>
      </c>
      <c r="B16" s="3" t="inlineStr">
        <is>
          <t>Testez sur téléphone ET sur grand écran quand la colonne « Appareil » l'indique : un écran correct sur téléphone peut être cassé sur ordinateur, et inversement.</t>
        </is>
      </c>
    </row>
    <row r="17" ht="30" customHeight="1">
      <c r="A17" s="2" t="inlineStr">
        <is>
          <t>Tableau de bord</t>
        </is>
      </c>
      <c r="B17" s="3" t="inlineStr">
        <is>
          <t>Se remplit tout seul : nombre de cas OK / KO / bloqués par module et anomalies ouvertes par gravité.</t>
        </is>
      </c>
    </row>
    <row r="18">
      <c r="A18" s="2" t="inlineStr"/>
      <c r="B18" s="3" t="n"/>
    </row>
    <row r="19">
      <c r="A19" s="4" t="inlineStr">
        <is>
          <t>Exemple de cas rempli</t>
        </is>
      </c>
    </row>
    <row r="20" ht="15" customHeight="1">
      <c r="A20" s="2" t="inlineStr">
        <is>
          <t>Cas</t>
        </is>
      </c>
      <c r="B20" s="3" t="inlineStr">
        <is>
          <t>LEO-012 · Salons et messages · Écrire dans un salon</t>
        </is>
      </c>
    </row>
    <row r="21" ht="15" customHeight="1">
      <c r="A21" s="2" t="inlineStr">
        <is>
          <t>Statut</t>
        </is>
      </c>
      <c r="B21" s="3" t="inlineStr">
        <is>
          <t>KO</t>
        </is>
      </c>
    </row>
    <row r="22" ht="15" customHeight="1">
      <c r="A22" s="2" t="inlineStr">
        <is>
          <t>Résultat obtenu</t>
        </is>
      </c>
      <c r="B22" s="3" t="inlineStr">
        <is>
          <t>Le message part, mais aucun agent ne répond après 60 s. « Kwame écrit… » reste affiché.</t>
        </is>
      </c>
    </row>
    <row r="23" ht="15" customHeight="1">
      <c r="A23" s="2" t="inlineStr">
        <is>
          <t>Remarques</t>
        </is>
      </c>
      <c r="B23" s="3" t="inlineStr">
        <is>
          <t>Même chose dans le salon Marketing. Ça marche après rechargement de la page.</t>
        </is>
      </c>
    </row>
    <row r="24" ht="15" customHeight="1">
      <c r="A24" s="2" t="inlineStr">
        <is>
          <t>Testeur · Date</t>
        </is>
      </c>
      <c r="B24" s="3" t="inlineStr">
        <is>
          <t>Testeur A · 01/10/2026</t>
        </is>
      </c>
    </row>
    <row r="25" ht="15" customHeight="1">
      <c r="A25" s="2" t="inlineStr">
        <is>
          <t>N° anomalie</t>
        </is>
      </c>
      <c r="B25" s="3" t="inlineStr">
        <is>
          <t>ANO-001</t>
        </is>
      </c>
    </row>
    <row r="26">
      <c r="A26" s="2" t="inlineStr"/>
      <c r="B26" s="3" t="n"/>
    </row>
    <row r="27">
      <c r="A27" s="4" t="inlineStr">
        <is>
          <t>Exemple d'anomalie</t>
        </is>
      </c>
    </row>
    <row r="28" ht="15" customHeight="1">
      <c r="A28" s="2" t="inlineStr">
        <is>
          <t>Titre court</t>
        </is>
      </c>
      <c r="B28" s="3" t="inlineStr">
        <is>
          <t>Aucun agent ne répond dans le salon Direction</t>
        </is>
      </c>
    </row>
    <row r="29" ht="15" customHeight="1">
      <c r="A29" s="2" t="inlineStr">
        <is>
          <t>Gravité · Statut</t>
        </is>
      </c>
      <c r="B29" s="3" t="inlineStr">
        <is>
          <t>Majeure · Ouverte</t>
        </is>
      </c>
    </row>
    <row r="30" ht="30" customHeight="1">
      <c r="A30" s="2" t="inlineStr">
        <is>
          <t>Étapes</t>
        </is>
      </c>
      <c r="B30" s="3" t="inlineStr">
        <is>
          <t>1. Se connecter avec le compte de test · 2. Ouvrir l'entreprise « Test Cabinet » · 3. Salon Direction · 4. Écrire « Bonjour, où en est-on ? »</t>
        </is>
      </c>
    </row>
    <row r="31" ht="15" customHeight="1">
      <c r="A31" s="2" t="inlineStr">
        <is>
          <t>Attendu / obtenu</t>
        </is>
      </c>
      <c r="B31" s="3" t="inlineStr">
        <is>
          <t>Attendu : réponse d'un agent en quelques secondes · Obtenu : aucune réponse après 60 s</t>
        </is>
      </c>
    </row>
    <row r="32" ht="15" customHeight="1">
      <c r="A32" s="2" t="inlineStr">
        <is>
          <t>Appareil</t>
        </is>
      </c>
      <c r="B32" s="3" t="inlineStr">
        <is>
          <t>Ordinateur Windows 11, Chrome 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Cahier de test — Léo et place de marché Finjaro</t>
        </is>
      </c>
    </row>
    <row r="2">
      <c r="A2" s="5" t="inlineStr">
        <is>
          <t>Se met à jour tout seul à partir des colonnes « Statut » des feuilles Léo et Place de marché.</t>
        </is>
      </c>
    </row>
    <row r="4">
      <c r="A4" s="6" t="inlineStr">
        <is>
          <t>Léo</t>
        </is>
      </c>
    </row>
    <row r="5">
      <c r="A5" s="7" t="inlineStr">
        <is>
          <t>Module</t>
        </is>
      </c>
      <c r="B5" s="7" t="inlineStr">
        <is>
          <t>Cas</t>
        </is>
      </c>
      <c r="C5" s="7" t="inlineStr">
        <is>
          <t>OK</t>
        </is>
      </c>
      <c r="D5" s="7" t="inlineStr">
        <is>
          <t>KO</t>
        </is>
      </c>
      <c r="E5" s="7" t="inlineStr">
        <is>
          <t>Bloqué</t>
        </is>
      </c>
      <c r="F5" s="7" t="inlineStr">
        <is>
          <t>À tester</t>
        </is>
      </c>
      <c r="G5" s="7" t="inlineStr">
        <is>
          <t>Non applicable</t>
        </is>
      </c>
      <c r="H5" s="7" t="inlineStr">
        <is>
          <t>% passé</t>
        </is>
      </c>
    </row>
    <row r="6">
      <c r="A6" s="8" t="inlineStr">
        <is>
          <t>Accès et compte</t>
        </is>
      </c>
      <c r="B6" s="9">
        <f>COUNTIF('Léo'!$B$2:$B$500,$A6)</f>
        <v/>
      </c>
      <c r="C6" s="9">
        <f>COUNTIFS('Léo'!$B$2:$B$500,$A6,'Léo'!$K$2:$K$500,"OK")</f>
        <v/>
      </c>
      <c r="D6" s="9">
        <f>COUNTIFS('Léo'!$B$2:$B$500,$A6,'Léo'!$K$2:$K$500,"KO")</f>
        <v/>
      </c>
      <c r="E6" s="9">
        <f>COUNTIFS('Léo'!$B$2:$B$500,$A6,'Léo'!$K$2:$K$500,"Bloqué")</f>
        <v/>
      </c>
      <c r="F6" s="9">
        <f>COUNTIFS('Léo'!$B$2:$B$500,$A6,'Léo'!$K$2:$K$500,"À tester")</f>
        <v/>
      </c>
      <c r="G6" s="9">
        <f>COUNTIFS('Léo'!$B$2:$B$500,$A6,'Léo'!$K$2:$K$500,"Non applicable")</f>
        <v/>
      </c>
      <c r="H6" s="10">
        <f>IF(B6-G6=0,0,C6/(B6-G6))</f>
        <v/>
      </c>
    </row>
    <row r="7">
      <c r="A7" s="8" t="inlineStr">
        <is>
          <t>Fonder une entreprise</t>
        </is>
      </c>
      <c r="B7" s="9">
        <f>COUNTIF('Léo'!$B$2:$B$500,$A7)</f>
        <v/>
      </c>
      <c r="C7" s="9">
        <f>COUNTIFS('Léo'!$B$2:$B$500,$A7,'Léo'!$K$2:$K$500,"OK")</f>
        <v/>
      </c>
      <c r="D7" s="9">
        <f>COUNTIFS('Léo'!$B$2:$B$500,$A7,'Léo'!$K$2:$K$500,"KO")</f>
        <v/>
      </c>
      <c r="E7" s="9">
        <f>COUNTIFS('Léo'!$B$2:$B$500,$A7,'Léo'!$K$2:$K$500,"Bloqué")</f>
        <v/>
      </c>
      <c r="F7" s="9">
        <f>COUNTIFS('Léo'!$B$2:$B$500,$A7,'Léo'!$K$2:$K$500,"À tester")</f>
        <v/>
      </c>
      <c r="G7" s="9">
        <f>COUNTIFS('Léo'!$B$2:$B$500,$A7,'Léo'!$K$2:$K$500,"Non applicable")</f>
        <v/>
      </c>
      <c r="H7" s="10">
        <f>IF(B7-G7=0,0,C7/(B7-G7))</f>
        <v/>
      </c>
    </row>
    <row r="8">
      <c r="A8" s="8" t="inlineStr">
        <is>
          <t>Salons et messages</t>
        </is>
      </c>
      <c r="B8" s="9">
        <f>COUNTIF('Léo'!$B$2:$B$500,$A8)</f>
        <v/>
      </c>
      <c r="C8" s="9">
        <f>COUNTIFS('Léo'!$B$2:$B$500,$A8,'Léo'!$K$2:$K$500,"OK")</f>
        <v/>
      </c>
      <c r="D8" s="9">
        <f>COUNTIFS('Léo'!$B$2:$B$500,$A8,'Léo'!$K$2:$K$500,"KO")</f>
        <v/>
      </c>
      <c r="E8" s="9">
        <f>COUNTIFS('Léo'!$B$2:$B$500,$A8,'Léo'!$K$2:$K$500,"Bloqué")</f>
        <v/>
      </c>
      <c r="F8" s="9">
        <f>COUNTIFS('Léo'!$B$2:$B$500,$A8,'Léo'!$K$2:$K$500,"À tester")</f>
        <v/>
      </c>
      <c r="G8" s="9">
        <f>COUNTIFS('Léo'!$B$2:$B$500,$A8,'Léo'!$K$2:$K$500,"Non applicable")</f>
        <v/>
      </c>
      <c r="H8" s="10">
        <f>IF(B8-G8=0,0,C8/(B8-G8))</f>
        <v/>
      </c>
    </row>
    <row r="9">
      <c r="A9" s="8" t="inlineStr">
        <is>
          <t>Agents</t>
        </is>
      </c>
      <c r="B9" s="9">
        <f>COUNTIF('Léo'!$B$2:$B$500,$A9)</f>
        <v/>
      </c>
      <c r="C9" s="9">
        <f>COUNTIFS('Léo'!$B$2:$B$500,$A9,'Léo'!$K$2:$K$500,"OK")</f>
        <v/>
      </c>
      <c r="D9" s="9">
        <f>COUNTIFS('Léo'!$B$2:$B$500,$A9,'Léo'!$K$2:$K$500,"KO")</f>
        <v/>
      </c>
      <c r="E9" s="9">
        <f>COUNTIFS('Léo'!$B$2:$B$500,$A9,'Léo'!$K$2:$K$500,"Bloqué")</f>
        <v/>
      </c>
      <c r="F9" s="9">
        <f>COUNTIFS('Léo'!$B$2:$B$500,$A9,'Léo'!$K$2:$K$500,"À tester")</f>
        <v/>
      </c>
      <c r="G9" s="9">
        <f>COUNTIFS('Léo'!$B$2:$B$500,$A9,'Léo'!$K$2:$K$500,"Non applicable")</f>
        <v/>
      </c>
      <c r="H9" s="10">
        <f>IF(B9-G9=0,0,C9/(B9-G9))</f>
        <v/>
      </c>
    </row>
    <row r="10">
      <c r="A10" s="8" t="inlineStr">
        <is>
          <t>Tâches et missions</t>
        </is>
      </c>
      <c r="B10" s="9">
        <f>COUNTIF('Léo'!$B$2:$B$500,$A10)</f>
        <v/>
      </c>
      <c r="C10" s="9">
        <f>COUNTIFS('Léo'!$B$2:$B$500,$A10,'Léo'!$K$2:$K$500,"OK")</f>
        <v/>
      </c>
      <c r="D10" s="9">
        <f>COUNTIFS('Léo'!$B$2:$B$500,$A10,'Léo'!$K$2:$K$500,"KO")</f>
        <v/>
      </c>
      <c r="E10" s="9">
        <f>COUNTIFS('Léo'!$B$2:$B$500,$A10,'Léo'!$K$2:$K$500,"Bloqué")</f>
        <v/>
      </c>
      <c r="F10" s="9">
        <f>COUNTIFS('Léo'!$B$2:$B$500,$A10,'Léo'!$K$2:$K$500,"À tester")</f>
        <v/>
      </c>
      <c r="G10" s="9">
        <f>COUNTIFS('Léo'!$B$2:$B$500,$A10,'Léo'!$K$2:$K$500,"Non applicable")</f>
        <v/>
      </c>
      <c r="H10" s="10">
        <f>IF(B10-G10=0,0,C10/(B10-G10))</f>
        <v/>
      </c>
    </row>
    <row r="11">
      <c r="A11" s="8" t="inlineStr">
        <is>
          <t>Réunions</t>
        </is>
      </c>
      <c r="B11" s="9">
        <f>COUNTIF('Léo'!$B$2:$B$500,$A11)</f>
        <v/>
      </c>
      <c r="C11" s="9">
        <f>COUNTIFS('Léo'!$B$2:$B$500,$A11,'Léo'!$K$2:$K$500,"OK")</f>
        <v/>
      </c>
      <c r="D11" s="9">
        <f>COUNTIFS('Léo'!$B$2:$B$500,$A11,'Léo'!$K$2:$K$500,"KO")</f>
        <v/>
      </c>
      <c r="E11" s="9">
        <f>COUNTIFS('Léo'!$B$2:$B$500,$A11,'Léo'!$K$2:$K$500,"Bloqué")</f>
        <v/>
      </c>
      <c r="F11" s="9">
        <f>COUNTIFS('Léo'!$B$2:$B$500,$A11,'Léo'!$K$2:$K$500,"À tester")</f>
        <v/>
      </c>
      <c r="G11" s="9">
        <f>COUNTIFS('Léo'!$B$2:$B$500,$A11,'Léo'!$K$2:$K$500,"Non applicable")</f>
        <v/>
      </c>
      <c r="H11" s="10">
        <f>IF(B11-G11=0,0,C11/(B11-G11))</f>
        <v/>
      </c>
    </row>
    <row r="12">
      <c r="A12" s="8" t="inlineStr">
        <is>
          <t>Voix et appels</t>
        </is>
      </c>
      <c r="B12" s="9">
        <f>COUNTIF('Léo'!$B$2:$B$500,$A12)</f>
        <v/>
      </c>
      <c r="C12" s="9">
        <f>COUNTIFS('Léo'!$B$2:$B$500,$A12,'Léo'!$K$2:$K$500,"OK")</f>
        <v/>
      </c>
      <c r="D12" s="9">
        <f>COUNTIFS('Léo'!$B$2:$B$500,$A12,'Léo'!$K$2:$K$500,"KO")</f>
        <v/>
      </c>
      <c r="E12" s="9">
        <f>COUNTIFS('Léo'!$B$2:$B$500,$A12,'Léo'!$K$2:$K$500,"Bloqué")</f>
        <v/>
      </c>
      <c r="F12" s="9">
        <f>COUNTIFS('Léo'!$B$2:$B$500,$A12,'Léo'!$K$2:$K$500,"À tester")</f>
        <v/>
      </c>
      <c r="G12" s="9">
        <f>COUNTIFS('Léo'!$B$2:$B$500,$A12,'Léo'!$K$2:$K$500,"Non applicable")</f>
        <v/>
      </c>
      <c r="H12" s="10">
        <f>IF(B12-G12=0,0,C12/(B12-G12))</f>
        <v/>
      </c>
    </row>
    <row r="13">
      <c r="A13" s="8" t="inlineStr">
        <is>
          <t>Rapports et tableau de bord</t>
        </is>
      </c>
      <c r="B13" s="9">
        <f>COUNTIF('Léo'!$B$2:$B$500,$A13)</f>
        <v/>
      </c>
      <c r="C13" s="9">
        <f>COUNTIFS('Léo'!$B$2:$B$500,$A13,'Léo'!$K$2:$K$500,"OK")</f>
        <v/>
      </c>
      <c r="D13" s="9">
        <f>COUNTIFS('Léo'!$B$2:$B$500,$A13,'Léo'!$K$2:$K$500,"KO")</f>
        <v/>
      </c>
      <c r="E13" s="9">
        <f>COUNTIFS('Léo'!$B$2:$B$500,$A13,'Léo'!$K$2:$K$500,"Bloqué")</f>
        <v/>
      </c>
      <c r="F13" s="9">
        <f>COUNTIFS('Léo'!$B$2:$B$500,$A13,'Léo'!$K$2:$K$500,"À tester")</f>
        <v/>
      </c>
      <c r="G13" s="9">
        <f>COUNTIFS('Léo'!$B$2:$B$500,$A13,'Léo'!$K$2:$K$500,"Non applicable")</f>
        <v/>
      </c>
      <c r="H13" s="10">
        <f>IF(B13-G13=0,0,C13/(B13-G13))</f>
        <v/>
      </c>
    </row>
    <row r="14">
      <c r="A14" s="8" t="inlineStr">
        <is>
          <t>Vues et outils</t>
        </is>
      </c>
      <c r="B14" s="9">
        <f>COUNTIF('Léo'!$B$2:$B$500,$A14)</f>
        <v/>
      </c>
      <c r="C14" s="9">
        <f>COUNTIFS('Léo'!$B$2:$B$500,$A14,'Léo'!$K$2:$K$500,"OK")</f>
        <v/>
      </c>
      <c r="D14" s="9">
        <f>COUNTIFS('Léo'!$B$2:$B$500,$A14,'Léo'!$K$2:$K$500,"KO")</f>
        <v/>
      </c>
      <c r="E14" s="9">
        <f>COUNTIFS('Léo'!$B$2:$B$500,$A14,'Léo'!$K$2:$K$500,"Bloqué")</f>
        <v/>
      </c>
      <c r="F14" s="9">
        <f>COUNTIFS('Léo'!$B$2:$B$500,$A14,'Léo'!$K$2:$K$500,"À tester")</f>
        <v/>
      </c>
      <c r="G14" s="9">
        <f>COUNTIFS('Léo'!$B$2:$B$500,$A14,'Léo'!$K$2:$K$500,"Non applicable")</f>
        <v/>
      </c>
      <c r="H14" s="10">
        <f>IF(B14-G14=0,0,C14/(B14-G14))</f>
        <v/>
      </c>
    </row>
    <row r="15">
      <c r="A15" s="8" t="inlineStr">
        <is>
          <t>Atelier de code</t>
        </is>
      </c>
      <c r="B15" s="9">
        <f>COUNTIF('Léo'!$B$2:$B$500,$A15)</f>
        <v/>
      </c>
      <c r="C15" s="9">
        <f>COUNTIFS('Léo'!$B$2:$B$500,$A15,'Léo'!$K$2:$K$500,"OK")</f>
        <v/>
      </c>
      <c r="D15" s="9">
        <f>COUNTIFS('Léo'!$B$2:$B$500,$A15,'Léo'!$K$2:$K$500,"KO")</f>
        <v/>
      </c>
      <c r="E15" s="9">
        <f>COUNTIFS('Léo'!$B$2:$B$500,$A15,'Léo'!$K$2:$K$500,"Bloqué")</f>
        <v/>
      </c>
      <c r="F15" s="9">
        <f>COUNTIFS('Léo'!$B$2:$B$500,$A15,'Léo'!$K$2:$K$500,"À tester")</f>
        <v/>
      </c>
      <c r="G15" s="9">
        <f>COUNTIFS('Léo'!$B$2:$B$500,$A15,'Léo'!$K$2:$K$500,"Non applicable")</f>
        <v/>
      </c>
      <c r="H15" s="10">
        <f>IF(B15-G15=0,0,C15/(B15-G15))</f>
        <v/>
      </c>
    </row>
    <row r="16">
      <c r="A16" s="8" t="inlineStr">
        <is>
          <t>Connecteurs</t>
        </is>
      </c>
      <c r="B16" s="9">
        <f>COUNTIF('Léo'!$B$2:$B$500,$A16)</f>
        <v/>
      </c>
      <c r="C16" s="9">
        <f>COUNTIFS('Léo'!$B$2:$B$500,$A16,'Léo'!$K$2:$K$500,"OK")</f>
        <v/>
      </c>
      <c r="D16" s="9">
        <f>COUNTIFS('Léo'!$B$2:$B$500,$A16,'Léo'!$K$2:$K$500,"KO")</f>
        <v/>
      </c>
      <c r="E16" s="9">
        <f>COUNTIFS('Léo'!$B$2:$B$500,$A16,'Léo'!$K$2:$K$500,"Bloqué")</f>
        <v/>
      </c>
      <c r="F16" s="9">
        <f>COUNTIFS('Léo'!$B$2:$B$500,$A16,'Léo'!$K$2:$K$500,"À tester")</f>
        <v/>
      </c>
      <c r="G16" s="9">
        <f>COUNTIFS('Léo'!$B$2:$B$500,$A16,'Léo'!$K$2:$K$500,"Non applicable")</f>
        <v/>
      </c>
      <c r="H16" s="10">
        <f>IF(B16-G16=0,0,C16/(B16-G16))</f>
        <v/>
      </c>
    </row>
    <row r="17">
      <c r="A17" s="8" t="inlineStr">
        <is>
          <t>Monde 3D</t>
        </is>
      </c>
      <c r="B17" s="9">
        <f>COUNTIF('Léo'!$B$2:$B$500,$A17)</f>
        <v/>
      </c>
      <c r="C17" s="9">
        <f>COUNTIFS('Léo'!$B$2:$B$500,$A17,'Léo'!$K$2:$K$500,"OK")</f>
        <v/>
      </c>
      <c r="D17" s="9">
        <f>COUNTIFS('Léo'!$B$2:$B$500,$A17,'Léo'!$K$2:$K$500,"KO")</f>
        <v/>
      </c>
      <c r="E17" s="9">
        <f>COUNTIFS('Léo'!$B$2:$B$500,$A17,'Léo'!$K$2:$K$500,"Bloqué")</f>
        <v/>
      </c>
      <c r="F17" s="9">
        <f>COUNTIFS('Léo'!$B$2:$B$500,$A17,'Léo'!$K$2:$K$500,"À tester")</f>
        <v/>
      </c>
      <c r="G17" s="9">
        <f>COUNTIFS('Léo'!$B$2:$B$500,$A17,'Léo'!$K$2:$K$500,"Non applicable")</f>
        <v/>
      </c>
      <c r="H17" s="10">
        <f>IF(B17-G17=0,0,C17/(B17-G17))</f>
        <v/>
      </c>
    </row>
    <row r="18">
      <c r="A18" s="8" t="inlineStr">
        <is>
          <t>Offre et contact</t>
        </is>
      </c>
      <c r="B18" s="9">
        <f>COUNTIF('Léo'!$B$2:$B$500,$A18)</f>
        <v/>
      </c>
      <c r="C18" s="9">
        <f>COUNTIFS('Léo'!$B$2:$B$500,$A18,'Léo'!$K$2:$K$500,"OK")</f>
        <v/>
      </c>
      <c r="D18" s="9">
        <f>COUNTIFS('Léo'!$B$2:$B$500,$A18,'Léo'!$K$2:$K$500,"KO")</f>
        <v/>
      </c>
      <c r="E18" s="9">
        <f>COUNTIFS('Léo'!$B$2:$B$500,$A18,'Léo'!$K$2:$K$500,"Bloqué")</f>
        <v/>
      </c>
      <c r="F18" s="9">
        <f>COUNTIFS('Léo'!$B$2:$B$500,$A18,'Léo'!$K$2:$K$500,"À tester")</f>
        <v/>
      </c>
      <c r="G18" s="9">
        <f>COUNTIFS('Léo'!$B$2:$B$500,$A18,'Léo'!$K$2:$K$500,"Non applicable")</f>
        <v/>
      </c>
      <c r="H18" s="10">
        <f>IF(B18-G18=0,0,C18/(B18-G18))</f>
        <v/>
      </c>
    </row>
    <row r="19">
      <c r="A19" s="11" t="inlineStr">
        <is>
          <t>Total</t>
        </is>
      </c>
      <c r="B19" s="12">
        <f>SUM(B6:B18)</f>
        <v/>
      </c>
      <c r="C19" s="12">
        <f>SUM(C6:C18)</f>
        <v/>
      </c>
      <c r="D19" s="12">
        <f>SUM(D6:D18)</f>
        <v/>
      </c>
      <c r="E19" s="12">
        <f>SUM(E6:E18)</f>
        <v/>
      </c>
      <c r="F19" s="12">
        <f>SUM(F6:F18)</f>
        <v/>
      </c>
      <c r="G19" s="12">
        <f>SUM(G6:G18)</f>
        <v/>
      </c>
      <c r="H19" s="13">
        <f>IF(B19-G19=0,0,C19/(B19-G19))</f>
        <v/>
      </c>
    </row>
    <row r="21">
      <c r="A21" s="6" t="inlineStr">
        <is>
          <t>Place de marché</t>
        </is>
      </c>
    </row>
    <row r="22">
      <c r="A22" s="7" t="inlineStr">
        <is>
          <t>Module</t>
        </is>
      </c>
      <c r="B22" s="7" t="inlineStr">
        <is>
          <t>Cas</t>
        </is>
      </c>
      <c r="C22" s="7" t="inlineStr">
        <is>
          <t>OK</t>
        </is>
      </c>
      <c r="D22" s="7" t="inlineStr">
        <is>
          <t>KO</t>
        </is>
      </c>
      <c r="E22" s="7" t="inlineStr">
        <is>
          <t>Bloqué</t>
        </is>
      </c>
      <c r="F22" s="7" t="inlineStr">
        <is>
          <t>À tester</t>
        </is>
      </c>
      <c r="G22" s="7" t="inlineStr">
        <is>
          <t>Non applicable</t>
        </is>
      </c>
      <c r="H22" s="7" t="inlineStr">
        <is>
          <t>% passé</t>
        </is>
      </c>
    </row>
    <row r="23">
      <c r="A23" s="8" t="inlineStr">
        <is>
          <t>Accueil et recherche</t>
        </is>
      </c>
      <c r="B23" s="9">
        <f>COUNTIF('Place de marché'!$B$2:$B$500,$A23)</f>
        <v/>
      </c>
      <c r="C23" s="9">
        <f>COUNTIFS('Place de marché'!$B$2:$B$500,$A23,'Place de marché'!$K$2:$K$500,"OK")</f>
        <v/>
      </c>
      <c r="D23" s="9">
        <f>COUNTIFS('Place de marché'!$B$2:$B$500,$A23,'Place de marché'!$K$2:$K$500,"KO")</f>
        <v/>
      </c>
      <c r="E23" s="9">
        <f>COUNTIFS('Place de marché'!$B$2:$B$500,$A23,'Place de marché'!$K$2:$K$500,"Bloqué")</f>
        <v/>
      </c>
      <c r="F23" s="9">
        <f>COUNTIFS('Place de marché'!$B$2:$B$500,$A23,'Place de marché'!$K$2:$K$500,"À tester")</f>
        <v/>
      </c>
      <c r="G23" s="9">
        <f>COUNTIFS('Place de marché'!$B$2:$B$500,$A23,'Place de marché'!$K$2:$K$500,"Non applicable")</f>
        <v/>
      </c>
      <c r="H23" s="10">
        <f>IF(B23-G23=0,0,C23/(B23-G23))</f>
        <v/>
      </c>
    </row>
    <row r="24">
      <c r="A24" s="8" t="inlineStr">
        <is>
          <t>Fiche article</t>
        </is>
      </c>
      <c r="B24" s="9">
        <f>COUNTIF('Place de marché'!$B$2:$B$500,$A24)</f>
        <v/>
      </c>
      <c r="C24" s="9">
        <f>COUNTIFS('Place de marché'!$B$2:$B$500,$A24,'Place de marché'!$K$2:$K$500,"OK")</f>
        <v/>
      </c>
      <c r="D24" s="9">
        <f>COUNTIFS('Place de marché'!$B$2:$B$500,$A24,'Place de marché'!$K$2:$K$500,"KO")</f>
        <v/>
      </c>
      <c r="E24" s="9">
        <f>COUNTIFS('Place de marché'!$B$2:$B$500,$A24,'Place de marché'!$K$2:$K$500,"Bloqué")</f>
        <v/>
      </c>
      <c r="F24" s="9">
        <f>COUNTIFS('Place de marché'!$B$2:$B$500,$A24,'Place de marché'!$K$2:$K$500,"À tester")</f>
        <v/>
      </c>
      <c r="G24" s="9">
        <f>COUNTIFS('Place de marché'!$B$2:$B$500,$A24,'Place de marché'!$K$2:$K$500,"Non applicable")</f>
        <v/>
      </c>
      <c r="H24" s="10">
        <f>IF(B24-G24=0,0,C24/(B24-G24))</f>
        <v/>
      </c>
    </row>
    <row r="25">
      <c r="A25" s="8" t="inlineStr">
        <is>
          <t>Panier et commande</t>
        </is>
      </c>
      <c r="B25" s="9">
        <f>COUNTIF('Place de marché'!$B$2:$B$500,$A25)</f>
        <v/>
      </c>
      <c r="C25" s="9">
        <f>COUNTIFS('Place de marché'!$B$2:$B$500,$A25,'Place de marché'!$K$2:$K$500,"OK")</f>
        <v/>
      </c>
      <c r="D25" s="9">
        <f>COUNTIFS('Place de marché'!$B$2:$B$500,$A25,'Place de marché'!$K$2:$K$500,"KO")</f>
        <v/>
      </c>
      <c r="E25" s="9">
        <f>COUNTIFS('Place de marché'!$B$2:$B$500,$A25,'Place de marché'!$K$2:$K$500,"Bloqué")</f>
        <v/>
      </c>
      <c r="F25" s="9">
        <f>COUNTIFS('Place de marché'!$B$2:$B$500,$A25,'Place de marché'!$K$2:$K$500,"À tester")</f>
        <v/>
      </c>
      <c r="G25" s="9">
        <f>COUNTIFS('Place de marché'!$B$2:$B$500,$A25,'Place de marché'!$K$2:$K$500,"Non applicable")</f>
        <v/>
      </c>
      <c r="H25" s="10">
        <f>IF(B25-G25=0,0,C25/(B25-G25))</f>
        <v/>
      </c>
    </row>
    <row r="26">
      <c r="A26" s="8" t="inlineStr">
        <is>
          <t>Compte</t>
        </is>
      </c>
      <c r="B26" s="9">
        <f>COUNTIF('Place de marché'!$B$2:$B$500,$A26)</f>
        <v/>
      </c>
      <c r="C26" s="9">
        <f>COUNTIFS('Place de marché'!$B$2:$B$500,$A26,'Place de marché'!$K$2:$K$500,"OK")</f>
        <v/>
      </c>
      <c r="D26" s="9">
        <f>COUNTIFS('Place de marché'!$B$2:$B$500,$A26,'Place de marché'!$K$2:$K$500,"KO")</f>
        <v/>
      </c>
      <c r="E26" s="9">
        <f>COUNTIFS('Place de marché'!$B$2:$B$500,$A26,'Place de marché'!$K$2:$K$500,"Bloqué")</f>
        <v/>
      </c>
      <c r="F26" s="9">
        <f>COUNTIFS('Place de marché'!$B$2:$B$500,$A26,'Place de marché'!$K$2:$K$500,"À tester")</f>
        <v/>
      </c>
      <c r="G26" s="9">
        <f>COUNTIFS('Place de marché'!$B$2:$B$500,$A26,'Place de marché'!$K$2:$K$500,"Non applicable")</f>
        <v/>
      </c>
      <c r="H26" s="10">
        <f>IF(B26-G26=0,0,C26/(B26-G26))</f>
        <v/>
      </c>
    </row>
    <row r="27">
      <c r="A27" s="8" t="inlineStr">
        <is>
          <t>Espace vendeuse</t>
        </is>
      </c>
      <c r="B27" s="9">
        <f>COUNTIF('Place de marché'!$B$2:$B$500,$A27)</f>
        <v/>
      </c>
      <c r="C27" s="9">
        <f>COUNTIFS('Place de marché'!$B$2:$B$500,$A27,'Place de marché'!$K$2:$K$500,"OK")</f>
        <v/>
      </c>
      <c r="D27" s="9">
        <f>COUNTIFS('Place de marché'!$B$2:$B$500,$A27,'Place de marché'!$K$2:$K$500,"KO")</f>
        <v/>
      </c>
      <c r="E27" s="9">
        <f>COUNTIFS('Place de marché'!$B$2:$B$500,$A27,'Place de marché'!$K$2:$K$500,"Bloqué")</f>
        <v/>
      </c>
      <c r="F27" s="9">
        <f>COUNTIFS('Place de marché'!$B$2:$B$500,$A27,'Place de marché'!$K$2:$K$500,"À tester")</f>
        <v/>
      </c>
      <c r="G27" s="9">
        <f>COUNTIFS('Place de marché'!$B$2:$B$500,$A27,'Place de marché'!$K$2:$K$500,"Non applicable")</f>
        <v/>
      </c>
      <c r="H27" s="10">
        <f>IF(B27-G27=0,0,C27/(B27-G27))</f>
        <v/>
      </c>
    </row>
    <row r="28">
      <c r="A28" s="8" t="inlineStr">
        <is>
          <t>Messagerie</t>
        </is>
      </c>
      <c r="B28" s="9">
        <f>COUNTIF('Place de marché'!$B$2:$B$500,$A28)</f>
        <v/>
      </c>
      <c r="C28" s="9">
        <f>COUNTIFS('Place de marché'!$B$2:$B$500,$A28,'Place de marché'!$K$2:$K$500,"OK")</f>
        <v/>
      </c>
      <c r="D28" s="9">
        <f>COUNTIFS('Place de marché'!$B$2:$B$500,$A28,'Place de marché'!$K$2:$K$500,"KO")</f>
        <v/>
      </c>
      <c r="E28" s="9">
        <f>COUNTIFS('Place de marché'!$B$2:$B$500,$A28,'Place de marché'!$K$2:$K$500,"Bloqué")</f>
        <v/>
      </c>
      <c r="F28" s="9">
        <f>COUNTIFS('Place de marché'!$B$2:$B$500,$A28,'Place de marché'!$K$2:$K$500,"À tester")</f>
        <v/>
      </c>
      <c r="G28" s="9">
        <f>COUNTIFS('Place de marché'!$B$2:$B$500,$A28,'Place de marché'!$K$2:$K$500,"Non applicable")</f>
        <v/>
      </c>
      <c r="H28" s="10">
        <f>IF(B28-G28=0,0,C28/(B28-G28))</f>
        <v/>
      </c>
    </row>
    <row r="29">
      <c r="A29" s="8" t="inlineStr">
        <is>
          <t>Services</t>
        </is>
      </c>
      <c r="B29" s="9">
        <f>COUNTIF('Place de marché'!$B$2:$B$500,$A29)</f>
        <v/>
      </c>
      <c r="C29" s="9">
        <f>COUNTIFS('Place de marché'!$B$2:$B$500,$A29,'Place de marché'!$K$2:$K$500,"OK")</f>
        <v/>
      </c>
      <c r="D29" s="9">
        <f>COUNTIFS('Place de marché'!$B$2:$B$500,$A29,'Place de marché'!$K$2:$K$500,"KO")</f>
        <v/>
      </c>
      <c r="E29" s="9">
        <f>COUNTIFS('Place de marché'!$B$2:$B$500,$A29,'Place de marché'!$K$2:$K$500,"Bloqué")</f>
        <v/>
      </c>
      <c r="F29" s="9">
        <f>COUNTIFS('Place de marché'!$B$2:$B$500,$A29,'Place de marché'!$K$2:$K$500,"À tester")</f>
        <v/>
      </c>
      <c r="G29" s="9">
        <f>COUNTIFS('Place de marché'!$B$2:$B$500,$A29,'Place de marché'!$K$2:$K$500,"Non applicable")</f>
        <v/>
      </c>
      <c r="H29" s="10">
        <f>IF(B29-G29=0,0,C29/(B29-G29))</f>
        <v/>
      </c>
    </row>
    <row r="30">
      <c r="A30" s="8" t="inlineStr">
        <is>
          <t>Général</t>
        </is>
      </c>
      <c r="B30" s="9">
        <f>COUNTIF('Place de marché'!$B$2:$B$500,$A30)</f>
        <v/>
      </c>
      <c r="C30" s="9">
        <f>COUNTIFS('Place de marché'!$B$2:$B$500,$A30,'Place de marché'!$K$2:$K$500,"OK")</f>
        <v/>
      </c>
      <c r="D30" s="9">
        <f>COUNTIFS('Place de marché'!$B$2:$B$500,$A30,'Place de marché'!$K$2:$K$500,"KO")</f>
        <v/>
      </c>
      <c r="E30" s="9">
        <f>COUNTIFS('Place de marché'!$B$2:$B$500,$A30,'Place de marché'!$K$2:$K$500,"Bloqué")</f>
        <v/>
      </c>
      <c r="F30" s="9">
        <f>COUNTIFS('Place de marché'!$B$2:$B$500,$A30,'Place de marché'!$K$2:$K$500,"À tester")</f>
        <v/>
      </c>
      <c r="G30" s="9">
        <f>COUNTIFS('Place de marché'!$B$2:$B$500,$A30,'Place de marché'!$K$2:$K$500,"Non applicable")</f>
        <v/>
      </c>
      <c r="H30" s="10">
        <f>IF(B30-G30=0,0,C30/(B30-G30))</f>
        <v/>
      </c>
    </row>
    <row r="31">
      <c r="A31" s="11" t="inlineStr">
        <is>
          <t>Total</t>
        </is>
      </c>
      <c r="B31" s="12">
        <f>SUM(B23:B30)</f>
        <v/>
      </c>
      <c r="C31" s="12">
        <f>SUM(C23:C30)</f>
        <v/>
      </c>
      <c r="D31" s="12">
        <f>SUM(D23:D30)</f>
        <v/>
      </c>
      <c r="E31" s="12">
        <f>SUM(E23:E30)</f>
        <v/>
      </c>
      <c r="F31" s="12">
        <f>SUM(F23:F30)</f>
        <v/>
      </c>
      <c r="G31" s="12">
        <f>SUM(G23:G30)</f>
        <v/>
      </c>
      <c r="H31" s="13">
        <f>IF(B31-G31=0,0,C31/(B31-G31))</f>
        <v/>
      </c>
    </row>
    <row r="33">
      <c r="A33" s="6" t="inlineStr">
        <is>
          <t>Anomalies ouvertes</t>
        </is>
      </c>
    </row>
    <row r="34">
      <c r="A34" s="8" t="inlineStr">
        <is>
          <t>Bloquante</t>
        </is>
      </c>
      <c r="B34" s="14">
        <f>COUNTIFS(Anomalies!$E$2:$E$201,$A34,Anomalies!$L$2:$L$201,"&lt;&gt;Fermée",Anomalies!$L$2:$L$201,"&lt;&gt;Refusée")</f>
        <v/>
      </c>
    </row>
    <row r="35">
      <c r="A35" s="8" t="inlineStr">
        <is>
          <t>Majeure</t>
        </is>
      </c>
      <c r="B35" s="14">
        <f>COUNTIFS(Anomalies!$E$2:$E$201,$A35,Anomalies!$L$2:$L$201,"&lt;&gt;Fermée",Anomalies!$L$2:$L$201,"&lt;&gt;Refusée")</f>
        <v/>
      </c>
    </row>
    <row r="36">
      <c r="A36" s="8" t="inlineStr">
        <is>
          <t>Mineure</t>
        </is>
      </c>
      <c r="B36" s="14">
        <f>COUNTIFS(Anomalies!$E$2:$E$201,$A36,Anomalies!$L$2:$L$201,"&lt;&gt;Fermée",Anomalies!$L$2:$L$201,"&lt;&gt;Refusée")</f>
        <v/>
      </c>
    </row>
    <row r="37">
      <c r="A37" s="8" t="inlineStr">
        <is>
          <t>Cosmétique</t>
        </is>
      </c>
      <c r="B37" s="14">
        <f>COUNTIFS(Anomalies!$E$2:$E$201,$A37,Anomalies!$L$2:$L$201,"&lt;&gt;Fermée",Anomalies!$L$2:$L$201,"&lt;&gt;Refusée")</f>
        <v/>
      </c>
    </row>
    <row r="39">
      <c r="A39" s="15" t="inlineStr">
        <is>
          <t>« % passé » = cas OK ÷ cas applicables (hors « Non applicable »).</t>
        </is>
      </c>
    </row>
  </sheetData>
  <conditionalFormatting sqref="D6:D200">
    <cfRule type="cellIs" priority="1" operator="greaterThan" dxfId="0">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6" t="inlineStr">
        <is>
          <t>Statut</t>
        </is>
      </c>
      <c r="B1" s="16" t="inlineStr">
        <is>
          <t>Priorité</t>
        </is>
      </c>
      <c r="C1" s="16" t="inlineStr">
        <is>
          <t>Appareil</t>
        </is>
      </c>
      <c r="D1" s="16" t="inlineStr">
        <is>
          <t>Gravité</t>
        </is>
      </c>
      <c r="E1" s="16" t="inlineStr">
        <is>
          <t>Statut anomalie</t>
        </is>
      </c>
    </row>
    <row r="2">
      <c r="A2" s="17" t="inlineStr">
        <is>
          <t>À tester</t>
        </is>
      </c>
      <c r="B2" s="17" t="inlineStr">
        <is>
          <t>Haute</t>
        </is>
      </c>
      <c r="C2" s="17" t="inlineStr">
        <is>
          <t>Téléphone</t>
        </is>
      </c>
      <c r="D2" s="17" t="inlineStr">
        <is>
          <t>Bloquante</t>
        </is>
      </c>
      <c r="E2" s="17" t="inlineStr">
        <is>
          <t>Ouverte</t>
        </is>
      </c>
    </row>
    <row r="3">
      <c r="A3" s="17" t="inlineStr">
        <is>
          <t>OK</t>
        </is>
      </c>
      <c r="B3" s="17" t="inlineStr">
        <is>
          <t>Moyenne</t>
        </is>
      </c>
      <c r="C3" s="17" t="inlineStr">
        <is>
          <t>Ordinateur</t>
        </is>
      </c>
      <c r="D3" s="17" t="inlineStr">
        <is>
          <t>Majeure</t>
        </is>
      </c>
      <c r="E3" s="17" t="inlineStr">
        <is>
          <t>En correction</t>
        </is>
      </c>
    </row>
    <row r="4">
      <c r="A4" s="17" t="inlineStr">
        <is>
          <t>KO</t>
        </is>
      </c>
      <c r="B4" s="17" t="inlineStr">
        <is>
          <t>Basse</t>
        </is>
      </c>
      <c r="C4" s="17" t="inlineStr">
        <is>
          <t>Téléphone + Ordinateur</t>
        </is>
      </c>
      <c r="D4" s="17" t="inlineStr">
        <is>
          <t>Mineure</t>
        </is>
      </c>
      <c r="E4" s="17" t="inlineStr">
        <is>
          <t>Corrigée — à revérifier</t>
        </is>
      </c>
    </row>
    <row r="5">
      <c r="A5" s="17" t="inlineStr">
        <is>
          <t>Bloqué</t>
        </is>
      </c>
      <c r="D5" s="17" t="inlineStr">
        <is>
          <t>Cosmétique</t>
        </is>
      </c>
      <c r="E5" s="17" t="inlineStr">
        <is>
          <t>Fermée</t>
        </is>
      </c>
    </row>
    <row r="6">
      <c r="A6" s="17" t="inlineStr">
        <is>
          <t>Non applicable</t>
        </is>
      </c>
      <c r="E6" s="17" t="inlineStr">
        <is>
          <t>Refusée</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P77"/>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24" customWidth="1" min="3" max="3"/>
    <col width="30" customWidth="1" min="4" max="4"/>
    <col width="24" customWidth="1" min="5" max="5"/>
    <col width="42" customWidth="1" min="6" max="6"/>
    <col width="20" customWidth="1" min="7" max="7"/>
    <col width="42" customWidth="1" min="8" max="8"/>
    <col width="10" customWidth="1" min="9" max="9"/>
    <col width="14" customWidth="1" min="10" max="10"/>
    <col width="13" customWidth="1" min="11" max="11"/>
    <col width="34" customWidth="1" min="12" max="12"/>
    <col width="34" customWidth="1" min="13" max="13"/>
    <col width="14" customWidth="1" min="14" max="14"/>
    <col width="13" customWidth="1" min="15" max="15"/>
    <col width="12" customWidth="1" min="16" max="16"/>
  </cols>
  <sheetData>
    <row r="1" ht="32" customHeight="1">
      <c r="A1" s="18" t="inlineStr">
        <is>
          <t>ID</t>
        </is>
      </c>
      <c r="B1" s="18" t="inlineStr">
        <is>
          <t>Module</t>
        </is>
      </c>
      <c r="C1" s="18" t="inlineStr">
        <is>
          <t>Fonctionnalité</t>
        </is>
      </c>
      <c r="D1" s="18" t="inlineStr">
        <is>
          <t>Objectif du test</t>
        </is>
      </c>
      <c r="E1" s="18" t="inlineStr">
        <is>
          <t>Préconditions</t>
        </is>
      </c>
      <c r="F1" s="18" t="inlineStr">
        <is>
          <t>Étapes</t>
        </is>
      </c>
      <c r="G1" s="18" t="inlineStr">
        <is>
          <t>Données de test</t>
        </is>
      </c>
      <c r="H1" s="18" t="inlineStr">
        <is>
          <t>Résultat attendu</t>
        </is>
      </c>
      <c r="I1" s="18" t="inlineStr">
        <is>
          <t>Priorité</t>
        </is>
      </c>
      <c r="J1" s="18" t="inlineStr">
        <is>
          <t>Appareil</t>
        </is>
      </c>
      <c r="K1" s="19" t="inlineStr">
        <is>
          <t>Statut</t>
        </is>
      </c>
      <c r="L1" s="19" t="inlineStr">
        <is>
          <t>Résultat obtenu</t>
        </is>
      </c>
      <c r="M1" s="19" t="inlineStr">
        <is>
          <t>Remarques</t>
        </is>
      </c>
      <c r="N1" s="19" t="inlineStr">
        <is>
          <t>Testeur</t>
        </is>
      </c>
      <c r="O1" s="19" t="inlineStr">
        <is>
          <t>Date du test</t>
        </is>
      </c>
      <c r="P1" s="19" t="inlineStr">
        <is>
          <t>N° anomalie</t>
        </is>
      </c>
    </row>
    <row r="2" ht="60" customHeight="1">
      <c r="A2" s="20" t="inlineStr">
        <is>
          <t>LEO-001</t>
        </is>
      </c>
      <c r="B2" s="20" t="inlineStr">
        <is>
          <t>Accès et compte</t>
        </is>
      </c>
      <c r="C2" s="20" t="inlineStr">
        <is>
          <t>Page de connexion</t>
        </is>
      </c>
      <c r="D2" s="20" t="inlineStr">
        <is>
          <t>Se connecter à Léo</t>
        </is>
      </c>
      <c r="E2" s="20" t="inlineStr">
        <is>
          <t>Compte de test existant</t>
        </is>
      </c>
      <c r="F2" s="20" t="inlineStr">
        <is>
          <t>1. Ouvrir /legion
2. Saisir e-mail et mot de passe
3. Valider</t>
        </is>
      </c>
      <c r="G2" s="20" t="inlineStr">
        <is>
          <t>Compte de test fourni par Beau</t>
        </is>
      </c>
      <c r="H2" s="20" t="inlineStr">
        <is>
          <t>On arrive sur « Mes entreprises ». Le fond de ville animé s'affiche sans ralentir la page.</t>
        </is>
      </c>
      <c r="I2" s="20" t="inlineStr">
        <is>
          <t>Haute</t>
        </is>
      </c>
      <c r="J2" s="20" t="inlineStr">
        <is>
          <t>Téléphone + Ordinateur</t>
        </is>
      </c>
      <c r="K2" s="21" t="inlineStr">
        <is>
          <t>À tester</t>
        </is>
      </c>
      <c r="L2" s="21" t="n"/>
      <c r="M2" s="21" t="n"/>
      <c r="N2" s="21" t="n"/>
      <c r="O2" s="22" t="n"/>
      <c r="P2" s="21" t="n"/>
    </row>
    <row r="3" ht="60" customHeight="1">
      <c r="A3" s="23" t="inlineStr">
        <is>
          <t>LEO-002</t>
        </is>
      </c>
      <c r="B3" s="23" t="inlineStr">
        <is>
          <t>Accès et compte</t>
        </is>
      </c>
      <c r="C3" s="23" t="inlineStr">
        <is>
          <t>Continuer avec Finjaro</t>
        </is>
      </c>
      <c r="D3" s="23" t="inlineStr">
        <is>
          <t>Entrer dans Léo avec un compte Finjaro déjà connecté</t>
        </is>
      </c>
      <c r="E3" s="23" t="inlineStr">
        <is>
          <t>Être connecté sur finjaro.net</t>
        </is>
      </c>
      <c r="F3" s="23" t="inlineStr">
        <is>
          <t>1. Aller sur la place de marché, connecté
2. Ouvrir Léo
3. Cliquer « Continuer avec Finjaro »</t>
        </is>
      </c>
      <c r="G3" s="23" t="inlineStr">
        <is>
          <t>—</t>
        </is>
      </c>
      <c r="H3" s="23" t="inlineStr">
        <is>
          <t>Connexion sans ressaisir le mot de passe, même compte.</t>
        </is>
      </c>
      <c r="I3" s="23" t="inlineStr">
        <is>
          <t>Haute</t>
        </is>
      </c>
      <c r="J3" s="23" t="inlineStr">
        <is>
          <t>Téléphone + Ordinateur</t>
        </is>
      </c>
      <c r="K3" s="21" t="inlineStr">
        <is>
          <t>À tester</t>
        </is>
      </c>
      <c r="L3" s="21" t="n"/>
      <c r="M3" s="21" t="n"/>
      <c r="N3" s="21" t="n"/>
      <c r="O3" s="22" t="n"/>
      <c r="P3" s="21" t="n"/>
    </row>
    <row r="4" ht="60" customHeight="1">
      <c r="A4" s="20" t="inlineStr">
        <is>
          <t>LEO-003</t>
        </is>
      </c>
      <c r="B4" s="20" t="inlineStr">
        <is>
          <t>Accès et compte</t>
        </is>
      </c>
      <c r="C4" s="20" t="inlineStr">
        <is>
          <t>Connexion depuis Finjaro Accounting</t>
        </is>
      </c>
      <c r="D4" s="20" t="inlineStr">
        <is>
          <t>Passer d'Accounting à Léo sans se reconnecter</t>
        </is>
      </c>
      <c r="E4" s="20" t="inlineStr">
        <is>
          <t>Être connecté sur Accounting</t>
        </is>
      </c>
      <c r="F4" s="20" t="inlineStr">
        <is>
          <t>1. Dans Accounting, ouvrir le lien vers Léo
2. Observer l'arrivée</t>
        </is>
      </c>
      <c r="G4" s="20" t="inlineStr">
        <is>
          <t>—</t>
        </is>
      </c>
      <c r="H4" s="20" t="inlineStr">
        <is>
          <t>On arrive connecté dans Léo, sur le même compte. Un lien réutilisé une 2e fois est refusé.</t>
        </is>
      </c>
      <c r="I4" s="20" t="inlineStr">
        <is>
          <t>Moyenne</t>
        </is>
      </c>
      <c r="J4" s="20" t="inlineStr">
        <is>
          <t>Ordinateur</t>
        </is>
      </c>
      <c r="K4" s="21" t="inlineStr">
        <is>
          <t>À tester</t>
        </is>
      </c>
      <c r="L4" s="21" t="n"/>
      <c r="M4" s="21" t="n"/>
      <c r="N4" s="21" t="n"/>
      <c r="O4" s="22" t="n"/>
      <c r="P4" s="21" t="n"/>
    </row>
    <row r="5" ht="60" customHeight="1">
      <c r="A5" s="23" t="inlineStr">
        <is>
          <t>LEO-004</t>
        </is>
      </c>
      <c r="B5" s="23" t="inlineStr">
        <is>
          <t>Accès et compte</t>
        </is>
      </c>
      <c r="C5" s="23" t="inlineStr">
        <is>
          <t>Déconnexion</t>
        </is>
      </c>
      <c r="D5" s="23" t="inlineStr">
        <is>
          <t>Se déconnecter proprement</t>
        </is>
      </c>
      <c r="E5" s="23" t="inlineStr">
        <is>
          <t>Être connecté</t>
        </is>
      </c>
      <c r="F5" s="23" t="inlineStr">
        <is>
          <t>1. Ouvrir le menu du compte
2. Se déconnecter
3. Revenir sur /legion</t>
        </is>
      </c>
      <c r="G5" s="23" t="inlineStr">
        <is>
          <t>—</t>
        </is>
      </c>
      <c r="H5" s="23" t="inlineStr">
        <is>
          <t>Retour à la page de connexion ; aucune donnée de l'entreprise visible.</t>
        </is>
      </c>
      <c r="I5" s="23" t="inlineStr">
        <is>
          <t>Haute</t>
        </is>
      </c>
      <c r="J5" s="23" t="inlineStr">
        <is>
          <t>Téléphone + Ordinateur</t>
        </is>
      </c>
      <c r="K5" s="21" t="inlineStr">
        <is>
          <t>À tester</t>
        </is>
      </c>
      <c r="L5" s="21" t="n"/>
      <c r="M5" s="21" t="n"/>
      <c r="N5" s="21" t="n"/>
      <c r="O5" s="22" t="n"/>
      <c r="P5" s="21" t="n"/>
    </row>
    <row r="6" ht="60" customHeight="1">
      <c r="A6" s="20" t="inlineStr">
        <is>
          <t>LEO-005</t>
        </is>
      </c>
      <c r="B6" s="20" t="inlineStr">
        <is>
          <t>Accès et compte</t>
        </is>
      </c>
      <c r="C6" s="20" t="inlineStr">
        <is>
          <t>Langue FR / EN</t>
        </is>
      </c>
      <c r="D6" s="20" t="inlineStr">
        <is>
          <t>Changer la langue de l'interface</t>
        </is>
      </c>
      <c r="E6" s="20" t="inlineStr">
        <is>
          <t>Être connecté</t>
        </is>
      </c>
      <c r="F6" s="20" t="inlineStr">
        <is>
          <t>1. Basculer FR → EN
2. Parcourir 3 écrans
3. Revenir en FR</t>
        </is>
      </c>
      <c r="G6" s="20" t="inlineStr">
        <is>
          <t>—</t>
        </is>
      </c>
      <c r="H6" s="20" t="inlineStr">
        <is>
          <t>Tous les libellés changent ; aucun texte resté dans l'autre langue.</t>
        </is>
      </c>
      <c r="I6" s="20" t="inlineStr">
        <is>
          <t>Moyenne</t>
        </is>
      </c>
      <c r="J6" s="20" t="inlineStr">
        <is>
          <t>Téléphone + Ordinateur</t>
        </is>
      </c>
      <c r="K6" s="21" t="inlineStr">
        <is>
          <t>À tester</t>
        </is>
      </c>
      <c r="L6" s="21" t="n"/>
      <c r="M6" s="21" t="n"/>
      <c r="N6" s="21" t="n"/>
      <c r="O6" s="22" t="n"/>
      <c r="P6" s="21" t="n"/>
    </row>
    <row r="7" ht="60" customHeight="1">
      <c r="A7" s="23" t="inlineStr">
        <is>
          <t>LEO-006</t>
        </is>
      </c>
      <c r="B7" s="23" t="inlineStr">
        <is>
          <t>Accès et compte</t>
        </is>
      </c>
      <c r="C7" s="23" t="inlineStr">
        <is>
          <t>Thème sombre / clair</t>
        </is>
      </c>
      <c r="D7" s="23" t="inlineStr">
        <is>
          <t>Changer la palette</t>
        </is>
      </c>
      <c r="E7" s="23" t="inlineStr">
        <is>
          <t>Être connecté</t>
        </is>
      </c>
      <c r="F7" s="23" t="inlineStr">
        <is>
          <t>1. Passer en clair
2. Parcourir salon, tâches, fiche agent
3. Repasser en sombre</t>
        </is>
      </c>
      <c r="G7" s="23" t="inlineStr">
        <is>
          <t>—</t>
        </is>
      </c>
      <c r="H7" s="23" t="inlineStr">
        <is>
          <t>Textes lisibles partout, aucun bloc blanc sur blanc ou noir sur noir.</t>
        </is>
      </c>
      <c r="I7" s="23" t="inlineStr">
        <is>
          <t>Basse</t>
        </is>
      </c>
      <c r="J7" s="23" t="inlineStr">
        <is>
          <t>Téléphone + Ordinateur</t>
        </is>
      </c>
      <c r="K7" s="21" t="inlineStr">
        <is>
          <t>À tester</t>
        </is>
      </c>
      <c r="L7" s="21" t="n"/>
      <c r="M7" s="21" t="n"/>
      <c r="N7" s="21" t="n"/>
      <c r="O7" s="22" t="n"/>
      <c r="P7" s="21" t="n"/>
    </row>
    <row r="8" ht="75" customHeight="1">
      <c r="A8" s="20" t="inlineStr">
        <is>
          <t>LEO-007</t>
        </is>
      </c>
      <c r="B8" s="20" t="inlineStr">
        <is>
          <t>Fonder une entreprise</t>
        </is>
      </c>
      <c r="C8" s="20" t="inlineStr">
        <is>
          <t>Fonder à partir d'un modèle</t>
        </is>
      </c>
      <c r="D8" s="20" t="inlineStr">
        <is>
          <t>Créer une entreprise depuis un modèle prêt</t>
        </is>
      </c>
      <c r="E8" s="20" t="inlineStr">
        <is>
          <t>Être connecté</t>
        </is>
      </c>
      <c r="F8" s="20" t="inlineStr">
        <is>
          <t>1. « Fonder une entreprise »
2. Choisir un modèle (ex. cabinet d'avocats)
3. Répondre à « Qui es-tu ? » et « Ce que tu veux obtenir »
4. Valider</t>
        </is>
      </c>
      <c r="G8" s="20" t="inlineStr">
        <is>
          <t>Nom : Test Cabinet</t>
        </is>
      </c>
      <c r="H8" s="20" t="inlineStr">
        <is>
          <t>L'entreprise est créée avec ses services et ses agents ; on arrive dans les salons.</t>
        </is>
      </c>
      <c r="I8" s="20" t="inlineStr">
        <is>
          <t>Haute</t>
        </is>
      </c>
      <c r="J8" s="20" t="inlineStr">
        <is>
          <t>Téléphone + Ordinateur</t>
        </is>
      </c>
      <c r="K8" s="21" t="inlineStr">
        <is>
          <t>À tester</t>
        </is>
      </c>
      <c r="L8" s="21" t="n"/>
      <c r="M8" s="21" t="n"/>
      <c r="N8" s="21" t="n"/>
      <c r="O8" s="22" t="n"/>
      <c r="P8" s="21" t="n"/>
    </row>
    <row r="9" ht="60" customHeight="1">
      <c r="A9" s="23" t="inlineStr">
        <is>
          <t>LEO-008</t>
        </is>
      </c>
      <c r="B9" s="23" t="inlineStr">
        <is>
          <t>Fonder une entreprise</t>
        </is>
      </c>
      <c r="C9" s="23" t="inlineStr">
        <is>
          <t>Fonder sans modèle</t>
        </is>
      </c>
      <c r="D9" s="23" t="inlineStr">
        <is>
          <t>Créer une entreprise vide et choisir ses rôles</t>
        </is>
      </c>
      <c r="E9" s="23" t="inlineStr">
        <is>
          <t>Être connecté</t>
        </is>
      </c>
      <c r="F9" s="23" t="inlineStr">
        <is>
          <t>1. Fonder sans modèle
2. Cliquer sur des rôles proposés
3. Valider</t>
        </is>
      </c>
      <c r="G9" s="23" t="inlineStr">
        <is>
          <t>Nom : Test Libre</t>
        </is>
      </c>
      <c r="H9" s="23" t="inlineStr">
        <is>
          <t>Seuls les rôles cliqués deviennent des agents.</t>
        </is>
      </c>
      <c r="I9" s="23" t="inlineStr">
        <is>
          <t>Haute</t>
        </is>
      </c>
      <c r="J9" s="23" t="inlineStr">
        <is>
          <t>Téléphone + Ordinateur</t>
        </is>
      </c>
      <c r="K9" s="21" t="inlineStr">
        <is>
          <t>À tester</t>
        </is>
      </c>
      <c r="L9" s="21" t="n"/>
      <c r="M9" s="21" t="n"/>
      <c r="N9" s="21" t="n"/>
      <c r="O9" s="22" t="n"/>
      <c r="P9" s="21" t="n"/>
    </row>
    <row r="10" ht="45" customHeight="1">
      <c r="A10" s="20" t="inlineStr">
        <is>
          <t>LEO-009</t>
        </is>
      </c>
      <c r="B10" s="20" t="inlineStr">
        <is>
          <t>Fonder une entreprise</t>
        </is>
      </c>
      <c r="C10" s="20" t="inlineStr">
        <is>
          <t>Agent d'aide à la fondation</t>
        </is>
      </c>
      <c r="D10" s="20" t="inlineStr">
        <is>
          <t>Se faire guider pendant la fondation</t>
        </is>
      </c>
      <c r="E10" s="20" t="inlineStr">
        <is>
          <t>Écran Fonder ouvert</t>
        </is>
      </c>
      <c r="F10" s="20" t="inlineStr">
        <is>
          <t>1. Poser une question à l'agent d'aide
2. Suivre sa suggestion</t>
        </is>
      </c>
      <c r="G10" s="20" t="inlineStr">
        <is>
          <t>« Je vends des pagnes en ligne »</t>
        </is>
      </c>
      <c r="H10" s="20" t="inlineStr">
        <is>
          <t>Réponse en français, pertinente pour le métier, en moins de 15 s.</t>
        </is>
      </c>
      <c r="I10" s="20" t="inlineStr">
        <is>
          <t>Moyenne</t>
        </is>
      </c>
      <c r="J10" s="20" t="inlineStr">
        <is>
          <t>Téléphone + Ordinateur</t>
        </is>
      </c>
      <c r="K10" s="21" t="inlineStr">
        <is>
          <t>À tester</t>
        </is>
      </c>
      <c r="L10" s="21" t="n"/>
      <c r="M10" s="21" t="n"/>
      <c r="N10" s="21" t="n"/>
      <c r="O10" s="22" t="n"/>
      <c r="P10" s="21" t="n"/>
    </row>
    <row r="11" ht="60" customHeight="1">
      <c r="A11" s="23" t="inlineStr">
        <is>
          <t>LEO-010</t>
        </is>
      </c>
      <c r="B11" s="23" t="inlineStr">
        <is>
          <t>Fonder une entreprise</t>
        </is>
      </c>
      <c r="C11" s="23" t="inlineStr">
        <is>
          <t>Catalogue de métiers</t>
        </is>
      </c>
      <c r="D11" s="23" t="inlineStr">
        <is>
          <t>Ajouter un agent depuis le catalogue</t>
        </is>
      </c>
      <c r="E11" s="23" t="inlineStr">
        <is>
          <t>Entreprise créée</t>
        </is>
      </c>
      <c r="F11" s="23" t="inlineStr">
        <is>
          <t>1. Agents → « + Agent »
2. Chercher un métier
3. L'ajouter</t>
        </is>
      </c>
      <c r="G11" s="23" t="inlineStr">
        <is>
          <t>Recherche : « comptable »</t>
        </is>
      </c>
      <c r="H11" s="23" t="inlineStr">
        <is>
          <t>Le métier est trouvé ; l'agent apparaît dans l'équipe avec photo et poste.</t>
        </is>
      </c>
      <c r="I11" s="23" t="inlineStr">
        <is>
          <t>Haute</t>
        </is>
      </c>
      <c r="J11" s="23" t="inlineStr">
        <is>
          <t>Téléphone + Ordinateur</t>
        </is>
      </c>
      <c r="K11" s="21" t="inlineStr">
        <is>
          <t>À tester</t>
        </is>
      </c>
      <c r="L11" s="21" t="n"/>
      <c r="M11" s="21" t="n"/>
      <c r="N11" s="21" t="n"/>
      <c r="O11" s="22" t="n"/>
      <c r="P11" s="21" t="n"/>
    </row>
    <row r="12" ht="45" customHeight="1">
      <c r="A12" s="20" t="inlineStr">
        <is>
          <t>LEO-011</t>
        </is>
      </c>
      <c r="B12" s="20" t="inlineStr">
        <is>
          <t>Fonder une entreprise</t>
        </is>
      </c>
      <c r="C12" s="20" t="inlineStr">
        <is>
          <t>Mes entreprises / tour de contrôle</t>
        </is>
      </c>
      <c r="D12" s="20" t="inlineStr">
        <is>
          <t>Voir et ouvrir ses entreprises</t>
        </is>
      </c>
      <c r="E12" s="20" t="inlineStr">
        <is>
          <t>2 entreprises créées</t>
        </is>
      </c>
      <c r="F12" s="20" t="inlineStr">
        <is>
          <t>1. Ouvrir « Mes entreprises »
2. Ouvrir l'une puis l'autre</t>
        </is>
      </c>
      <c r="G12" s="20" t="inlineStr">
        <is>
          <t>—</t>
        </is>
      </c>
      <c r="H12" s="20" t="inlineStr">
        <is>
          <t>Les deux s'affichent avec leurs chiffres ; on entre dans la bonne.</t>
        </is>
      </c>
      <c r="I12" s="20" t="inlineStr">
        <is>
          <t>Moyenne</t>
        </is>
      </c>
      <c r="J12" s="20" t="inlineStr">
        <is>
          <t>Téléphone + Ordinateur</t>
        </is>
      </c>
      <c r="K12" s="21" t="inlineStr">
        <is>
          <t>À tester</t>
        </is>
      </c>
      <c r="L12" s="21" t="n"/>
      <c r="M12" s="21" t="n"/>
      <c r="N12" s="21" t="n"/>
      <c r="O12" s="22" t="n"/>
      <c r="P12" s="21" t="n"/>
    </row>
    <row r="13" ht="60" customHeight="1">
      <c r="A13" s="23" t="inlineStr">
        <is>
          <t>LEO-012</t>
        </is>
      </c>
      <c r="B13" s="23" t="inlineStr">
        <is>
          <t>Salons et messages</t>
        </is>
      </c>
      <c r="C13" s="23" t="inlineStr">
        <is>
          <t>Écrire dans un salon</t>
        </is>
      </c>
      <c r="D13" s="23" t="inlineStr">
        <is>
          <t>Envoyer un message et recevoir une réponse d'agent</t>
        </is>
      </c>
      <c r="E13" s="23" t="inlineStr">
        <is>
          <t>Entreprise avec agents allumés</t>
        </is>
      </c>
      <c r="F13" s="23" t="inlineStr">
        <is>
          <t>1. Ouvrir le salon Direction
2. Écrire une question simple</t>
        </is>
      </c>
      <c r="G13" s="23" t="inlineStr">
        <is>
          <t>« Bonjour, où en est-on ? »</t>
        </is>
      </c>
      <c r="H13" s="23" t="inlineStr">
        <is>
          <t>Un agent répond en français, en quelques secondes ; « X écrit… » s'affiche pendant l'attente.</t>
        </is>
      </c>
      <c r="I13" s="23" t="inlineStr">
        <is>
          <t>Haute</t>
        </is>
      </c>
      <c r="J13" s="23" t="inlineStr">
        <is>
          <t>Téléphone + Ordinateur</t>
        </is>
      </c>
      <c r="K13" s="21" t="inlineStr">
        <is>
          <t>À tester</t>
        </is>
      </c>
      <c r="L13" s="21" t="n"/>
      <c r="M13" s="21" t="n"/>
      <c r="N13" s="21" t="n"/>
      <c r="O13" s="22" t="n"/>
      <c r="P13" s="21" t="n"/>
    </row>
    <row r="14" ht="45" customHeight="1">
      <c r="A14" s="20" t="inlineStr">
        <is>
          <t>LEO-013</t>
        </is>
      </c>
      <c r="B14" s="20" t="inlineStr">
        <is>
          <t>Salons et messages</t>
        </is>
      </c>
      <c r="C14" s="20" t="inlineStr">
        <is>
          <t>Mentionner un agent</t>
        </is>
      </c>
      <c r="D14" s="20" t="inlineStr">
        <is>
          <t>Obtenir la réponse d'un agent précis</t>
        </is>
      </c>
      <c r="E14" s="20" t="inlineStr">
        <is>
          <t>Salon ouvert</t>
        </is>
      </c>
      <c r="F14" s="20" t="inlineStr">
        <is>
          <t>1. Écrire @ + nom d'un agent
2. Poser la question</t>
        </is>
      </c>
      <c r="G14" s="20" t="inlineStr">
        <is>
          <t>« @Kwame combien a-t-on vendu ? »</t>
        </is>
      </c>
      <c r="H14" s="20" t="inlineStr">
        <is>
          <t>C'est l'agent mentionné qui répond.</t>
        </is>
      </c>
      <c r="I14" s="20" t="inlineStr">
        <is>
          <t>Haute</t>
        </is>
      </c>
      <c r="J14" s="20" t="inlineStr">
        <is>
          <t>Téléphone + Ordinateur</t>
        </is>
      </c>
      <c r="K14" s="21" t="inlineStr">
        <is>
          <t>À tester</t>
        </is>
      </c>
      <c r="L14" s="21" t="n"/>
      <c r="M14" s="21" t="n"/>
      <c r="N14" s="21" t="n"/>
      <c r="O14" s="22" t="n"/>
      <c r="P14" s="21" t="n"/>
    </row>
    <row r="15" ht="45" customHeight="1">
      <c r="A15" s="23" t="inlineStr">
        <is>
          <t>LEO-014</t>
        </is>
      </c>
      <c r="B15" s="23" t="inlineStr">
        <is>
          <t>Salons et messages</t>
        </is>
      </c>
      <c r="C15" s="23" t="inlineStr">
        <is>
          <t>Types de message</t>
        </is>
      </c>
      <c r="D15" s="23" t="inlineStr">
        <is>
          <t>Envoyer une Question, une Proposition, un À trancher, une Tâche</t>
        </is>
      </c>
      <c r="E15" s="23" t="inlineStr">
        <is>
          <t>Salon ouvert</t>
        </is>
      </c>
      <c r="F15" s="23" t="inlineStr">
        <is>
          <t>1. Choisir chaque type sous la zone de saisie
2. Envoyer un message avec chacun</t>
        </is>
      </c>
      <c r="G15" s="23" t="inlineStr">
        <is>
          <t>—</t>
        </is>
      </c>
      <c r="H15" s="23" t="inlineStr">
        <is>
          <t>Chaque message porte son étiquette ; « Tâche » crée une carte dans le tableau des tâches.</t>
        </is>
      </c>
      <c r="I15" s="23" t="inlineStr">
        <is>
          <t>Moyenne</t>
        </is>
      </c>
      <c r="J15" s="23" t="inlineStr">
        <is>
          <t>Téléphone + Ordinateur</t>
        </is>
      </c>
      <c r="K15" s="21" t="inlineStr">
        <is>
          <t>À tester</t>
        </is>
      </c>
      <c r="L15" s="21" t="n"/>
      <c r="M15" s="21" t="n"/>
      <c r="N15" s="21" t="n"/>
      <c r="O15" s="22" t="n"/>
      <c r="P15" s="21" t="n"/>
    </row>
    <row r="16" ht="60" customHeight="1">
      <c r="A16" s="20" t="inlineStr">
        <is>
          <t>LEO-015</t>
        </is>
      </c>
      <c r="B16" s="20" t="inlineStr">
        <is>
          <t>Salons et messages</t>
        </is>
      </c>
      <c r="C16" s="20" t="inlineStr">
        <is>
          <t>Message vocal</t>
        </is>
      </c>
      <c r="D16" s="20" t="inlineStr">
        <is>
          <t>Envoyer un vocal compris par les agents</t>
        </is>
      </c>
      <c r="E16" s="20" t="inlineStr">
        <is>
          <t>Micro autorisé</t>
        </is>
      </c>
      <c r="F16" s="20" t="inlineStr">
        <is>
          <t>1. Maintenir le micro
2. Parler 5 s
3. Envoyer</t>
        </is>
      </c>
      <c r="G16" s="20" t="inlineStr">
        <is>
          <t>Phrase dite à voix haute</t>
        </is>
      </c>
      <c r="H16" s="20" t="inlineStr">
        <is>
          <t>Le vocal est transcrit ; l'agent répond au contenu (pas seulement « 🎤 »).</t>
        </is>
      </c>
      <c r="I16" s="20" t="inlineStr">
        <is>
          <t>Haute</t>
        </is>
      </c>
      <c r="J16" s="20" t="inlineStr">
        <is>
          <t>Téléphone</t>
        </is>
      </c>
      <c r="K16" s="21" t="inlineStr">
        <is>
          <t>À tester</t>
        </is>
      </c>
      <c r="L16" s="21" t="n"/>
      <c r="M16" s="21" t="n"/>
      <c r="N16" s="21" t="n"/>
      <c r="O16" s="22" t="n"/>
      <c r="P16" s="21" t="n"/>
    </row>
    <row r="17" ht="45" customHeight="1">
      <c r="A17" s="23" t="inlineStr">
        <is>
          <t>LEO-016</t>
        </is>
      </c>
      <c r="B17" s="23" t="inlineStr">
        <is>
          <t>Salons et messages</t>
        </is>
      </c>
      <c r="C17" s="23" t="inlineStr">
        <is>
          <t>Fichier Excel / CSV / PDF</t>
        </is>
      </c>
      <c r="D17" s="23" t="inlineStr">
        <is>
          <t>Faire lire un document aux agents</t>
        </is>
      </c>
      <c r="E17" s="23" t="inlineStr">
        <is>
          <t>Un fichier .xlsx ou .pdf</t>
        </is>
      </c>
      <c r="F17" s="23" t="inlineStr">
        <is>
          <t>1. Joindre le fichier dans un salon
2. Demander un résumé</t>
        </is>
      </c>
      <c r="G17" s="23" t="inlineStr">
        <is>
          <t>Petit tableau de ventes</t>
        </is>
      </c>
      <c r="H17" s="23" t="inlineStr">
        <is>
          <t>L'agent cite des éléments réels du fichier.</t>
        </is>
      </c>
      <c r="I17" s="23" t="inlineStr">
        <is>
          <t>Haute</t>
        </is>
      </c>
      <c r="J17" s="23" t="inlineStr">
        <is>
          <t>Ordinateur</t>
        </is>
      </c>
      <c r="K17" s="21" t="inlineStr">
        <is>
          <t>À tester</t>
        </is>
      </c>
      <c r="L17" s="21" t="n"/>
      <c r="M17" s="21" t="n"/>
      <c r="N17" s="21" t="n"/>
      <c r="O17" s="22" t="n"/>
      <c r="P17" s="21" t="n"/>
    </row>
    <row r="18" ht="45" customHeight="1">
      <c r="A18" s="20" t="inlineStr">
        <is>
          <t>LEO-017</t>
        </is>
      </c>
      <c r="B18" s="20" t="inlineStr">
        <is>
          <t>Salons et messages</t>
        </is>
      </c>
      <c r="C18" s="20" t="inlineStr">
        <is>
          <t>Photo</t>
        </is>
      </c>
      <c r="D18" s="20" t="inlineStr">
        <is>
          <t>Envoyer une photo</t>
        </is>
      </c>
      <c r="E18" s="20" t="inlineStr">
        <is>
          <t>Appareil photo ou galerie</t>
        </is>
      </c>
      <c r="F18" s="20" t="inlineStr">
        <is>
          <t>1. Joindre une photo
2. Demander ce qu'on voit</t>
        </is>
      </c>
      <c r="G18" s="20" t="inlineStr">
        <is>
          <t>—</t>
        </is>
      </c>
      <c r="H18" s="20" t="inlineStr">
        <is>
          <t>La photo s'affiche ; l'agent la décrit.</t>
        </is>
      </c>
      <c r="I18" s="20" t="inlineStr">
        <is>
          <t>Moyenne</t>
        </is>
      </c>
      <c r="J18" s="20" t="inlineStr">
        <is>
          <t>Téléphone</t>
        </is>
      </c>
      <c r="K18" s="21" t="inlineStr">
        <is>
          <t>À tester</t>
        </is>
      </c>
      <c r="L18" s="21" t="n"/>
      <c r="M18" s="21" t="n"/>
      <c r="N18" s="21" t="n"/>
      <c r="O18" s="22" t="n"/>
      <c r="P18" s="21" t="n"/>
    </row>
    <row r="19" ht="45" customHeight="1">
      <c r="A19" s="23" t="inlineStr">
        <is>
          <t>LEO-018</t>
        </is>
      </c>
      <c r="B19" s="23" t="inlineStr">
        <is>
          <t>Salons et messages</t>
        </is>
      </c>
      <c r="C19" s="23" t="inlineStr">
        <is>
          <t>Commandes /</t>
        </is>
      </c>
      <c r="D19" s="23" t="inlineStr">
        <is>
          <t>Utiliser les commandes rapides</t>
        </is>
      </c>
      <c r="E19" s="23" t="inlineStr">
        <is>
          <t>Salon ouvert</t>
        </is>
      </c>
      <c r="F19" s="23" t="inlineStr">
        <is>
          <t>1. Taper « / »
2. Choisir une commande</t>
        </is>
      </c>
      <c r="G19" s="23" t="inlineStr">
        <is>
          <t>—</t>
        </is>
      </c>
      <c r="H19" s="23" t="inlineStr">
        <is>
          <t>La liste des commandes s'ouvre et la commande choisie s'exécute.</t>
        </is>
      </c>
      <c r="I19" s="23" t="inlineStr">
        <is>
          <t>Basse</t>
        </is>
      </c>
      <c r="J19" s="23" t="inlineStr">
        <is>
          <t>Ordinateur</t>
        </is>
      </c>
      <c r="K19" s="21" t="inlineStr">
        <is>
          <t>À tester</t>
        </is>
      </c>
      <c r="L19" s="21" t="n"/>
      <c r="M19" s="21" t="n"/>
      <c r="N19" s="21" t="n"/>
      <c r="O19" s="22" t="n"/>
      <c r="P19" s="21" t="n"/>
    </row>
    <row r="20" ht="45" customHeight="1">
      <c r="A20" s="20" t="inlineStr">
        <is>
          <t>LEO-019</t>
        </is>
      </c>
      <c r="B20" s="20" t="inlineStr">
        <is>
          <t>Salons et messages</t>
        </is>
      </c>
      <c r="C20" s="20" t="inlineStr">
        <is>
          <t>Réponse rapide</t>
        </is>
      </c>
      <c r="D20" s="20" t="inlineStr">
        <is>
          <t>Mesurer la vitesse sur une question simple</t>
        </is>
      </c>
      <c r="E20" s="20" t="inlineStr">
        <is>
          <t>Salon ouvert</t>
        </is>
      </c>
      <c r="F20" s="20" t="inlineStr">
        <is>
          <t>1. Écrire « bonne nuit »
2. Chronométrer</t>
        </is>
      </c>
      <c r="G20" s="20" t="inlineStr">
        <is>
          <t>—</t>
        </is>
      </c>
      <c r="H20" s="20" t="inlineStr">
        <is>
          <t>Réponse en moins de 10 s.</t>
        </is>
      </c>
      <c r="I20" s="20" t="inlineStr">
        <is>
          <t>Moyenne</t>
        </is>
      </c>
      <c r="J20" s="20" t="inlineStr">
        <is>
          <t>Téléphone + Ordinateur</t>
        </is>
      </c>
      <c r="K20" s="21" t="inlineStr">
        <is>
          <t>À tester</t>
        </is>
      </c>
      <c r="L20" s="21" t="n"/>
      <c r="M20" s="21" t="n"/>
      <c r="N20" s="21" t="n"/>
      <c r="O20" s="22" t="n"/>
      <c r="P20" s="21" t="n"/>
    </row>
    <row r="21" ht="45" customHeight="1">
      <c r="A21" s="23" t="inlineStr">
        <is>
          <t>LEO-020</t>
        </is>
      </c>
      <c r="B21" s="23" t="inlineStr">
        <is>
          <t>Salons et messages</t>
        </is>
      </c>
      <c r="C21" s="23" t="inlineStr">
        <is>
          <t>Questions des agents à l'humain</t>
        </is>
      </c>
      <c r="D21" s="23" t="inlineStr">
        <is>
          <t>Répondre à une question posée par un agent</t>
        </is>
      </c>
      <c r="E21" s="23" t="inlineStr">
        <is>
          <t>Un agent a posé une question</t>
        </is>
      </c>
      <c r="F21" s="23" t="inlineStr">
        <is>
          <t>1. Ouvrir la question
2. Répondre</t>
        </is>
      </c>
      <c r="G21" s="23" t="inlineStr">
        <is>
          <t>—</t>
        </is>
      </c>
      <c r="H21" s="23" t="inlineStr">
        <is>
          <t>La réponse est prise en compte ; la question passe en « réglée ».</t>
        </is>
      </c>
      <c r="I21" s="23" t="inlineStr">
        <is>
          <t>Moyenne</t>
        </is>
      </c>
      <c r="J21" s="23" t="inlineStr">
        <is>
          <t>Téléphone + Ordinateur</t>
        </is>
      </c>
      <c r="K21" s="21" t="inlineStr">
        <is>
          <t>À tester</t>
        </is>
      </c>
      <c r="L21" s="21" t="n"/>
      <c r="M21" s="21" t="n"/>
      <c r="N21" s="21" t="n"/>
      <c r="O21" s="22" t="n"/>
      <c r="P21" s="21" t="n"/>
    </row>
    <row r="22" ht="60" customHeight="1">
      <c r="A22" s="20" t="inlineStr">
        <is>
          <t>LEO-021</t>
        </is>
      </c>
      <c r="B22" s="20" t="inlineStr">
        <is>
          <t>Agents</t>
        </is>
      </c>
      <c r="C22" s="20" t="inlineStr">
        <is>
          <t>Fiche agent</t>
        </is>
      </c>
      <c r="D22" s="20" t="inlineStr">
        <is>
          <t>Consulter la fiche d'un agent</t>
        </is>
      </c>
      <c r="E22" s="20" t="inlineStr">
        <is>
          <t>Entreprise avec agents</t>
        </is>
      </c>
      <c r="F22" s="20" t="inlineStr">
        <is>
          <t>1. Cliquer sur un agent
2. Lire la fiche</t>
        </is>
      </c>
      <c r="G22" s="20" t="inlineStr">
        <is>
          <t>—</t>
        </is>
      </c>
      <c r="H22" s="20" t="inlineStr">
        <is>
          <t>On voit : ce qu'on attend de lui, sa personnalité, ses limites, son autonomie, ses droits, sa mémoire.</t>
        </is>
      </c>
      <c r="I22" s="20" t="inlineStr">
        <is>
          <t>Haute</t>
        </is>
      </c>
      <c r="J22" s="20" t="inlineStr">
        <is>
          <t>Téléphone + Ordinateur</t>
        </is>
      </c>
      <c r="K22" s="21" t="inlineStr">
        <is>
          <t>À tester</t>
        </is>
      </c>
      <c r="L22" s="21" t="n"/>
      <c r="M22" s="21" t="n"/>
      <c r="N22" s="21" t="n"/>
      <c r="O22" s="22" t="n"/>
      <c r="P22" s="21" t="n"/>
    </row>
    <row r="23" ht="75" customHeight="1">
      <c r="A23" s="23" t="inlineStr">
        <is>
          <t>LEO-022</t>
        </is>
      </c>
      <c r="B23" s="23" t="inlineStr">
        <is>
          <t>Agents</t>
        </is>
      </c>
      <c r="C23" s="23" t="inlineStr">
        <is>
          <t>Modifier un agent</t>
        </is>
      </c>
      <c r="D23" s="23" t="inlineStr">
        <is>
          <t>Changer la personnalité ou le poste</t>
        </is>
      </c>
      <c r="E23" s="23" t="inlineStr">
        <is>
          <t>Fiche ouverte</t>
        </is>
      </c>
      <c r="F23" s="23" t="inlineStr">
        <is>
          <t>1. « Modifier »
2. Changer la personnalité
3. Enregistrer
4. Lui écrire</t>
        </is>
      </c>
      <c r="G23" s="23" t="inlineStr">
        <is>
          <t>—</t>
        </is>
      </c>
      <c r="H23" s="23" t="inlineStr">
        <is>
          <t>La modification est gardée et se ressent dans ses réponses.</t>
        </is>
      </c>
      <c r="I23" s="23" t="inlineStr">
        <is>
          <t>Moyenne</t>
        </is>
      </c>
      <c r="J23" s="23" t="inlineStr">
        <is>
          <t>Téléphone + Ordinateur</t>
        </is>
      </c>
      <c r="K23" s="21" t="inlineStr">
        <is>
          <t>À tester</t>
        </is>
      </c>
      <c r="L23" s="21" t="n"/>
      <c r="M23" s="21" t="n"/>
      <c r="N23" s="21" t="n"/>
      <c r="O23" s="22" t="n"/>
      <c r="P23" s="21" t="n"/>
    </row>
    <row r="24" ht="60" customHeight="1">
      <c r="A24" s="20" t="inlineStr">
        <is>
          <t>LEO-023</t>
        </is>
      </c>
      <c r="B24" s="20" t="inlineStr">
        <is>
          <t>Agents</t>
        </is>
      </c>
      <c r="C24" s="20" t="inlineStr">
        <is>
          <t>Autonomie</t>
        </is>
      </c>
      <c r="D24" s="20" t="inlineStr">
        <is>
          <t>Régler jusqu'où l'agent agit seul</t>
        </is>
      </c>
      <c r="E24" s="20" t="inlineStr">
        <is>
          <t>Fiche ouverte</t>
        </is>
      </c>
      <c r="F24" s="20" t="inlineStr">
        <is>
          <t>1. Passer de Supervisé à Semi-autonome
2. Lui donner une tâche</t>
        </is>
      </c>
      <c r="G24" s="20" t="inlineStr">
        <is>
          <t>—</t>
        </is>
      </c>
      <c r="H24" s="20" t="inlineStr">
        <is>
          <t>Le réglage est gardé ; en Supervisé il propose, en Semi-autonome il agit sur ce qui ne coûte rien.</t>
        </is>
      </c>
      <c r="I24" s="20" t="inlineStr">
        <is>
          <t>Haute</t>
        </is>
      </c>
      <c r="J24" s="20" t="inlineStr">
        <is>
          <t>Téléphone + Ordinateur</t>
        </is>
      </c>
      <c r="K24" s="21" t="inlineStr">
        <is>
          <t>À tester</t>
        </is>
      </c>
      <c r="L24" s="21" t="n"/>
      <c r="M24" s="21" t="n"/>
      <c r="N24" s="21" t="n"/>
      <c r="O24" s="22" t="n"/>
      <c r="P24" s="21" t="n"/>
    </row>
    <row r="25" ht="45" customHeight="1">
      <c r="A25" s="23" t="inlineStr">
        <is>
          <t>LEO-024</t>
        </is>
      </c>
      <c r="B25" s="23" t="inlineStr">
        <is>
          <t>Agents</t>
        </is>
      </c>
      <c r="C25" s="23" t="inlineStr">
        <is>
          <t>Droits</t>
        </is>
      </c>
      <c r="D25" s="23" t="inlineStr">
        <is>
          <t>Passer un agent de Lecture seule à Peut modifier</t>
        </is>
      </c>
      <c r="E25" s="23" t="inlineStr">
        <is>
          <t>Fiche ouverte</t>
        </is>
      </c>
      <c r="F25" s="23" t="inlineStr">
        <is>
          <t>1. Changer les droits
2. Vérifier dans l'atelier</t>
        </is>
      </c>
      <c r="G25" s="23" t="inlineStr">
        <is>
          <t>—</t>
        </is>
      </c>
      <c r="H25" s="23" t="inlineStr">
        <is>
          <t>En lecture seule il ne modifie rien ; en Peut modifier il peut écrire du code.</t>
        </is>
      </c>
      <c r="I25" s="23" t="inlineStr">
        <is>
          <t>Haute</t>
        </is>
      </c>
      <c r="J25" s="23" t="inlineStr">
        <is>
          <t>Ordinateur</t>
        </is>
      </c>
      <c r="K25" s="21" t="inlineStr">
        <is>
          <t>À tester</t>
        </is>
      </c>
      <c r="L25" s="21" t="n"/>
      <c r="M25" s="21" t="n"/>
      <c r="N25" s="21" t="n"/>
      <c r="O25" s="22" t="n"/>
      <c r="P25" s="21" t="n"/>
    </row>
    <row r="26" ht="60" customHeight="1">
      <c r="A26" s="20" t="inlineStr">
        <is>
          <t>LEO-025</t>
        </is>
      </c>
      <c r="B26" s="20" t="inlineStr">
        <is>
          <t>Agents</t>
        </is>
      </c>
      <c r="C26" s="20" t="inlineStr">
        <is>
          <t>Interrupteur</t>
        </is>
      </c>
      <c r="D26" s="20" t="inlineStr">
        <is>
          <t>Éteindre et rallumer un agent</t>
        </is>
      </c>
      <c r="E26" s="20" t="inlineStr">
        <is>
          <t>Agent allumé</t>
        </is>
      </c>
      <c r="F26" s="20" t="inlineStr">
        <is>
          <t>1. Éteindre l'agent
2. Lui écrire
3. Le rallumer</t>
        </is>
      </c>
      <c r="G26" s="20" t="inlineStr">
        <is>
          <t>—</t>
        </is>
      </c>
      <c r="H26" s="20" t="inlineStr">
        <is>
          <t>Éteint, il ne répond pas ; rallumé, il répond.</t>
        </is>
      </c>
      <c r="I26" s="20" t="inlineStr">
        <is>
          <t>Haute</t>
        </is>
      </c>
      <c r="J26" s="20" t="inlineStr">
        <is>
          <t>Téléphone + Ordinateur</t>
        </is>
      </c>
      <c r="K26" s="21" t="inlineStr">
        <is>
          <t>À tester</t>
        </is>
      </c>
      <c r="L26" s="21" t="n"/>
      <c r="M26" s="21" t="n"/>
      <c r="N26" s="21" t="n"/>
      <c r="O26" s="22" t="n"/>
      <c r="P26" s="21" t="n"/>
    </row>
    <row r="27" ht="45" customHeight="1">
      <c r="A27" s="23" t="inlineStr">
        <is>
          <t>LEO-026</t>
        </is>
      </c>
      <c r="B27" s="23" t="inlineStr">
        <is>
          <t>Agents</t>
        </is>
      </c>
      <c r="C27" s="23" t="inlineStr">
        <is>
          <t>Interrupteur par service</t>
        </is>
      </c>
      <c r="D27" s="23" t="inlineStr">
        <is>
          <t>Éteindre tout un service</t>
        </is>
      </c>
      <c r="E27" s="23" t="inlineStr">
        <is>
          <t>Plusieurs agents dans un service</t>
        </is>
      </c>
      <c r="F27" s="23" t="inlineStr">
        <is>
          <t>1. Éteindre le service Marketing
2. Écrire dans son salon</t>
        </is>
      </c>
      <c r="G27" s="23" t="inlineStr">
        <is>
          <t>—</t>
        </is>
      </c>
      <c r="H27" s="23" t="inlineStr">
        <is>
          <t>Aucun agent du service ne répond.</t>
        </is>
      </c>
      <c r="I27" s="23" t="inlineStr">
        <is>
          <t>Moyenne</t>
        </is>
      </c>
      <c r="J27" s="23" t="inlineStr">
        <is>
          <t>Téléphone + Ordinateur</t>
        </is>
      </c>
      <c r="K27" s="21" t="inlineStr">
        <is>
          <t>À tester</t>
        </is>
      </c>
      <c r="L27" s="21" t="n"/>
      <c r="M27" s="21" t="n"/>
      <c r="N27" s="21" t="n"/>
      <c r="O27" s="22" t="n"/>
      <c r="P27" s="21" t="n"/>
    </row>
    <row r="28" ht="45" customHeight="1">
      <c r="A28" s="20" t="inlineStr">
        <is>
          <t>LEO-027</t>
        </is>
      </c>
      <c r="B28" s="20" t="inlineStr">
        <is>
          <t>Agents</t>
        </is>
      </c>
      <c r="C28" s="20" t="inlineStr">
        <is>
          <t>Engager via Confirmer</t>
        </is>
      </c>
      <c r="D28" s="20" t="inlineStr">
        <is>
          <t>Valider l'arrivée d'un agent proposé</t>
        </is>
      </c>
      <c r="E28" s="20" t="inlineStr">
        <is>
          <t>Une proposition d'agent en attente</t>
        </is>
      </c>
      <c r="F28" s="20" t="inlineStr">
        <is>
          <t>1. Ouvrir la proposition
2. Cliquer « Confirmer »</t>
        </is>
      </c>
      <c r="G28" s="20" t="inlineStr">
        <is>
          <t>—</t>
        </is>
      </c>
      <c r="H28" s="20" t="inlineStr">
        <is>
          <t>L'agent rejoint l'équipe ; rien ne se fait sans le clic.</t>
        </is>
      </c>
      <c r="I28" s="20" t="inlineStr">
        <is>
          <t>Haute</t>
        </is>
      </c>
      <c r="J28" s="20" t="inlineStr">
        <is>
          <t>Téléphone + Ordinateur</t>
        </is>
      </c>
      <c r="K28" s="21" t="inlineStr">
        <is>
          <t>À tester</t>
        </is>
      </c>
      <c r="L28" s="21" t="n"/>
      <c r="M28" s="21" t="n"/>
      <c r="N28" s="21" t="n"/>
      <c r="O28" s="22" t="n"/>
      <c r="P28" s="21" t="n"/>
    </row>
    <row r="29" ht="45" customHeight="1">
      <c r="A29" s="23" t="inlineStr">
        <is>
          <t>LEO-028</t>
        </is>
      </c>
      <c r="B29" s="23" t="inlineStr">
        <is>
          <t>Agents</t>
        </is>
      </c>
      <c r="C29" s="23" t="inlineStr">
        <is>
          <t>Galerie</t>
        </is>
      </c>
      <c r="D29" s="23" t="inlineStr">
        <is>
          <t>Parcourir les agents en galerie</t>
        </is>
      </c>
      <c r="E29" s="23" t="inlineStr">
        <is>
          <t>Entreprise avec agents</t>
        </is>
      </c>
      <c r="F29" s="23" t="inlineStr">
        <is>
          <t>1. Ouvrir « Galerie »</t>
        </is>
      </c>
      <c r="G29" s="23" t="inlineStr">
        <is>
          <t>—</t>
        </is>
      </c>
      <c r="H29" s="23" t="inlineStr">
        <is>
          <t>Photos, noms et postes s'affichent sans image cassée.</t>
        </is>
      </c>
      <c r="I29" s="23" t="inlineStr">
        <is>
          <t>Basse</t>
        </is>
      </c>
      <c r="J29" s="23" t="inlineStr">
        <is>
          <t>Téléphone + Ordinateur</t>
        </is>
      </c>
      <c r="K29" s="21" t="inlineStr">
        <is>
          <t>À tester</t>
        </is>
      </c>
      <c r="L29" s="21" t="n"/>
      <c r="M29" s="21" t="n"/>
      <c r="N29" s="21" t="n"/>
      <c r="O29" s="22" t="n"/>
      <c r="P29" s="21" t="n"/>
    </row>
    <row r="30" ht="45" customHeight="1">
      <c r="A30" s="20" t="inlineStr">
        <is>
          <t>LEO-029</t>
        </is>
      </c>
      <c r="B30" s="20" t="inlineStr">
        <is>
          <t>Agents</t>
        </is>
      </c>
      <c r="C30" s="20" t="inlineStr">
        <is>
          <t>Mémoire de l'agent</t>
        </is>
      </c>
      <c r="D30" s="20" t="inlineStr">
        <is>
          <t>Vérifier qu'il se souvient</t>
        </is>
      </c>
      <c r="E30" s="20" t="inlineStr">
        <is>
          <t>Avoir déjà échangé avec l'agent</t>
        </is>
      </c>
      <c r="F30" s="20" t="inlineStr">
        <is>
          <t>1. Lui rappeler une consigne donnée plus tôt
2. Lui demander de l'appliquer</t>
        </is>
      </c>
      <c r="G30" s="20" t="inlineStr">
        <is>
          <t>—</t>
        </is>
      </c>
      <c r="H30" s="20" t="inlineStr">
        <is>
          <t>Il retrouve la consigne dans sa mémoire.</t>
        </is>
      </c>
      <c r="I30" s="20" t="inlineStr">
        <is>
          <t>Moyenne</t>
        </is>
      </c>
      <c r="J30" s="20" t="inlineStr">
        <is>
          <t>Téléphone + Ordinateur</t>
        </is>
      </c>
      <c r="K30" s="21" t="inlineStr">
        <is>
          <t>À tester</t>
        </is>
      </c>
      <c r="L30" s="21" t="n"/>
      <c r="M30" s="21" t="n"/>
      <c r="N30" s="21" t="n"/>
      <c r="O30" s="22" t="n"/>
      <c r="P30" s="21" t="n"/>
    </row>
    <row r="31" ht="45" customHeight="1">
      <c r="A31" s="23" t="inlineStr">
        <is>
          <t>LEO-030</t>
        </is>
      </c>
      <c r="B31" s="23" t="inlineStr">
        <is>
          <t>Agents</t>
        </is>
      </c>
      <c r="C31" s="23" t="inlineStr">
        <is>
          <t>Contester un livrable</t>
        </is>
      </c>
      <c r="D31" s="23" t="inlineStr">
        <is>
          <t>Renvoyer un travail insuffisant</t>
        </is>
      </c>
      <c r="E31" s="23" t="inlineStr">
        <is>
          <t>Un livrable rendu</t>
        </is>
      </c>
      <c r="F31" s="23" t="inlineStr">
        <is>
          <t>1. Ouvrir le livrable
2. « Contester » avec un motif</t>
        </is>
      </c>
      <c r="G31" s="23" t="inlineStr">
        <is>
          <t>« Trop long, fais court »</t>
        </is>
      </c>
      <c r="H31" s="23" t="inlineStr">
        <is>
          <t>L'agent refait le travail en tenant compte du motif.</t>
        </is>
      </c>
      <c r="I31" s="23" t="inlineStr">
        <is>
          <t>Moyenne</t>
        </is>
      </c>
      <c r="J31" s="23" t="inlineStr">
        <is>
          <t>Téléphone + Ordinateur</t>
        </is>
      </c>
      <c r="K31" s="21" t="inlineStr">
        <is>
          <t>À tester</t>
        </is>
      </c>
      <c r="L31" s="21" t="n"/>
      <c r="M31" s="21" t="n"/>
      <c r="N31" s="21" t="n"/>
      <c r="O31" s="22" t="n"/>
      <c r="P31" s="21" t="n"/>
    </row>
    <row r="32" ht="45" customHeight="1">
      <c r="A32" s="20" t="inlineStr">
        <is>
          <t>LEO-031</t>
        </is>
      </c>
      <c r="B32" s="20" t="inlineStr">
        <is>
          <t>Agents</t>
        </is>
      </c>
      <c r="C32" s="20" t="inlineStr">
        <is>
          <t>Encourager</t>
        </is>
      </c>
      <c r="D32" s="20" t="inlineStr">
        <is>
          <t>Féliciter un agent</t>
        </is>
      </c>
      <c r="E32" s="20" t="inlineStr">
        <is>
          <t>Un livrable rendu</t>
        </is>
      </c>
      <c r="F32" s="20" t="inlineStr">
        <is>
          <t>1. « Encourager »</t>
        </is>
      </c>
      <c r="G32" s="20" t="inlineStr">
        <is>
          <t>—</t>
        </is>
      </c>
      <c r="H32" s="20" t="inlineStr">
        <is>
          <t>Le geste est enregistré (badge / historique).</t>
        </is>
      </c>
      <c r="I32" s="20" t="inlineStr">
        <is>
          <t>Basse</t>
        </is>
      </c>
      <c r="J32" s="20" t="inlineStr">
        <is>
          <t>Téléphone + Ordinateur</t>
        </is>
      </c>
      <c r="K32" s="21" t="inlineStr">
        <is>
          <t>À tester</t>
        </is>
      </c>
      <c r="L32" s="21" t="n"/>
      <c r="M32" s="21" t="n"/>
      <c r="N32" s="21" t="n"/>
      <c r="O32" s="22" t="n"/>
      <c r="P32" s="21" t="n"/>
    </row>
    <row r="33" ht="45" customHeight="1">
      <c r="A33" s="23" t="inlineStr">
        <is>
          <t>LEO-032</t>
        </is>
      </c>
      <c r="B33" s="23" t="inlineStr">
        <is>
          <t>Agents</t>
        </is>
      </c>
      <c r="C33" s="23" t="inlineStr">
        <is>
          <t>Renforcer un service</t>
        </is>
      </c>
      <c r="D33" s="23" t="inlineStr">
        <is>
          <t>Ajouter du monde à un service débordé</t>
        </is>
      </c>
      <c r="E33" s="23" t="inlineStr">
        <is>
          <t>Un service avec beaucoup de tâches</t>
        </is>
      </c>
      <c r="F33" s="23" t="inlineStr">
        <is>
          <t>1. « Renforcer »
2. Choisir le service</t>
        </is>
      </c>
      <c r="G33" s="23" t="inlineStr">
        <is>
          <t>—</t>
        </is>
      </c>
      <c r="H33" s="23" t="inlineStr">
        <is>
          <t>Un ou plusieurs agents rejoignent le service.</t>
        </is>
      </c>
      <c r="I33" s="23" t="inlineStr">
        <is>
          <t>Moyenne</t>
        </is>
      </c>
      <c r="J33" s="23" t="inlineStr">
        <is>
          <t>Téléphone + Ordinateur</t>
        </is>
      </c>
      <c r="K33" s="21" t="inlineStr">
        <is>
          <t>À tester</t>
        </is>
      </c>
      <c r="L33" s="21" t="n"/>
      <c r="M33" s="21" t="n"/>
      <c r="N33" s="21" t="n"/>
      <c r="O33" s="22" t="n"/>
      <c r="P33" s="21" t="n"/>
    </row>
    <row r="34" ht="45" customHeight="1">
      <c r="A34" s="20" t="inlineStr">
        <is>
          <t>LEO-033</t>
        </is>
      </c>
      <c r="B34" s="20" t="inlineStr">
        <is>
          <t>Agents</t>
        </is>
      </c>
      <c r="C34" s="20" t="inlineStr">
        <is>
          <t>Intérim / expert à la mission</t>
        </is>
      </c>
      <c r="D34" s="20" t="inlineStr">
        <is>
          <t>Faire venir un agent temporaire</t>
        </is>
      </c>
      <c r="E34" s="20" t="inlineStr">
        <is>
          <t>Entreprise créée</t>
        </is>
      </c>
      <c r="F34" s="20" t="inlineStr">
        <is>
          <t>1. Demander un intérim ou un expert
2. Lui confier une mission</t>
        </is>
      </c>
      <c r="G34" s="20" t="inlineStr">
        <is>
          <t>—</t>
        </is>
      </c>
      <c r="H34" s="20" t="inlineStr">
        <is>
          <t>L'agent arrive, fait la mission, puis repart ou reste selon le choix.</t>
        </is>
      </c>
      <c r="I34" s="20" t="inlineStr">
        <is>
          <t>Moyenne</t>
        </is>
      </c>
      <c r="J34" s="20" t="inlineStr">
        <is>
          <t>Téléphone + Ordinateur</t>
        </is>
      </c>
      <c r="K34" s="21" t="inlineStr">
        <is>
          <t>À tester</t>
        </is>
      </c>
      <c r="L34" s="21" t="n"/>
      <c r="M34" s="21" t="n"/>
      <c r="N34" s="21" t="n"/>
      <c r="O34" s="22" t="n"/>
      <c r="P34" s="21" t="n"/>
    </row>
    <row r="35" ht="45" customHeight="1">
      <c r="A35" s="23" t="inlineStr">
        <is>
          <t>LEO-034</t>
        </is>
      </c>
      <c r="B35" s="23" t="inlineStr">
        <is>
          <t>Agents</t>
        </is>
      </c>
      <c r="C35" s="23" t="inlineStr">
        <is>
          <t>Export / import d'agents</t>
        </is>
      </c>
      <c r="D35" s="23" t="inlineStr">
        <is>
          <t>Sauvegarder puis réimporter une équipe</t>
        </is>
      </c>
      <c r="E35" s="23" t="inlineStr">
        <is>
          <t>Entreprise avec agents</t>
        </is>
      </c>
      <c r="F35" s="23" t="inlineStr">
        <is>
          <t>1. Exporter l'équipe
2. Importer dans une autre entreprise de test</t>
        </is>
      </c>
      <c r="G35" s="23" t="inlineStr">
        <is>
          <t>—</t>
        </is>
      </c>
      <c r="H35" s="23" t="inlineStr">
        <is>
          <t>Les agents réimportés ont le même poste et la même personnalité.</t>
        </is>
      </c>
      <c r="I35" s="23" t="inlineStr">
        <is>
          <t>Basse</t>
        </is>
      </c>
      <c r="J35" s="23" t="inlineStr">
        <is>
          <t>Ordinateur</t>
        </is>
      </c>
      <c r="K35" s="21" t="inlineStr">
        <is>
          <t>À tester</t>
        </is>
      </c>
      <c r="L35" s="21" t="n"/>
      <c r="M35" s="21" t="n"/>
      <c r="N35" s="21" t="n"/>
      <c r="O35" s="22" t="n"/>
      <c r="P35" s="21" t="n"/>
    </row>
    <row r="36" ht="45" customHeight="1">
      <c r="A36" s="20" t="inlineStr">
        <is>
          <t>LEO-035</t>
        </is>
      </c>
      <c r="B36" s="20" t="inlineStr">
        <is>
          <t>Tâches et missions</t>
        </is>
      </c>
      <c r="C36" s="20" t="inlineStr">
        <is>
          <t>Tableau des tâches</t>
        </is>
      </c>
      <c r="D36" s="20" t="inlineStr">
        <is>
          <t>Voir les tâches par statut</t>
        </is>
      </c>
      <c r="E36" s="20" t="inlineStr">
        <is>
          <t>Entreprise active</t>
        </is>
      </c>
      <c r="F36" s="20" t="inlineStr">
        <is>
          <t>1. Ouvrir le tableau des tâches
2. Filtrer par service</t>
        </is>
      </c>
      <c r="G36" s="20" t="inlineStr">
        <is>
          <t>—</t>
        </is>
      </c>
      <c r="H36" s="20" t="inlineStr">
        <is>
          <t>Colonnes À faire / En cours / Revue / Fait ; le filtre fonctionne.</t>
        </is>
      </c>
      <c r="I36" s="20" t="inlineStr">
        <is>
          <t>Haute</t>
        </is>
      </c>
      <c r="J36" s="20" t="inlineStr">
        <is>
          <t>Téléphone + Ordinateur</t>
        </is>
      </c>
      <c r="K36" s="21" t="inlineStr">
        <is>
          <t>À tester</t>
        </is>
      </c>
      <c r="L36" s="21" t="n"/>
      <c r="M36" s="21" t="n"/>
      <c r="N36" s="21" t="n"/>
      <c r="O36" s="22" t="n"/>
      <c r="P36" s="21" t="n"/>
    </row>
    <row r="37" ht="60" customHeight="1">
      <c r="A37" s="23" t="inlineStr">
        <is>
          <t>LEO-036</t>
        </is>
      </c>
      <c r="B37" s="23" t="inlineStr">
        <is>
          <t>Tâches et missions</t>
        </is>
      </c>
      <c r="C37" s="23" t="inlineStr">
        <is>
          <t>Créer une tâche</t>
        </is>
      </c>
      <c r="D37" s="23" t="inlineStr">
        <is>
          <t>Donner une tâche à un agent</t>
        </is>
      </c>
      <c r="E37" s="23" t="inlineStr">
        <is>
          <t>Tableau ouvert</t>
        </is>
      </c>
      <c r="F37" s="23" t="inlineStr">
        <is>
          <t>1. « Nouvelle tâche »
2. Titre, agent, priorité
3. Enregistrer</t>
        </is>
      </c>
      <c r="G37" s="23" t="inlineStr">
        <is>
          <t>« Préparer le visuel de la promo »</t>
        </is>
      </c>
      <c r="H37" s="23" t="inlineStr">
        <is>
          <t>La carte apparaît dans À faire, attribuée au bon agent.</t>
        </is>
      </c>
      <c r="I37" s="23" t="inlineStr">
        <is>
          <t>Haute</t>
        </is>
      </c>
      <c r="J37" s="23" t="inlineStr">
        <is>
          <t>Téléphone + Ordinateur</t>
        </is>
      </c>
      <c r="K37" s="21" t="inlineStr">
        <is>
          <t>À tester</t>
        </is>
      </c>
      <c r="L37" s="21" t="n"/>
      <c r="M37" s="21" t="n"/>
      <c r="N37" s="21" t="n"/>
      <c r="O37" s="22" t="n"/>
      <c r="P37" s="21" t="n"/>
    </row>
    <row r="38" ht="45" customHeight="1">
      <c r="A38" s="20" t="inlineStr">
        <is>
          <t>LEO-037</t>
        </is>
      </c>
      <c r="B38" s="20" t="inlineStr">
        <is>
          <t>Tâches et missions</t>
        </is>
      </c>
      <c r="C38" s="20" t="inlineStr">
        <is>
          <t>Commenter une tâche</t>
        </is>
      </c>
      <c r="D38" s="20" t="inlineStr">
        <is>
          <t>Échanger sur une tâche</t>
        </is>
      </c>
      <c r="E38" s="20" t="inlineStr">
        <is>
          <t>Une tâche existante</t>
        </is>
      </c>
      <c r="F38" s="20" t="inlineStr">
        <is>
          <t>1. Ouvrir la tâche
2. Ajouter un commentaire</t>
        </is>
      </c>
      <c r="G38" s="20" t="inlineStr">
        <is>
          <t>—</t>
        </is>
      </c>
      <c r="H38" s="20" t="inlineStr">
        <is>
          <t>Le commentaire s'affiche avec l'heure ; l'agent peut répondre.</t>
        </is>
      </c>
      <c r="I38" s="20" t="inlineStr">
        <is>
          <t>Moyenne</t>
        </is>
      </c>
      <c r="J38" s="20" t="inlineStr">
        <is>
          <t>Téléphone + Ordinateur</t>
        </is>
      </c>
      <c r="K38" s="21" t="inlineStr">
        <is>
          <t>À tester</t>
        </is>
      </c>
      <c r="L38" s="21" t="n"/>
      <c r="M38" s="21" t="n"/>
      <c r="N38" s="21" t="n"/>
      <c r="O38" s="22" t="n"/>
      <c r="P38" s="21" t="n"/>
    </row>
    <row r="39" ht="45" customHeight="1">
      <c r="A39" s="23" t="inlineStr">
        <is>
          <t>LEO-038</t>
        </is>
      </c>
      <c r="B39" s="23" t="inlineStr">
        <is>
          <t>Tâches et missions</t>
        </is>
      </c>
      <c r="C39" s="23" t="inlineStr">
        <is>
          <t>Déplacer une tâche</t>
        </is>
      </c>
      <c r="D39" s="23" t="inlineStr">
        <is>
          <t>Faire avancer une tâche</t>
        </is>
      </c>
      <c r="E39" s="23" t="inlineStr">
        <is>
          <t>Une tâche À faire</t>
        </is>
      </c>
      <c r="F39" s="23" t="inlineStr">
        <is>
          <t>1. La passer En cours puis Fait</t>
        </is>
      </c>
      <c r="G39" s="23" t="inlineStr">
        <is>
          <t>—</t>
        </is>
      </c>
      <c r="H39" s="23" t="inlineStr">
        <is>
          <t>Le statut change et reste après rechargement.</t>
        </is>
      </c>
      <c r="I39" s="23" t="inlineStr">
        <is>
          <t>Moyenne</t>
        </is>
      </c>
      <c r="J39" s="23" t="inlineStr">
        <is>
          <t>Téléphone + Ordinateur</t>
        </is>
      </c>
      <c r="K39" s="21" t="inlineStr">
        <is>
          <t>À tester</t>
        </is>
      </c>
      <c r="L39" s="21" t="n"/>
      <c r="M39" s="21" t="n"/>
      <c r="N39" s="21" t="n"/>
      <c r="O39" s="22" t="n"/>
      <c r="P39" s="21" t="n"/>
    </row>
    <row r="40" ht="60" customHeight="1">
      <c r="A40" s="20" t="inlineStr">
        <is>
          <t>LEO-039</t>
        </is>
      </c>
      <c r="B40" s="20" t="inlineStr">
        <is>
          <t>Tâches et missions</t>
        </is>
      </c>
      <c r="C40" s="20" t="inlineStr">
        <is>
          <t>Bibliothèque de missions</t>
        </is>
      </c>
      <c r="D40" s="20" t="inlineStr">
        <is>
          <t>Lancer une mission récurrente</t>
        </is>
      </c>
      <c r="E40" s="20" t="inlineStr">
        <is>
          <t>Entreprise créée</t>
        </is>
      </c>
      <c r="F40" s="20" t="inlineStr">
        <is>
          <t>1. Ouvrir la bibliothèque
2. Choisir une mission hebdomadaire
3. L'activer</t>
        </is>
      </c>
      <c r="G40" s="20" t="inlineStr">
        <is>
          <t>—</t>
        </is>
      </c>
      <c r="H40" s="20" t="inlineStr">
        <is>
          <t>La mission crée ses tâches à la bonne fréquence.</t>
        </is>
      </c>
      <c r="I40" s="20" t="inlineStr">
        <is>
          <t>Moyenne</t>
        </is>
      </c>
      <c r="J40" s="20" t="inlineStr">
        <is>
          <t>Téléphone + Ordinateur</t>
        </is>
      </c>
      <c r="K40" s="21" t="inlineStr">
        <is>
          <t>À tester</t>
        </is>
      </c>
      <c r="L40" s="21" t="n"/>
      <c r="M40" s="21" t="n"/>
      <c r="N40" s="21" t="n"/>
      <c r="O40" s="22" t="n"/>
      <c r="P40" s="21" t="n"/>
    </row>
    <row r="41" ht="60" customHeight="1">
      <c r="A41" s="23" t="inlineStr">
        <is>
          <t>LEO-040</t>
        </is>
      </c>
      <c r="B41" s="23" t="inlineStr">
        <is>
          <t>Réunions</t>
        </is>
      </c>
      <c r="C41" s="23" t="inlineStr">
        <is>
          <t>Lancer une réunion</t>
        </is>
      </c>
      <c r="D41" s="23" t="inlineStr">
        <is>
          <t>Réunir 2 à 5 agents sur un sujet</t>
        </is>
      </c>
      <c r="E41" s="23" t="inlineStr">
        <is>
          <t>Au moins 2 agents</t>
        </is>
      </c>
      <c r="F41" s="23" t="inlineStr">
        <is>
          <t>1. « Réunion »
2. Sujet + agents
3. « Ouvrir la réunion »</t>
        </is>
      </c>
      <c r="G41" s="23" t="inlineStr">
        <is>
          <t>« Comment trouver nos 20 premiers clients ? »</t>
        </is>
      </c>
      <c r="H41" s="23" t="inlineStr">
        <is>
          <t>Chaque agent prend position, ils se répondent, puis une conclusion et une décision à trancher.</t>
        </is>
      </c>
      <c r="I41" s="23" t="inlineStr">
        <is>
          <t>Haute</t>
        </is>
      </c>
      <c r="J41" s="23" t="inlineStr">
        <is>
          <t>Téléphone + Ordinateur</t>
        </is>
      </c>
      <c r="K41" s="21" t="inlineStr">
        <is>
          <t>À tester</t>
        </is>
      </c>
      <c r="L41" s="21" t="n"/>
      <c r="M41" s="21" t="n"/>
      <c r="N41" s="21" t="n"/>
      <c r="O41" s="22" t="n"/>
      <c r="P41" s="21" t="n"/>
    </row>
    <row r="42" ht="45" customHeight="1">
      <c r="A42" s="20" t="inlineStr">
        <is>
          <t>LEO-041</t>
        </is>
      </c>
      <c r="B42" s="20" t="inlineStr">
        <is>
          <t>Réunions</t>
        </is>
      </c>
      <c r="C42" s="20" t="inlineStr">
        <is>
          <t>Types de réunion</t>
        </is>
      </c>
      <c r="D42" s="20" t="inlineStr">
        <is>
          <t>Tester vote, avocat du diable, négociation, investisseurs, crise, et si, rétro, budget</t>
        </is>
      </c>
      <c r="E42" s="20" t="inlineStr">
        <is>
          <t>Au moins 3 agents</t>
        </is>
      </c>
      <c r="F42" s="20" t="inlineStr">
        <is>
          <t>1. Lancer chaque type une fois</t>
        </is>
      </c>
      <c r="G42" s="20" t="inlineStr">
        <is>
          <t>—</t>
        </is>
      </c>
      <c r="H42" s="20" t="inlineStr">
        <is>
          <t>Le déroulé correspond au type (ex. vote = décompte des voix).</t>
        </is>
      </c>
      <c r="I42" s="20" t="inlineStr">
        <is>
          <t>Moyenne</t>
        </is>
      </c>
      <c r="J42" s="20" t="inlineStr">
        <is>
          <t>Ordinateur</t>
        </is>
      </c>
      <c r="K42" s="21" t="inlineStr">
        <is>
          <t>À tester</t>
        </is>
      </c>
      <c r="L42" s="21" t="n"/>
      <c r="M42" s="21" t="n"/>
      <c r="N42" s="21" t="n"/>
      <c r="O42" s="22" t="n"/>
      <c r="P42" s="21" t="n"/>
    </row>
    <row r="43" ht="45" customHeight="1">
      <c r="A43" s="23" t="inlineStr">
        <is>
          <t>LEO-042</t>
        </is>
      </c>
      <c r="B43" s="23" t="inlineStr">
        <is>
          <t>Réunions</t>
        </is>
      </c>
      <c r="C43" s="23" t="inlineStr">
        <is>
          <t>Écouter la réunion</t>
        </is>
      </c>
      <c r="D43" s="23" t="inlineStr">
        <is>
          <t>Entendre la réunion à plusieurs voix</t>
        </is>
      </c>
      <c r="E43" s="23" t="inlineStr">
        <is>
          <t>Une réunion terminée</t>
        </is>
      </c>
      <c r="F43" s="23" t="inlineStr">
        <is>
          <t>1. « Écouter »</t>
        </is>
      </c>
      <c r="G43" s="23" t="inlineStr">
        <is>
          <t>—</t>
        </is>
      </c>
      <c r="H43" s="23" t="inlineStr">
        <is>
          <t>Chaque agent a sa voix ; le son est clair.</t>
        </is>
      </c>
      <c r="I43" s="23" t="inlineStr">
        <is>
          <t>Moyenne</t>
        </is>
      </c>
      <c r="J43" s="23" t="inlineStr">
        <is>
          <t>Téléphone + Ordinateur</t>
        </is>
      </c>
      <c r="K43" s="21" t="inlineStr">
        <is>
          <t>À tester</t>
        </is>
      </c>
      <c r="L43" s="21" t="n"/>
      <c r="M43" s="21" t="n"/>
      <c r="N43" s="21" t="n"/>
      <c r="O43" s="22" t="n"/>
      <c r="P43" s="21" t="n"/>
    </row>
    <row r="44" ht="45" customHeight="1">
      <c r="A44" s="20" t="inlineStr">
        <is>
          <t>LEO-043</t>
        </is>
      </c>
      <c r="B44" s="20" t="inlineStr">
        <is>
          <t>Réunions</t>
        </is>
      </c>
      <c r="C44" s="20" t="inlineStr">
        <is>
          <t>Trancher</t>
        </is>
      </c>
      <c r="D44" s="20" t="inlineStr">
        <is>
          <t>Prendre la décision demandée par les agents</t>
        </is>
      </c>
      <c r="E44" s="20" t="inlineStr">
        <is>
          <t>Réunion terminée avec « À toi de trancher »</t>
        </is>
      </c>
      <c r="F44" s="20" t="inlineStr">
        <is>
          <t>1. Répondre à la décision</t>
        </is>
      </c>
      <c r="G44" s="20" t="inlineStr">
        <is>
          <t>—</t>
        </is>
      </c>
      <c r="H44" s="20" t="inlineStr">
        <is>
          <t>La décision est enregistrée et reprise dans le rapport du soir.</t>
        </is>
      </c>
      <c r="I44" s="20" t="inlineStr">
        <is>
          <t>Haute</t>
        </is>
      </c>
      <c r="J44" s="20" t="inlineStr">
        <is>
          <t>Téléphone + Ordinateur</t>
        </is>
      </c>
      <c r="K44" s="21" t="inlineStr">
        <is>
          <t>À tester</t>
        </is>
      </c>
      <c r="L44" s="21" t="n"/>
      <c r="M44" s="21" t="n"/>
      <c r="N44" s="21" t="n"/>
      <c r="O44" s="22" t="n"/>
      <c r="P44" s="21" t="n"/>
    </row>
    <row r="45" ht="60" customHeight="1">
      <c r="A45" s="23" t="inlineStr">
        <is>
          <t>LEO-044</t>
        </is>
      </c>
      <c r="B45" s="23" t="inlineStr">
        <is>
          <t>Voix et appels</t>
        </is>
      </c>
      <c r="C45" s="23" t="inlineStr">
        <is>
          <t>Appeler un agent</t>
        </is>
      </c>
      <c r="D45" s="23" t="inlineStr">
        <is>
          <t>Parler à un agent de vive voix</t>
        </is>
      </c>
      <c r="E45" s="23" t="inlineStr">
        <is>
          <t>Micro autorisé</t>
        </is>
      </c>
      <c r="F45" s="23" t="inlineStr">
        <is>
          <t>1. « Appeler » sur la fiche d'un agent
2. Parler
3. Raccrocher</t>
        </is>
      </c>
      <c r="G45" s="23" t="inlineStr">
        <is>
          <t>—</t>
        </is>
      </c>
      <c r="H45" s="23" t="inlineStr">
        <is>
          <t>L'agent répond à voix haute, en français, sur le sujet.</t>
        </is>
      </c>
      <c r="I45" s="23" t="inlineStr">
        <is>
          <t>Haute</t>
        </is>
      </c>
      <c r="J45" s="23" t="inlineStr">
        <is>
          <t>Téléphone + Ordinateur</t>
        </is>
      </c>
      <c r="K45" s="21" t="inlineStr">
        <is>
          <t>À tester</t>
        </is>
      </c>
      <c r="L45" s="21" t="n"/>
      <c r="M45" s="21" t="n"/>
      <c r="N45" s="21" t="n"/>
      <c r="O45" s="22" t="n"/>
      <c r="P45" s="21" t="n"/>
    </row>
    <row r="46" ht="45" customHeight="1">
      <c r="A46" s="20" t="inlineStr">
        <is>
          <t>LEO-045</t>
        </is>
      </c>
      <c r="B46" s="20" t="inlineStr">
        <is>
          <t>Voix et appels</t>
        </is>
      </c>
      <c r="C46" s="20" t="inlineStr">
        <is>
          <t>Jarvis (commande vocale)</t>
        </is>
      </c>
      <c r="D46" s="20" t="inlineStr">
        <is>
          <t>Piloter Léo à la voix</t>
        </is>
      </c>
      <c r="E46" s="20" t="inlineStr">
        <is>
          <t>Micro autorisé</t>
        </is>
      </c>
      <c r="F46" s="20" t="inlineStr">
        <is>
          <t>1. Ouvrir Jarvis
2. Dire « ouvre le tableau des tâches »</t>
        </is>
      </c>
      <c r="G46" s="20" t="inlineStr">
        <is>
          <t>—</t>
        </is>
      </c>
      <c r="H46" s="20" t="inlineStr">
        <is>
          <t>L'écran demandé s'ouvre.</t>
        </is>
      </c>
      <c r="I46" s="20" t="inlineStr">
        <is>
          <t>Moyenne</t>
        </is>
      </c>
      <c r="J46" s="20" t="inlineStr">
        <is>
          <t>Ordinateur</t>
        </is>
      </c>
      <c r="K46" s="21" t="inlineStr">
        <is>
          <t>À tester</t>
        </is>
      </c>
      <c r="L46" s="21" t="n"/>
      <c r="M46" s="21" t="n"/>
      <c r="N46" s="21" t="n"/>
      <c r="O46" s="22" t="n"/>
      <c r="P46" s="21" t="n"/>
    </row>
    <row r="47" ht="45" customHeight="1">
      <c r="A47" s="23" t="inlineStr">
        <is>
          <t>LEO-046</t>
        </is>
      </c>
      <c r="B47" s="23" t="inlineStr">
        <is>
          <t>Rapports et tableau de bord</t>
        </is>
      </c>
      <c r="C47" s="23" t="inlineStr">
        <is>
          <t>Rapport du soir</t>
        </is>
      </c>
      <c r="D47" s="23" t="inlineStr">
        <is>
          <t>Recevoir le point du jour</t>
        </is>
      </c>
      <c r="E47" s="23" t="inlineStr">
        <is>
          <t>Entreprise active dans la journée</t>
        </is>
      </c>
      <c r="F47" s="23" t="inlineStr">
        <is>
          <t>1. Attendre le rapport (ou le déclencher en test)
2. Le lire</t>
        </is>
      </c>
      <c r="G47" s="23" t="inlineStr">
        <is>
          <t>—</t>
        </is>
      </c>
      <c r="H47" s="23" t="inlineStr">
        <is>
          <t>Sections Fait aujourd'hui / Une décision t'attend / Demain ; contenu fidèle à la journée.</t>
        </is>
      </c>
      <c r="I47" s="23" t="inlineStr">
        <is>
          <t>Haute</t>
        </is>
      </c>
      <c r="J47" s="23" t="inlineStr">
        <is>
          <t>Téléphone + Ordinateur</t>
        </is>
      </c>
      <c r="K47" s="21" t="inlineStr">
        <is>
          <t>À tester</t>
        </is>
      </c>
      <c r="L47" s="21" t="n"/>
      <c r="M47" s="21" t="n"/>
      <c r="N47" s="21" t="n"/>
      <c r="O47" s="22" t="n"/>
      <c r="P47" s="21" t="n"/>
    </row>
    <row r="48" ht="45" customHeight="1">
      <c r="A48" s="20" t="inlineStr">
        <is>
          <t>LEO-047</t>
        </is>
      </c>
      <c r="B48" s="20" t="inlineStr">
        <is>
          <t>Rapports et tableau de bord</t>
        </is>
      </c>
      <c r="C48" s="20" t="inlineStr">
        <is>
          <t>Écouter le rapport</t>
        </is>
      </c>
      <c r="D48" s="20" t="inlineStr">
        <is>
          <t>Entendre le rapport du soir</t>
        </is>
      </c>
      <c r="E48" s="20" t="inlineStr">
        <is>
          <t>Un rapport reçu</t>
        </is>
      </c>
      <c r="F48" s="20" t="inlineStr">
        <is>
          <t>1. « Écouter »</t>
        </is>
      </c>
      <c r="G48" s="20" t="inlineStr">
        <is>
          <t>—</t>
        </is>
      </c>
      <c r="H48" s="20" t="inlineStr">
        <is>
          <t>Lecture audio claire et complète.</t>
        </is>
      </c>
      <c r="I48" s="20" t="inlineStr">
        <is>
          <t>Moyenne</t>
        </is>
      </c>
      <c r="J48" s="20" t="inlineStr">
        <is>
          <t>Téléphone + Ordinateur</t>
        </is>
      </c>
      <c r="K48" s="21" t="inlineStr">
        <is>
          <t>À tester</t>
        </is>
      </c>
      <c r="L48" s="21" t="n"/>
      <c r="M48" s="21" t="n"/>
      <c r="N48" s="21" t="n"/>
      <c r="O48" s="22" t="n"/>
      <c r="P48" s="21" t="n"/>
    </row>
    <row r="49" ht="45" customHeight="1">
      <c r="A49" s="23" t="inlineStr">
        <is>
          <t>LEO-048</t>
        </is>
      </c>
      <c r="B49" s="23" t="inlineStr">
        <is>
          <t>Rapports et tableau de bord</t>
        </is>
      </c>
      <c r="C49" s="23" t="inlineStr">
        <is>
          <t>Alertes</t>
        </is>
      </c>
      <c r="D49" s="23" t="inlineStr">
        <is>
          <t>Être prévenu d'un problème</t>
        </is>
      </c>
      <c r="E49" s="23" t="inlineStr">
        <is>
          <t>Provoquer une alerte (ex. budget à 80 %)</t>
        </is>
      </c>
      <c r="F49" s="23" t="inlineStr">
        <is>
          <t>1. Consommer le budget d'un agent
2. Observer</t>
        </is>
      </c>
      <c r="G49" s="23" t="inlineStr">
        <is>
          <t>—</t>
        </is>
      </c>
      <c r="H49" s="23" t="inlineStr">
        <is>
          <t>Une alerte s'affiche à 80 %.</t>
        </is>
      </c>
      <c r="I49" s="23" t="inlineStr">
        <is>
          <t>Moyenne</t>
        </is>
      </c>
      <c r="J49" s="23" t="inlineStr">
        <is>
          <t>Téléphone + Ordinateur</t>
        </is>
      </c>
      <c r="K49" s="21" t="inlineStr">
        <is>
          <t>À tester</t>
        </is>
      </c>
      <c r="L49" s="21" t="n"/>
      <c r="M49" s="21" t="n"/>
      <c r="N49" s="21" t="n"/>
      <c r="O49" s="22" t="n"/>
      <c r="P49" s="21" t="n"/>
    </row>
    <row r="50" ht="45" customHeight="1">
      <c r="A50" s="20" t="inlineStr">
        <is>
          <t>LEO-049</t>
        </is>
      </c>
      <c r="B50" s="20" t="inlineStr">
        <is>
          <t>Rapports et tableau de bord</t>
        </is>
      </c>
      <c r="C50" s="20" t="inlineStr">
        <is>
          <t>Tableau de bord</t>
        </is>
      </c>
      <c r="D50" s="20" t="inlineStr">
        <is>
          <t>Voir KPI, coût, charge et santé par agent</t>
        </is>
      </c>
      <c r="E50" s="20" t="inlineStr">
        <is>
          <t>Entreprise active</t>
        </is>
      </c>
      <c r="F50" s="20" t="inlineStr">
        <is>
          <t>1. Ouvrir le tableau de bord</t>
        </is>
      </c>
      <c r="G50" s="20" t="inlineStr">
        <is>
          <t>—</t>
        </is>
      </c>
      <c r="H50" s="20" t="inlineStr">
        <is>
          <t>Chiffres cohérents avec l'activité réelle ; aucun chiffre inventé.</t>
        </is>
      </c>
      <c r="I50" s="20" t="inlineStr">
        <is>
          <t>Haute</t>
        </is>
      </c>
      <c r="J50" s="20" t="inlineStr">
        <is>
          <t>Ordinateur</t>
        </is>
      </c>
      <c r="K50" s="21" t="inlineStr">
        <is>
          <t>À tester</t>
        </is>
      </c>
      <c r="L50" s="21" t="n"/>
      <c r="M50" s="21" t="n"/>
      <c r="N50" s="21" t="n"/>
      <c r="O50" s="22" t="n"/>
      <c r="P50" s="21" t="n"/>
    </row>
    <row r="51" ht="45" customHeight="1">
      <c r="A51" s="23" t="inlineStr">
        <is>
          <t>LEO-050</t>
        </is>
      </c>
      <c r="B51" s="23" t="inlineStr">
        <is>
          <t>Rapports et tableau de bord</t>
        </is>
      </c>
      <c r="C51" s="23" t="inlineStr">
        <is>
          <t>Rapport de transparence du mois</t>
        </is>
      </c>
      <c r="D51" s="23" t="inlineStr">
        <is>
          <t>Consulter le bilan mensuel</t>
        </is>
      </c>
      <c r="E51" s="23" t="inlineStr">
        <is>
          <t>Entreprise de plus d'un mois (ou données de test)</t>
        </is>
      </c>
      <c r="F51" s="23" t="inlineStr">
        <is>
          <t>1. Ouvrir le rapport du mois</t>
        </is>
      </c>
      <c r="G51" s="23" t="inlineStr">
        <is>
          <t>—</t>
        </is>
      </c>
      <c r="H51" s="23" t="inlineStr">
        <is>
          <t>Le bilan s'affiche et reprend les vrais chiffres.</t>
        </is>
      </c>
      <c r="I51" s="23" t="inlineStr">
        <is>
          <t>Basse</t>
        </is>
      </c>
      <c r="J51" s="23" t="inlineStr">
        <is>
          <t>Ordinateur</t>
        </is>
      </c>
      <c r="K51" s="21" t="inlineStr">
        <is>
          <t>À tester</t>
        </is>
      </c>
      <c r="L51" s="21" t="n"/>
      <c r="M51" s="21" t="n"/>
      <c r="N51" s="21" t="n"/>
      <c r="O51" s="22" t="n"/>
      <c r="P51" s="21" t="n"/>
    </row>
    <row r="52" ht="45" customHeight="1">
      <c r="A52" s="20" t="inlineStr">
        <is>
          <t>LEO-051</t>
        </is>
      </c>
      <c r="B52" s="20" t="inlineStr">
        <is>
          <t>Rapports et tableau de bord</t>
        </is>
      </c>
      <c r="C52" s="20" t="inlineStr">
        <is>
          <t>Journal des choix</t>
        </is>
      </c>
      <c r="D52" s="20" t="inlineStr">
        <is>
          <t>Vérifier la trace des décisions</t>
        </is>
      </c>
      <c r="E52" s="20" t="inlineStr">
        <is>
          <t>Des décisions prises</t>
        </is>
      </c>
      <c r="F52" s="20" t="inlineStr">
        <is>
          <t>1. Ouvrir le journal</t>
        </is>
      </c>
      <c r="G52" s="20" t="inlineStr">
        <is>
          <t>—</t>
        </is>
      </c>
      <c r="H52" s="20" t="inlineStr">
        <is>
          <t>Chaque décision est datée et signée ; impossible de la modifier.</t>
        </is>
      </c>
      <c r="I52" s="20" t="inlineStr">
        <is>
          <t>Moyenne</t>
        </is>
      </c>
      <c r="J52" s="20" t="inlineStr">
        <is>
          <t>Ordinateur</t>
        </is>
      </c>
      <c r="K52" s="21" t="inlineStr">
        <is>
          <t>À tester</t>
        </is>
      </c>
      <c r="L52" s="21" t="n"/>
      <c r="M52" s="21" t="n"/>
      <c r="N52" s="21" t="n"/>
      <c r="O52" s="22" t="n"/>
      <c r="P52" s="21" t="n"/>
    </row>
    <row r="53" ht="45" customHeight="1">
      <c r="A53" s="23" t="inlineStr">
        <is>
          <t>LEO-052</t>
        </is>
      </c>
      <c r="B53" s="23" t="inlineStr">
        <is>
          <t>Vues et outils</t>
        </is>
      </c>
      <c r="C53" s="23" t="inlineStr">
        <is>
          <t>Organigramme</t>
        </is>
      </c>
      <c r="D53" s="23" t="inlineStr">
        <is>
          <t>Voir l'équipe par service</t>
        </is>
      </c>
      <c r="E53" s="23" t="inlineStr">
        <is>
          <t>Entreprise avec agents</t>
        </is>
      </c>
      <c r="F53" s="23" t="inlineStr">
        <is>
          <t>1. L'immeuble → Organigramme
2. Exporter en PNG, SVG et PDF</t>
        </is>
      </c>
      <c r="G53" s="23" t="inlineStr">
        <is>
          <t>—</t>
        </is>
      </c>
      <c r="H53" s="23" t="inlineStr">
        <is>
          <t>Photos, postes, chef → équipe ; les 3 exports s'ouvrent correctement.</t>
        </is>
      </c>
      <c r="I53" s="23" t="inlineStr">
        <is>
          <t>Moyenne</t>
        </is>
      </c>
      <c r="J53" s="23" t="inlineStr">
        <is>
          <t>Ordinateur</t>
        </is>
      </c>
      <c r="K53" s="21" t="inlineStr">
        <is>
          <t>À tester</t>
        </is>
      </c>
      <c r="L53" s="21" t="n"/>
      <c r="M53" s="21" t="n"/>
      <c r="N53" s="21" t="n"/>
      <c r="O53" s="22" t="n"/>
      <c r="P53" s="21" t="n"/>
    </row>
    <row r="54" ht="45" customHeight="1">
      <c r="A54" s="20" t="inlineStr">
        <is>
          <t>LEO-053</t>
        </is>
      </c>
      <c r="B54" s="20" t="inlineStr">
        <is>
          <t>Vues et outils</t>
        </is>
      </c>
      <c r="C54" s="20" t="inlineStr">
        <is>
          <t>Frise</t>
        </is>
      </c>
      <c r="D54" s="20" t="inlineStr">
        <is>
          <t>Voir l'activité dans le temps</t>
        </is>
      </c>
      <c r="E54" s="20" t="inlineStr">
        <is>
          <t>Entreprise active</t>
        </is>
      </c>
      <c r="F54" s="20" t="inlineStr">
        <is>
          <t>1. Ouvrir la frise
2. Changer de période</t>
        </is>
      </c>
      <c r="G54" s="20" t="inlineStr">
        <is>
          <t>—</t>
        </is>
      </c>
      <c r="H54" s="20" t="inlineStr">
        <is>
          <t>Les événements s'affichent dans l'ordre.</t>
        </is>
      </c>
      <c r="I54" s="20" t="inlineStr">
        <is>
          <t>Basse</t>
        </is>
      </c>
      <c r="J54" s="20" t="inlineStr">
        <is>
          <t>Téléphone + Ordinateur</t>
        </is>
      </c>
      <c r="K54" s="21" t="inlineStr">
        <is>
          <t>À tester</t>
        </is>
      </c>
      <c r="L54" s="21" t="n"/>
      <c r="M54" s="21" t="n"/>
      <c r="N54" s="21" t="n"/>
      <c r="O54" s="22" t="n"/>
      <c r="P54" s="21" t="n"/>
    </row>
    <row r="55" ht="45" customHeight="1">
      <c r="A55" s="23" t="inlineStr">
        <is>
          <t>LEO-054</t>
        </is>
      </c>
      <c r="B55" s="23" t="inlineStr">
        <is>
          <t>Vues et outils</t>
        </is>
      </c>
      <c r="C55" s="23" t="inlineStr">
        <is>
          <t>Présentation (diapositives)</t>
        </is>
      </c>
      <c r="D55" s="23" t="inlineStr">
        <is>
          <t>Générer une présentation</t>
        </is>
      </c>
      <c r="E55" s="23" t="inlineStr">
        <is>
          <t>Entreprise active</t>
        </is>
      </c>
      <c r="F55" s="23" t="inlineStr">
        <is>
          <t>1. Ouvrir « Présentation »</t>
        </is>
      </c>
      <c r="G55" s="23" t="inlineStr">
        <is>
          <t>—</t>
        </is>
      </c>
      <c r="H55" s="23" t="inlineStr">
        <is>
          <t>Les diapositives se génèrent et défilent.</t>
        </is>
      </c>
      <c r="I55" s="23" t="inlineStr">
        <is>
          <t>Basse</t>
        </is>
      </c>
      <c r="J55" s="23" t="inlineStr">
        <is>
          <t>Ordinateur</t>
        </is>
      </c>
      <c r="K55" s="21" t="inlineStr">
        <is>
          <t>À tester</t>
        </is>
      </c>
      <c r="L55" s="21" t="n"/>
      <c r="M55" s="21" t="n"/>
      <c r="N55" s="21" t="n"/>
      <c r="O55" s="22" t="n"/>
      <c r="P55" s="21" t="n"/>
    </row>
    <row r="56" ht="45" customHeight="1">
      <c r="A56" s="20" t="inlineStr">
        <is>
          <t>LEO-055</t>
        </is>
      </c>
      <c r="B56" s="20" t="inlineStr">
        <is>
          <t>Vues et outils</t>
        </is>
      </c>
      <c r="C56" s="20" t="inlineStr">
        <is>
          <t>Tableau d'idées</t>
        </is>
      </c>
      <c r="D56" s="20" t="inlineStr">
        <is>
          <t>Déposer et trier des idées</t>
        </is>
      </c>
      <c r="E56" s="20" t="inlineStr">
        <is>
          <t>Entreprise créée</t>
        </is>
      </c>
      <c r="F56" s="20" t="inlineStr">
        <is>
          <t>1. Ajouter une idée
2. La déplacer</t>
        </is>
      </c>
      <c r="G56" s="20" t="inlineStr">
        <is>
          <t>—</t>
        </is>
      </c>
      <c r="H56" s="20" t="inlineStr">
        <is>
          <t>L'idée est gardée après rechargement.</t>
        </is>
      </c>
      <c r="I56" s="20" t="inlineStr">
        <is>
          <t>Basse</t>
        </is>
      </c>
      <c r="J56" s="20" t="inlineStr">
        <is>
          <t>Téléphone + Ordinateur</t>
        </is>
      </c>
      <c r="K56" s="21" t="inlineStr">
        <is>
          <t>À tester</t>
        </is>
      </c>
      <c r="L56" s="21" t="n"/>
      <c r="M56" s="21" t="n"/>
      <c r="N56" s="21" t="n"/>
      <c r="O56" s="22" t="n"/>
      <c r="P56" s="21" t="n"/>
    </row>
    <row r="57" ht="45" customHeight="1">
      <c r="A57" s="23" t="inlineStr">
        <is>
          <t>LEO-056</t>
        </is>
      </c>
      <c r="B57" s="23" t="inlineStr">
        <is>
          <t>Vues et outils</t>
        </is>
      </c>
      <c r="C57" s="23" t="inlineStr">
        <is>
          <t>Documents de l'entreprise</t>
        </is>
      </c>
      <c r="D57" s="23" t="inlineStr">
        <is>
          <t>Donner des documents de référence aux agents</t>
        </is>
      </c>
      <c r="E57" s="23" t="inlineStr">
        <is>
          <t>Un document texte ou PDF</t>
        </is>
      </c>
      <c r="F57" s="23" t="inlineStr">
        <is>
          <t>1. Ajouter le document
2. Poser une question dessus</t>
        </is>
      </c>
      <c r="G57" s="23" t="inlineStr">
        <is>
          <t>—</t>
        </is>
      </c>
      <c r="H57" s="23" t="inlineStr">
        <is>
          <t>L'agent répond en s'appuyant sur le document.</t>
        </is>
      </c>
      <c r="I57" s="23" t="inlineStr">
        <is>
          <t>Haute</t>
        </is>
      </c>
      <c r="J57" s="23" t="inlineStr">
        <is>
          <t>Ordinateur</t>
        </is>
      </c>
      <c r="K57" s="21" t="inlineStr">
        <is>
          <t>À tester</t>
        </is>
      </c>
      <c r="L57" s="21" t="n"/>
      <c r="M57" s="21" t="n"/>
      <c r="N57" s="21" t="n"/>
      <c r="O57" s="22" t="n"/>
      <c r="P57" s="21" t="n"/>
    </row>
    <row r="58" ht="45" customHeight="1">
      <c r="A58" s="20" t="inlineStr">
        <is>
          <t>LEO-057</t>
        </is>
      </c>
      <c r="B58" s="20" t="inlineStr">
        <is>
          <t>Vues et outils</t>
        </is>
      </c>
      <c r="C58" s="20" t="inlineStr">
        <is>
          <t>Wiki des agents</t>
        </is>
      </c>
      <c r="D58" s="20" t="inlineStr">
        <is>
          <t>Consulter le wiki</t>
        </is>
      </c>
      <c r="E58" s="20" t="inlineStr">
        <is>
          <t>Entreprise active</t>
        </is>
      </c>
      <c r="F58" s="20" t="inlineStr">
        <is>
          <t>1. Ouvrir le wiki</t>
        </is>
      </c>
      <c r="G58" s="20" t="inlineStr">
        <is>
          <t>—</t>
        </is>
      </c>
      <c r="H58" s="20" t="inlineStr">
        <is>
          <t>Les pages s'affichent et sont à jour.</t>
        </is>
      </c>
      <c r="I58" s="20" t="inlineStr">
        <is>
          <t>Basse</t>
        </is>
      </c>
      <c r="J58" s="20" t="inlineStr">
        <is>
          <t>Téléphone + Ordinateur</t>
        </is>
      </c>
      <c r="K58" s="21" t="inlineStr">
        <is>
          <t>À tester</t>
        </is>
      </c>
      <c r="L58" s="21" t="n"/>
      <c r="M58" s="21" t="n"/>
      <c r="N58" s="21" t="n"/>
      <c r="O58" s="22" t="n"/>
      <c r="P58" s="21" t="n"/>
    </row>
    <row r="59" ht="60" customHeight="1">
      <c r="A59" s="23" t="inlineStr">
        <is>
          <t>LEO-058</t>
        </is>
      </c>
      <c r="B59" s="23" t="inlineStr">
        <is>
          <t>Vues et outils</t>
        </is>
      </c>
      <c r="C59" s="23" t="inlineStr">
        <is>
          <t>Membres et rôles</t>
        </is>
      </c>
      <c r="D59" s="23" t="inlineStr">
        <is>
          <t>Inviter un collègue humain</t>
        </is>
      </c>
      <c r="E59" s="23" t="inlineStr">
        <is>
          <t>Deux comptes de test</t>
        </is>
      </c>
      <c r="F59" s="23" t="inlineStr">
        <is>
          <t>1. Inviter le 2e compte
2. Lui donner un rôle
3. Se connecter avec lui</t>
        </is>
      </c>
      <c r="G59" s="23" t="inlineStr">
        <is>
          <t>—</t>
        </is>
      </c>
      <c r="H59" s="23" t="inlineStr">
        <is>
          <t>Il voit l'entreprise avec les droits de son rôle, pas plus.</t>
        </is>
      </c>
      <c r="I59" s="23" t="inlineStr">
        <is>
          <t>Haute</t>
        </is>
      </c>
      <c r="J59" s="23" t="inlineStr">
        <is>
          <t>Téléphone + Ordinateur</t>
        </is>
      </c>
      <c r="K59" s="21" t="inlineStr">
        <is>
          <t>À tester</t>
        </is>
      </c>
      <c r="L59" s="21" t="n"/>
      <c r="M59" s="21" t="n"/>
      <c r="N59" s="21" t="n"/>
      <c r="O59" s="22" t="n"/>
      <c r="P59" s="21" t="n"/>
    </row>
    <row r="60" ht="45" customHeight="1">
      <c r="A60" s="20" t="inlineStr">
        <is>
          <t>LEO-059</t>
        </is>
      </c>
      <c r="B60" s="20" t="inlineStr">
        <is>
          <t>Atelier de code</t>
        </is>
      </c>
      <c r="C60" s="20" t="inlineStr">
        <is>
          <t>Ouvrir l'atelier</t>
        </is>
      </c>
      <c r="D60" s="20" t="inlineStr">
        <is>
          <t>Accéder à l'atelier de code</t>
        </is>
      </c>
      <c r="E60" s="20" t="inlineStr">
        <is>
          <t>Entreprise créée</t>
        </is>
      </c>
      <c r="F60" s="20" t="inlineStr">
        <is>
          <t>1. Ouvrir l'atelier</t>
        </is>
      </c>
      <c r="G60" s="20" t="inlineStr">
        <is>
          <t>—</t>
        </is>
      </c>
      <c r="H60" s="20" t="inlineStr">
        <is>
          <t>Éditeur, fichiers, aperçu et terminal s'affichent.</t>
        </is>
      </c>
      <c r="I60" s="20" t="inlineStr">
        <is>
          <t>Haute</t>
        </is>
      </c>
      <c r="J60" s="20" t="inlineStr">
        <is>
          <t>Ordinateur</t>
        </is>
      </c>
      <c r="K60" s="21" t="inlineStr">
        <is>
          <t>À tester</t>
        </is>
      </c>
      <c r="L60" s="21" t="n"/>
      <c r="M60" s="21" t="n"/>
      <c r="N60" s="21" t="n"/>
      <c r="O60" s="22" t="n"/>
      <c r="P60" s="21" t="n"/>
    </row>
    <row r="61" ht="45" customHeight="1">
      <c r="A61" s="23" t="inlineStr">
        <is>
          <t>LEO-060</t>
        </is>
      </c>
      <c r="B61" s="23" t="inlineStr">
        <is>
          <t>Atelier de code</t>
        </is>
      </c>
      <c r="C61" s="23" t="inlineStr">
        <is>
          <t>L'agent code en direct</t>
        </is>
      </c>
      <c r="D61" s="23" t="inlineStr">
        <is>
          <t>Demander un petit site à un agent</t>
        </is>
      </c>
      <c r="E61" s="23" t="inlineStr">
        <is>
          <t>Atelier ouvert</t>
        </is>
      </c>
      <c r="F61" s="23" t="inlineStr">
        <is>
          <t>1. Demander « une page d'accueil pour ma boutique »
2. Regarder l'éditeur</t>
        </is>
      </c>
      <c r="G61" s="23" t="inlineStr">
        <is>
          <t>—</t>
        </is>
      </c>
      <c r="H61" s="23" t="inlineStr">
        <is>
          <t>Le code s'écrit en direct dans l'éditeur ; l'aperçu montre la page.</t>
        </is>
      </c>
      <c r="I61" s="23" t="inlineStr">
        <is>
          <t>Haute</t>
        </is>
      </c>
      <c r="J61" s="23" t="inlineStr">
        <is>
          <t>Ordinateur</t>
        </is>
      </c>
      <c r="K61" s="21" t="inlineStr">
        <is>
          <t>À tester</t>
        </is>
      </c>
      <c r="L61" s="21" t="n"/>
      <c r="M61" s="21" t="n"/>
      <c r="N61" s="21" t="n"/>
      <c r="O61" s="22" t="n"/>
      <c r="P61" s="21" t="n"/>
    </row>
    <row r="62" ht="45" customHeight="1">
      <c r="A62" s="20" t="inlineStr">
        <is>
          <t>LEO-061</t>
        </is>
      </c>
      <c r="B62" s="20" t="inlineStr">
        <is>
          <t>Atelier de code</t>
        </is>
      </c>
      <c r="C62" s="20" t="inlineStr">
        <is>
          <t>Palette Ctrl+K</t>
        </is>
      </c>
      <c r="D62" s="20" t="inlineStr">
        <is>
          <t>Utiliser la palette de commandes</t>
        </is>
      </c>
      <c r="E62" s="20" t="inlineStr">
        <is>
          <t>Atelier ouvert</t>
        </is>
      </c>
      <c r="F62" s="20" t="inlineStr">
        <is>
          <t>1. Ctrl+K
2. Lancer une commande</t>
        </is>
      </c>
      <c r="G62" s="20" t="inlineStr">
        <is>
          <t>—</t>
        </is>
      </c>
      <c r="H62" s="20" t="inlineStr">
        <is>
          <t>La palette s'ouvre et la commande s'exécute.</t>
        </is>
      </c>
      <c r="I62" s="20" t="inlineStr">
        <is>
          <t>Basse</t>
        </is>
      </c>
      <c r="J62" s="20" t="inlineStr">
        <is>
          <t>Ordinateur</t>
        </is>
      </c>
      <c r="K62" s="21" t="inlineStr">
        <is>
          <t>À tester</t>
        </is>
      </c>
      <c r="L62" s="21" t="n"/>
      <c r="M62" s="21" t="n"/>
      <c r="N62" s="21" t="n"/>
      <c r="O62" s="22" t="n"/>
      <c r="P62" s="21" t="n"/>
    </row>
    <row r="63" ht="45" customHeight="1">
      <c r="A63" s="23" t="inlineStr">
        <is>
          <t>LEO-062</t>
        </is>
      </c>
      <c r="B63" s="23" t="inlineStr">
        <is>
          <t>Atelier de code</t>
        </is>
      </c>
      <c r="C63" s="23" t="inlineStr">
        <is>
          <t>Envoyer sur GitHub</t>
        </is>
      </c>
      <c r="D63" s="23" t="inlineStr">
        <is>
          <t>Pousser le code sur une branche après accord</t>
        </is>
      </c>
      <c r="E63" s="23" t="inlineStr">
        <is>
          <t>GitHub connecté (compte de test)</t>
        </is>
      </c>
      <c r="F63" s="23" t="inlineStr">
        <is>
          <t>1. « Envoyer sur GitHub »
2. Confirmer</t>
        </is>
      </c>
      <c r="G63" s="23" t="inlineStr">
        <is>
          <t>—</t>
        </is>
      </c>
      <c r="H63" s="23" t="inlineStr">
        <is>
          <t>Le code part sur une branche leo/… , jamais sur la branche principale.</t>
        </is>
      </c>
      <c r="I63" s="23" t="inlineStr">
        <is>
          <t>Haute</t>
        </is>
      </c>
      <c r="J63" s="23" t="inlineStr">
        <is>
          <t>Ordinateur</t>
        </is>
      </c>
      <c r="K63" s="21" t="inlineStr">
        <is>
          <t>À tester</t>
        </is>
      </c>
      <c r="L63" s="21" t="n"/>
      <c r="M63" s="21" t="n"/>
      <c r="N63" s="21" t="n"/>
      <c r="O63" s="22" t="n"/>
      <c r="P63" s="21" t="n"/>
    </row>
    <row r="64" ht="45" customHeight="1">
      <c r="A64" s="20" t="inlineStr">
        <is>
          <t>LEO-063</t>
        </is>
      </c>
      <c r="B64" s="20" t="inlineStr">
        <is>
          <t>Connecteurs</t>
        </is>
      </c>
      <c r="C64" s="20" t="inlineStr">
        <is>
          <t>Se connecter avec GitHub</t>
        </is>
      </c>
      <c r="D64" s="20" t="inlineStr">
        <is>
          <t>Brancher son compte GitHub</t>
        </is>
      </c>
      <c r="E64" s="20" t="inlineStr">
        <is>
          <t>Compte GitHub de test</t>
        </is>
      </c>
      <c r="F64" s="20" t="inlineStr">
        <is>
          <t>1. Connecteurs → GitHub
2. Autoriser</t>
        </is>
      </c>
      <c r="G64" s="20" t="inlineStr">
        <is>
          <t>—</t>
        </is>
      </c>
      <c r="H64" s="20" t="inlineStr">
        <is>
          <t>Le compte est branché ; les dépôts apparaissent.</t>
        </is>
      </c>
      <c r="I64" s="20" t="inlineStr">
        <is>
          <t>Haute</t>
        </is>
      </c>
      <c r="J64" s="20" t="inlineStr">
        <is>
          <t>Ordinateur</t>
        </is>
      </c>
      <c r="K64" s="21" t="inlineStr">
        <is>
          <t>À tester</t>
        </is>
      </c>
      <c r="L64" s="21" t="n"/>
      <c r="M64" s="21" t="n"/>
      <c r="N64" s="21" t="n"/>
      <c r="O64" s="22" t="n"/>
      <c r="P64" s="21" t="n"/>
    </row>
    <row r="65" ht="45" customHeight="1">
      <c r="A65" s="23" t="inlineStr">
        <is>
          <t>LEO-064</t>
        </is>
      </c>
      <c r="B65" s="23" t="inlineStr">
        <is>
          <t>Connecteurs</t>
        </is>
      </c>
      <c r="C65" s="23" t="inlineStr">
        <is>
          <t>Linear / Jira</t>
        </is>
      </c>
      <c r="D65" s="23" t="inlineStr">
        <is>
          <t>Brancher un outil de tickets</t>
        </is>
      </c>
      <c r="E65" s="23" t="inlineStr">
        <is>
          <t>Compte de test Linear ou Jira</t>
        </is>
      </c>
      <c r="F65" s="23" t="inlineStr">
        <is>
          <t>1. Brancher
2. Créer une réunion depuis un ticket</t>
        </is>
      </c>
      <c r="G65" s="23" t="inlineStr">
        <is>
          <t>—</t>
        </is>
      </c>
      <c r="H65" s="23" t="inlineStr">
        <is>
          <t>Le ticket est lu ; la réunion reprend son contenu.</t>
        </is>
      </c>
      <c r="I65" s="23" t="inlineStr">
        <is>
          <t>Moyenne</t>
        </is>
      </c>
      <c r="J65" s="23" t="inlineStr">
        <is>
          <t>Ordinateur</t>
        </is>
      </c>
      <c r="K65" s="21" t="inlineStr">
        <is>
          <t>À tester</t>
        </is>
      </c>
      <c r="L65" s="21" t="n"/>
      <c r="M65" s="21" t="n"/>
      <c r="N65" s="21" t="n"/>
      <c r="O65" s="22" t="n"/>
      <c r="P65" s="21" t="n"/>
    </row>
    <row r="66" ht="45" customHeight="1">
      <c r="A66" s="20" t="inlineStr">
        <is>
          <t>LEO-065</t>
        </is>
      </c>
      <c r="B66" s="20" t="inlineStr">
        <is>
          <t>Connecteurs</t>
        </is>
      </c>
      <c r="C66" s="20" t="inlineStr">
        <is>
          <t>Veille RSS</t>
        </is>
      </c>
      <c r="D66" s="20" t="inlineStr">
        <is>
          <t>Suivre un flux d'actualités</t>
        </is>
      </c>
      <c r="E66" s="20" t="inlineStr">
        <is>
          <t>URL d'un flux RSS</t>
        </is>
      </c>
      <c r="F66" s="20" t="inlineStr">
        <is>
          <t>1. Ajouter le flux
2. Attendre la veille</t>
        </is>
      </c>
      <c r="G66" s="20" t="inlineStr">
        <is>
          <t>—</t>
        </is>
      </c>
      <c r="H66" s="20" t="inlineStr">
        <is>
          <t>Les agents résument les nouveautés du flux.</t>
        </is>
      </c>
      <c r="I66" s="20" t="inlineStr">
        <is>
          <t>Basse</t>
        </is>
      </c>
      <c r="J66" s="20" t="inlineStr">
        <is>
          <t>Ordinateur</t>
        </is>
      </c>
      <c r="K66" s="21" t="inlineStr">
        <is>
          <t>À tester</t>
        </is>
      </c>
      <c r="L66" s="21" t="n"/>
      <c r="M66" s="21" t="n"/>
      <c r="N66" s="21" t="n"/>
      <c r="O66" s="22" t="n"/>
      <c r="P66" s="21" t="n"/>
    </row>
    <row r="67" ht="45" customHeight="1">
      <c r="A67" s="23" t="inlineStr">
        <is>
          <t>LEO-066</t>
        </is>
      </c>
      <c r="B67" s="23" t="inlineStr">
        <is>
          <t>Connecteurs</t>
        </is>
      </c>
      <c r="C67" s="23" t="inlineStr">
        <is>
          <t>Finjaro Accounting</t>
        </is>
      </c>
      <c r="D67" s="23" t="inlineStr">
        <is>
          <t>Brancher la comptabilité</t>
        </is>
      </c>
      <c r="E67" s="23" t="inlineStr">
        <is>
          <t>Compte Accounting de test</t>
        </is>
      </c>
      <c r="F67" s="23" t="inlineStr">
        <is>
          <t>1. « Se connecter avec Finjaro Accounting »
2. Demander un chiffre</t>
        </is>
      </c>
      <c r="G67" s="23" t="inlineStr">
        <is>
          <t>—</t>
        </is>
      </c>
      <c r="H67" s="23" t="inlineStr">
        <is>
          <t>L'agent lit les vrais chiffres (comptes de test exclus des totaux).</t>
        </is>
      </c>
      <c r="I67" s="23" t="inlineStr">
        <is>
          <t>Moyenne</t>
        </is>
      </c>
      <c r="J67" s="23" t="inlineStr">
        <is>
          <t>Ordinateur</t>
        </is>
      </c>
      <c r="K67" s="21" t="inlineStr">
        <is>
          <t>À tester</t>
        </is>
      </c>
      <c r="L67" s="21" t="n"/>
      <c r="M67" s="21" t="n"/>
      <c r="N67" s="21" t="n"/>
      <c r="O67" s="22" t="n"/>
      <c r="P67" s="21" t="n"/>
    </row>
    <row r="68" ht="45" customHeight="1">
      <c r="A68" s="20" t="inlineStr">
        <is>
          <t>LEO-067</t>
        </is>
      </c>
      <c r="B68" s="20" t="inlineStr">
        <is>
          <t>Connecteurs</t>
        </is>
      </c>
      <c r="C68" s="20" t="inlineStr">
        <is>
          <t>Supabase / Cloudflare / Vercel</t>
        </is>
      </c>
      <c r="D68" s="20" t="inlineStr">
        <is>
          <t>Brancher en lecture seule</t>
        </is>
      </c>
      <c r="E68" s="20" t="inlineStr">
        <is>
          <t>Compte de test du service</t>
        </is>
      </c>
      <c r="F68" s="20" t="inlineStr">
        <is>
          <t>1. Brancher
2. Demander un état</t>
        </is>
      </c>
      <c r="G68" s="20" t="inlineStr">
        <is>
          <t>—</t>
        </is>
      </c>
      <c r="H68" s="20" t="inlineStr">
        <is>
          <t>Lecture seule : l'agent lit, ne modifie rien.</t>
        </is>
      </c>
      <c r="I68" s="20" t="inlineStr">
        <is>
          <t>Basse</t>
        </is>
      </c>
      <c r="J68" s="20" t="inlineStr">
        <is>
          <t>Ordinateur</t>
        </is>
      </c>
      <c r="K68" s="21" t="inlineStr">
        <is>
          <t>À tester</t>
        </is>
      </c>
      <c r="L68" s="21" t="n"/>
      <c r="M68" s="21" t="n"/>
      <c r="N68" s="21" t="n"/>
      <c r="O68" s="22" t="n"/>
      <c r="P68" s="21" t="n"/>
    </row>
    <row r="69" ht="45" customHeight="1">
      <c r="A69" s="23" t="inlineStr">
        <is>
          <t>LEO-068</t>
        </is>
      </c>
      <c r="B69" s="23" t="inlineStr">
        <is>
          <t>Connecteurs</t>
        </is>
      </c>
      <c r="C69" s="23" t="inlineStr">
        <is>
          <t>Claude / ChatGPT (MCP)</t>
        </is>
      </c>
      <c r="D69" s="23" t="inlineStr">
        <is>
          <t>Piloter Léo depuis un autre assistant</t>
        </is>
      </c>
      <c r="E69" s="23" t="inlineStr">
        <is>
          <t>Assistant compatible MCP</t>
        </is>
      </c>
      <c r="F69" s="23" t="inlineStr">
        <is>
          <t>1. Ajouter le serveur Léo
2. Demander la liste des tâches</t>
        </is>
      </c>
      <c r="G69" s="23" t="inlineStr">
        <is>
          <t>—</t>
        </is>
      </c>
      <c r="H69" s="23" t="inlineStr">
        <is>
          <t>L'assistant lit les tâches de l'entreprise.</t>
        </is>
      </c>
      <c r="I69" s="23" t="inlineStr">
        <is>
          <t>Basse</t>
        </is>
      </c>
      <c r="J69" s="23" t="inlineStr">
        <is>
          <t>Ordinateur</t>
        </is>
      </c>
      <c r="K69" s="21" t="inlineStr">
        <is>
          <t>À tester</t>
        </is>
      </c>
      <c r="L69" s="21" t="n"/>
      <c r="M69" s="21" t="n"/>
      <c r="N69" s="21" t="n"/>
      <c r="O69" s="22" t="n"/>
      <c r="P69" s="21" t="n"/>
    </row>
    <row r="70" ht="45" customHeight="1">
      <c r="A70" s="20" t="inlineStr">
        <is>
          <t>LEO-069</t>
        </is>
      </c>
      <c r="B70" s="20" t="inlineStr">
        <is>
          <t>Connecteurs</t>
        </is>
      </c>
      <c r="C70" s="20" t="inlineStr">
        <is>
          <t>Mon ordinateur</t>
        </is>
      </c>
      <c r="D70" s="20" t="inlineStr">
        <is>
          <t>Confier une tâche sur l'ordinateur</t>
        </is>
      </c>
      <c r="E70" s="20" t="inlineStr">
        <is>
          <t>Extension de navigateur installée</t>
        </is>
      </c>
      <c r="F70" s="20" t="inlineStr">
        <is>
          <t>1. Créer une tâche « mon ordinateur »
2. Suivre l'exécution</t>
        </is>
      </c>
      <c r="G70" s="20" t="inlineStr">
        <is>
          <t>—</t>
        </is>
      </c>
      <c r="H70" s="20" t="inlineStr">
        <is>
          <t>La tâche s'exécute et rend compte ; rien sans accord.</t>
        </is>
      </c>
      <c r="I70" s="20" t="inlineStr">
        <is>
          <t>Basse</t>
        </is>
      </c>
      <c r="J70" s="20" t="inlineStr">
        <is>
          <t>Ordinateur</t>
        </is>
      </c>
      <c r="K70" s="21" t="inlineStr">
        <is>
          <t>À tester</t>
        </is>
      </c>
      <c r="L70" s="21" t="n"/>
      <c r="M70" s="21" t="n"/>
      <c r="N70" s="21" t="n"/>
      <c r="O70" s="22" t="n"/>
      <c r="P70" s="21" t="n"/>
    </row>
    <row r="71" ht="45" customHeight="1">
      <c r="A71" s="23" t="inlineStr">
        <is>
          <t>LEO-070</t>
        </is>
      </c>
      <c r="B71" s="23" t="inlineStr">
        <is>
          <t>Monde 3D</t>
        </is>
      </c>
      <c r="C71" s="23" t="inlineStr">
        <is>
          <t>Entrer dans la ville</t>
        </is>
      </c>
      <c r="D71" s="23" t="inlineStr">
        <is>
          <t>Ouvrir le monde 3D</t>
        </is>
      </c>
      <c r="E71" s="23" t="inlineStr">
        <is>
          <t>Entreprise créée</t>
        </is>
      </c>
      <c r="F71" s="23" t="inlineStr">
        <is>
          <t>1. Ouvrir la ville</t>
        </is>
      </c>
      <c r="G71" s="23" t="inlineStr">
        <is>
          <t>—</t>
        </is>
      </c>
      <c r="H71" s="23" t="inlineStr">
        <is>
          <t>La ville se charge, fluide (pas de saccade forte).</t>
        </is>
      </c>
      <c r="I71" s="23" t="inlineStr">
        <is>
          <t>Moyenne</t>
        </is>
      </c>
      <c r="J71" s="23" t="inlineStr">
        <is>
          <t>Téléphone + Ordinateur</t>
        </is>
      </c>
      <c r="K71" s="21" t="inlineStr">
        <is>
          <t>À tester</t>
        </is>
      </c>
      <c r="L71" s="21" t="n"/>
      <c r="M71" s="21" t="n"/>
      <c r="N71" s="21" t="n"/>
      <c r="O71" s="22" t="n"/>
      <c r="P71" s="21" t="n"/>
    </row>
    <row r="72" ht="45" customHeight="1">
      <c r="A72" s="20" t="inlineStr">
        <is>
          <t>LEO-071</t>
        </is>
      </c>
      <c r="B72" s="20" t="inlineStr">
        <is>
          <t>Monde 3D</t>
        </is>
      </c>
      <c r="C72" s="20" t="inlineStr">
        <is>
          <t>Immeuble et réception</t>
        </is>
      </c>
      <c r="D72" s="20" t="inlineStr">
        <is>
          <t>Se déplacer jusqu'à la réception</t>
        </is>
      </c>
      <c r="E72" s="20" t="inlineStr">
        <is>
          <t>Monde ouvert</t>
        </is>
      </c>
      <c r="F72" s="20" t="inlineStr">
        <is>
          <t>1. Marcher jusqu'à l'immeuble
2. Parler à la réceptionniste</t>
        </is>
      </c>
      <c r="G72" s="20" t="inlineStr">
        <is>
          <t>—</t>
        </is>
      </c>
      <c r="H72" s="20" t="inlineStr">
        <is>
          <t>La réceptionniste répond ; l'ascenseur mène aux étages.</t>
        </is>
      </c>
      <c r="I72" s="20" t="inlineStr">
        <is>
          <t>Moyenne</t>
        </is>
      </c>
      <c r="J72" s="20" t="inlineStr">
        <is>
          <t>Téléphone + Ordinateur</t>
        </is>
      </c>
      <c r="K72" s="21" t="inlineStr">
        <is>
          <t>À tester</t>
        </is>
      </c>
      <c r="L72" s="21" t="n"/>
      <c r="M72" s="21" t="n"/>
      <c r="N72" s="21" t="n"/>
      <c r="O72" s="22" t="n"/>
      <c r="P72" s="21" t="n"/>
    </row>
    <row r="73" ht="45" customHeight="1">
      <c r="A73" s="23" t="inlineStr">
        <is>
          <t>LEO-072</t>
        </is>
      </c>
      <c r="B73" s="23" t="inlineStr">
        <is>
          <t>Monde 3D</t>
        </is>
      </c>
      <c r="C73" s="23" t="inlineStr">
        <is>
          <t>Salle de réunion / atelier 3D</t>
        </is>
      </c>
      <c r="D73" s="23" t="inlineStr">
        <is>
          <t>Voir les agents travailler</t>
        </is>
      </c>
      <c r="E73" s="23" t="inlineStr">
        <is>
          <t>Monde ouvert</t>
        </is>
      </c>
      <c r="F73" s="23" t="inlineStr">
        <is>
          <t>1. Aller en salle de réunion puis à l'atelier</t>
        </is>
      </c>
      <c r="G73" s="23" t="inlineStr">
        <is>
          <t>—</t>
        </is>
      </c>
      <c r="H73" s="23" t="inlineStr">
        <is>
          <t>Les agents sont à leur poste et bougent.</t>
        </is>
      </c>
      <c r="I73" s="23" t="inlineStr">
        <is>
          <t>Basse</t>
        </is>
      </c>
      <c r="J73" s="23" t="inlineStr">
        <is>
          <t>Téléphone + Ordinateur</t>
        </is>
      </c>
      <c r="K73" s="21" t="inlineStr">
        <is>
          <t>À tester</t>
        </is>
      </c>
      <c r="L73" s="21" t="n"/>
      <c r="M73" s="21" t="n"/>
      <c r="N73" s="21" t="n"/>
      <c r="O73" s="22" t="n"/>
      <c r="P73" s="21" t="n"/>
    </row>
    <row r="74" ht="45" customHeight="1">
      <c r="A74" s="20" t="inlineStr">
        <is>
          <t>LEO-073</t>
        </is>
      </c>
      <c r="B74" s="20" t="inlineStr">
        <is>
          <t>Monde 3D</t>
        </is>
      </c>
      <c r="C74" s="20" t="inlineStr">
        <is>
          <t>Ciel réel</t>
        </is>
      </c>
      <c r="D74" s="20" t="inlineStr">
        <is>
          <t>Vérifier l'heure et la météo</t>
        </is>
      </c>
      <c r="E74" s="20" t="inlineStr">
        <is>
          <t>Monde ouvert</t>
        </is>
      </c>
      <c r="F74" s="20" t="inlineStr">
        <is>
          <t>1. Comparer le ciel à l'heure locale</t>
        </is>
      </c>
      <c r="G74" s="20" t="inlineStr">
        <is>
          <t>—</t>
        </is>
      </c>
      <c r="H74" s="20" t="inlineStr">
        <is>
          <t>Jour/nuit et météo correspondent au pays de l'utilisateur.</t>
        </is>
      </c>
      <c r="I74" s="20" t="inlineStr">
        <is>
          <t>Basse</t>
        </is>
      </c>
      <c r="J74" s="20" t="inlineStr">
        <is>
          <t>Téléphone + Ordinateur</t>
        </is>
      </c>
      <c r="K74" s="21" t="inlineStr">
        <is>
          <t>À tester</t>
        </is>
      </c>
      <c r="L74" s="21" t="n"/>
      <c r="M74" s="21" t="n"/>
      <c r="N74" s="21" t="n"/>
      <c r="O74" s="22" t="n"/>
      <c r="P74" s="21" t="n"/>
    </row>
    <row r="75" ht="45" customHeight="1">
      <c r="A75" s="23" t="inlineStr">
        <is>
          <t>LEO-074</t>
        </is>
      </c>
      <c r="B75" s="23" t="inlineStr">
        <is>
          <t>Offre et contact</t>
        </is>
      </c>
      <c r="C75" s="23" t="inlineStr">
        <is>
          <t>Premium et crédit offert</t>
        </is>
      </c>
      <c r="D75" s="23" t="inlineStr">
        <is>
          <t>Voir l'offre Premium et le crédit de 2 €</t>
        </is>
      </c>
      <c r="E75" s="23" t="inlineStr">
        <is>
          <t>Compte neuf</t>
        </is>
      </c>
      <c r="F75" s="23" t="inlineStr">
        <is>
          <t>1. Ouvrir « Premium »
2. Vérifier le crédit</t>
        </is>
      </c>
      <c r="G75" s="23" t="inlineStr">
        <is>
          <t>—</t>
        </is>
      </c>
      <c r="H75" s="23" t="inlineStr">
        <is>
          <t>Le crédit offert s'affiche ; le prix est dans la monnaie de l'utilisateur.</t>
        </is>
      </c>
      <c r="I75" s="23" t="inlineStr">
        <is>
          <t>Moyenne</t>
        </is>
      </c>
      <c r="J75" s="23" t="inlineStr">
        <is>
          <t>Téléphone + Ordinateur</t>
        </is>
      </c>
      <c r="K75" s="21" t="inlineStr">
        <is>
          <t>À tester</t>
        </is>
      </c>
      <c r="L75" s="21" t="n"/>
      <c r="M75" s="21" t="n"/>
      <c r="N75" s="21" t="n"/>
      <c r="O75" s="22" t="n"/>
      <c r="P75" s="21" t="n"/>
    </row>
    <row r="76" ht="45" customHeight="1">
      <c r="A76" s="20" t="inlineStr">
        <is>
          <t>LEO-075</t>
        </is>
      </c>
      <c r="B76" s="20" t="inlineStr">
        <is>
          <t>Offre et contact</t>
        </is>
      </c>
      <c r="C76" s="20" t="inlineStr">
        <is>
          <t>Nous contacter</t>
        </is>
      </c>
      <c r="D76" s="20" t="inlineStr">
        <is>
          <t>Envoyer un message à l'équipe</t>
        </is>
      </c>
      <c r="E76" s="20" t="inlineStr">
        <is>
          <t>Être connecté</t>
        </is>
      </c>
      <c r="F76" s="20" t="inlineStr">
        <is>
          <t>1. « Nous contacter »
2. Envoyer un message</t>
        </is>
      </c>
      <c r="G76" s="20" t="inlineStr">
        <is>
          <t>« Test du formulaire »</t>
        </is>
      </c>
      <c r="H76" s="20" t="inlineStr">
        <is>
          <t>Confirmation d'envoi ; l'équipe reçoit l'e-mail.</t>
        </is>
      </c>
      <c r="I76" s="20" t="inlineStr">
        <is>
          <t>Moyenne</t>
        </is>
      </c>
      <c r="J76" s="20" t="inlineStr">
        <is>
          <t>Téléphone + Ordinateur</t>
        </is>
      </c>
      <c r="K76" s="21" t="inlineStr">
        <is>
          <t>À tester</t>
        </is>
      </c>
      <c r="L76" s="21" t="n"/>
      <c r="M76" s="21" t="n"/>
      <c r="N76" s="21" t="n"/>
      <c r="O76" s="22" t="n"/>
      <c r="P76" s="21" t="n"/>
    </row>
    <row r="77" ht="45" customHeight="1">
      <c r="A77" s="23" t="inlineStr">
        <is>
          <t>LEO-076</t>
        </is>
      </c>
      <c r="B77" s="23" t="inlineStr">
        <is>
          <t>Offre et contact</t>
        </is>
      </c>
      <c r="C77" s="23" t="inlineStr">
        <is>
          <t>Hors ligne</t>
        </is>
      </c>
      <c r="D77" s="23" t="inlineStr">
        <is>
          <t>Utiliser Léo sans réseau</t>
        </is>
      </c>
      <c r="E77" s="23" t="inlineStr">
        <is>
          <t>Mode avion</t>
        </is>
      </c>
      <c r="F77" s="23" t="inlineStr">
        <is>
          <t>1. Couper le réseau
2. Naviguer</t>
        </is>
      </c>
      <c r="G77" s="23" t="inlineStr">
        <is>
          <t>—</t>
        </is>
      </c>
      <c r="H77" s="23" t="inlineStr">
        <is>
          <t>Un message clair signale l'absence de réseau ; rien ne plante.</t>
        </is>
      </c>
      <c r="I77" s="23" t="inlineStr">
        <is>
          <t>Basse</t>
        </is>
      </c>
      <c r="J77" s="23" t="inlineStr">
        <is>
          <t>Téléphone</t>
        </is>
      </c>
      <c r="K77" s="21" t="inlineStr">
        <is>
          <t>À tester</t>
        </is>
      </c>
      <c r="L77" s="21" t="n"/>
      <c r="M77" s="21" t="n"/>
      <c r="N77" s="21" t="n"/>
      <c r="O77" s="22" t="n"/>
      <c r="P77" s="21" t="n"/>
    </row>
  </sheetData>
  <autoFilter ref="A1:P77"/>
  <conditionalFormatting sqref="K2:K277">
    <cfRule type="cellIs" priority="1" operator="equal" dxfId="1">
      <formula>"OK"</formula>
    </cfRule>
    <cfRule type="cellIs" priority="2" operator="equal" dxfId="2">
      <formula>"KO"</formula>
    </cfRule>
    <cfRule type="cellIs" priority="3" operator="equal" dxfId="3">
      <formula>"Bloqué"</formula>
    </cfRule>
    <cfRule type="cellIs" priority="4" operator="equal" dxfId="4">
      <formula>"Non applicable"</formula>
    </cfRule>
  </conditionalFormatting>
  <dataValidations count="3">
    <dataValidation sqref="K2:K277" showDropDown="0" showInputMessage="0" showErrorMessage="0" allowBlank="1" type="list">
      <formula1>=Listes!$A$2:$A$6</formula1>
    </dataValidation>
    <dataValidation sqref="I2:I277" showDropDown="0" showInputMessage="0" showErrorMessage="0" allowBlank="1" type="list">
      <formula1>=Listes!$B$2:$B$4</formula1>
    </dataValidation>
    <dataValidation sqref="J2:J277" showDropDown="0" showInputMessage="0" showErrorMessage="0" allowBlank="1" type="list">
      <formula1>=Listes!$C$2:$C$4</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P36"/>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24" customWidth="1" min="3" max="3"/>
    <col width="30" customWidth="1" min="4" max="4"/>
    <col width="24" customWidth="1" min="5" max="5"/>
    <col width="42" customWidth="1" min="6" max="6"/>
    <col width="20" customWidth="1" min="7" max="7"/>
    <col width="42" customWidth="1" min="8" max="8"/>
    <col width="10" customWidth="1" min="9" max="9"/>
    <col width="14" customWidth="1" min="10" max="10"/>
    <col width="13" customWidth="1" min="11" max="11"/>
    <col width="34" customWidth="1" min="12" max="12"/>
    <col width="34" customWidth="1" min="13" max="13"/>
    <col width="14" customWidth="1" min="14" max="14"/>
    <col width="13" customWidth="1" min="15" max="15"/>
    <col width="12" customWidth="1" min="16" max="16"/>
  </cols>
  <sheetData>
    <row r="1" ht="32" customHeight="1">
      <c r="A1" s="18" t="inlineStr">
        <is>
          <t>ID</t>
        </is>
      </c>
      <c r="B1" s="18" t="inlineStr">
        <is>
          <t>Module</t>
        </is>
      </c>
      <c r="C1" s="18" t="inlineStr">
        <is>
          <t>Fonctionnalité</t>
        </is>
      </c>
      <c r="D1" s="18" t="inlineStr">
        <is>
          <t>Objectif du test</t>
        </is>
      </c>
      <c r="E1" s="18" t="inlineStr">
        <is>
          <t>Préconditions</t>
        </is>
      </c>
      <c r="F1" s="18" t="inlineStr">
        <is>
          <t>Étapes</t>
        </is>
      </c>
      <c r="G1" s="18" t="inlineStr">
        <is>
          <t>Données de test</t>
        </is>
      </c>
      <c r="H1" s="18" t="inlineStr">
        <is>
          <t>Résultat attendu</t>
        </is>
      </c>
      <c r="I1" s="18" t="inlineStr">
        <is>
          <t>Priorité</t>
        </is>
      </c>
      <c r="J1" s="18" t="inlineStr">
        <is>
          <t>Appareil</t>
        </is>
      </c>
      <c r="K1" s="19" t="inlineStr">
        <is>
          <t>Statut</t>
        </is>
      </c>
      <c r="L1" s="19" t="inlineStr">
        <is>
          <t>Résultat obtenu</t>
        </is>
      </c>
      <c r="M1" s="19" t="inlineStr">
        <is>
          <t>Remarques</t>
        </is>
      </c>
      <c r="N1" s="19" t="inlineStr">
        <is>
          <t>Testeur</t>
        </is>
      </c>
      <c r="O1" s="19" t="inlineStr">
        <is>
          <t>Date du test</t>
        </is>
      </c>
      <c r="P1" s="19" t="inlineStr">
        <is>
          <t>N° anomalie</t>
        </is>
      </c>
    </row>
    <row r="2" ht="45" customHeight="1">
      <c r="A2" s="20" t="inlineStr">
        <is>
          <t>MKT-001</t>
        </is>
      </c>
      <c r="B2" s="20" t="inlineStr">
        <is>
          <t>Accueil et recherche</t>
        </is>
      </c>
      <c r="C2" s="20" t="inlineStr">
        <is>
          <t>Accueil</t>
        </is>
      </c>
      <c r="D2" s="20" t="inlineStr">
        <is>
          <t>Découvrir les articles</t>
        </is>
      </c>
      <c r="E2" s="20" t="inlineStr">
        <is>
          <t>—</t>
        </is>
      </c>
      <c r="F2" s="20" t="inlineStr">
        <is>
          <t>1. Ouvrir finjaro.net (ou staging)</t>
        </is>
      </c>
      <c r="G2" s="20" t="inlineStr">
        <is>
          <t>—</t>
        </is>
      </c>
      <c r="H2" s="20" t="inlineStr">
        <is>
          <t>Accueil rapide, articles avec photo, prix et boutique.</t>
        </is>
      </c>
      <c r="I2" s="20" t="inlineStr">
        <is>
          <t>Haute</t>
        </is>
      </c>
      <c r="J2" s="20" t="inlineStr">
        <is>
          <t>Téléphone + Ordinateur</t>
        </is>
      </c>
      <c r="K2" s="21" t="inlineStr">
        <is>
          <t>À tester</t>
        </is>
      </c>
      <c r="L2" s="21" t="n"/>
      <c r="M2" s="21" t="n"/>
      <c r="N2" s="21" t="n"/>
      <c r="O2" s="22" t="n"/>
      <c r="P2" s="21" t="n"/>
    </row>
    <row r="3" ht="45" customHeight="1">
      <c r="A3" s="23" t="inlineStr">
        <is>
          <t>MKT-002</t>
        </is>
      </c>
      <c r="B3" s="23" t="inlineStr">
        <is>
          <t>Accueil et recherche</t>
        </is>
      </c>
      <c r="C3" s="23" t="inlineStr">
        <is>
          <t>Recherche</t>
        </is>
      </c>
      <c r="D3" s="23" t="inlineStr">
        <is>
          <t>Trouver un article</t>
        </is>
      </c>
      <c r="E3" s="23" t="inlineStr">
        <is>
          <t>—</t>
        </is>
      </c>
      <c r="F3" s="23" t="inlineStr">
        <is>
          <t>1. Chercher un mot</t>
        </is>
      </c>
      <c r="G3" s="23" t="inlineStr">
        <is>
          <t>« robe »</t>
        </is>
      </c>
      <c r="H3" s="23" t="inlineStr">
        <is>
          <t>Résultats pertinents ; « aucun résultat » si rien.</t>
        </is>
      </c>
      <c r="I3" s="23" t="inlineStr">
        <is>
          <t>Haute</t>
        </is>
      </c>
      <c r="J3" s="23" t="inlineStr">
        <is>
          <t>Téléphone + Ordinateur</t>
        </is>
      </c>
      <c r="K3" s="21" t="inlineStr">
        <is>
          <t>À tester</t>
        </is>
      </c>
      <c r="L3" s="21" t="n"/>
      <c r="M3" s="21" t="n"/>
      <c r="N3" s="21" t="n"/>
      <c r="O3" s="22" t="n"/>
      <c r="P3" s="21" t="n"/>
    </row>
    <row r="4" ht="45" customHeight="1">
      <c r="A4" s="20" t="inlineStr">
        <is>
          <t>MKT-003</t>
        </is>
      </c>
      <c r="B4" s="20" t="inlineStr">
        <is>
          <t>Accueil et recherche</t>
        </is>
      </c>
      <c r="C4" s="20" t="inlineStr">
        <is>
          <t>Catégories</t>
        </is>
      </c>
      <c r="D4" s="20" t="inlineStr">
        <is>
          <t>Parcourir une catégorie</t>
        </is>
      </c>
      <c r="E4" s="20" t="inlineStr">
        <is>
          <t>—</t>
        </is>
      </c>
      <c r="F4" s="20" t="inlineStr">
        <is>
          <t>1. Ouvrir une catégorie</t>
        </is>
      </c>
      <c r="G4" s="20" t="inlineStr">
        <is>
          <t>—</t>
        </is>
      </c>
      <c r="H4" s="20" t="inlineStr">
        <is>
          <t>Seuls les articles de la catégorie s'affichent.</t>
        </is>
      </c>
      <c r="I4" s="20" t="inlineStr">
        <is>
          <t>Moyenne</t>
        </is>
      </c>
      <c r="J4" s="20" t="inlineStr">
        <is>
          <t>Téléphone + Ordinateur</t>
        </is>
      </c>
      <c r="K4" s="21" t="inlineStr">
        <is>
          <t>À tester</t>
        </is>
      </c>
      <c r="L4" s="21" t="n"/>
      <c r="M4" s="21" t="n"/>
      <c r="N4" s="21" t="n"/>
      <c r="O4" s="22" t="n"/>
      <c r="P4" s="21" t="n"/>
    </row>
    <row r="5" ht="60" customHeight="1">
      <c r="A5" s="23" t="inlineStr">
        <is>
          <t>MKT-004</t>
        </is>
      </c>
      <c r="B5" s="23" t="inlineStr">
        <is>
          <t>Accueil et recherche</t>
        </is>
      </c>
      <c r="C5" s="23" t="inlineStr">
        <is>
          <t>Prix dans la monnaie du visiteur</t>
        </is>
      </c>
      <c r="D5" s="23" t="inlineStr">
        <is>
          <t>Voir les prix dans sa monnaie</t>
        </is>
      </c>
      <c r="E5" s="23" t="inlineStr">
        <is>
          <t>Tester depuis 2 pays (ou réglage du pays)</t>
        </is>
      </c>
      <c r="F5" s="23" t="inlineStr">
        <is>
          <t>1. Régler le pays sur Royaume-Uni
2. Puis Canada
3. Puis Cameroun</t>
        </is>
      </c>
      <c r="G5" s="23" t="inlineStr">
        <is>
          <t>—</t>
        </is>
      </c>
      <c r="H5" s="23" t="inlineStr">
        <is>
          <t>£ au Royaume-Uni, $ CA au Canada, FCFA au Cameroun ; jamais FCFA par défaut pour un pays inconnu.</t>
        </is>
      </c>
      <c r="I5" s="23" t="inlineStr">
        <is>
          <t>Haute</t>
        </is>
      </c>
      <c r="J5" s="23" t="inlineStr">
        <is>
          <t>Téléphone + Ordinateur</t>
        </is>
      </c>
      <c r="K5" s="21" t="inlineStr">
        <is>
          <t>À tester</t>
        </is>
      </c>
      <c r="L5" s="21" t="n"/>
      <c r="M5" s="21" t="n"/>
      <c r="N5" s="21" t="n"/>
      <c r="O5" s="22" t="n"/>
      <c r="P5" s="21" t="n"/>
    </row>
    <row r="6" ht="45" customHeight="1">
      <c r="A6" s="20" t="inlineStr">
        <is>
          <t>MKT-005</t>
        </is>
      </c>
      <c r="B6" s="20" t="inlineStr">
        <is>
          <t>Accueil et recherche</t>
        </is>
      </c>
      <c r="C6" s="20" t="inlineStr">
        <is>
          <t>Langue FR / EN</t>
        </is>
      </c>
      <c r="D6" s="20" t="inlineStr">
        <is>
          <t>Changer la langue</t>
        </is>
      </c>
      <c r="E6" s="20" t="inlineStr">
        <is>
          <t>—</t>
        </is>
      </c>
      <c r="F6" s="20" t="inlineStr">
        <is>
          <t>1. Basculer la langue</t>
        </is>
      </c>
      <c r="G6" s="20" t="inlineStr">
        <is>
          <t>—</t>
        </is>
      </c>
      <c r="H6" s="20" t="inlineStr">
        <is>
          <t>Tous les textes changent ; aucun texte ne réduit Finjaro à un seul pays.</t>
        </is>
      </c>
      <c r="I6" s="20" t="inlineStr">
        <is>
          <t>Moyenne</t>
        </is>
      </c>
      <c r="J6" s="20" t="inlineStr">
        <is>
          <t>Téléphone + Ordinateur</t>
        </is>
      </c>
      <c r="K6" s="21" t="inlineStr">
        <is>
          <t>À tester</t>
        </is>
      </c>
      <c r="L6" s="21" t="n"/>
      <c r="M6" s="21" t="n"/>
      <c r="N6" s="21" t="n"/>
      <c r="O6" s="22" t="n"/>
      <c r="P6" s="21" t="n"/>
    </row>
    <row r="7" ht="45" customHeight="1">
      <c r="A7" s="23" t="inlineStr">
        <is>
          <t>MKT-006</t>
        </is>
      </c>
      <c r="B7" s="23" t="inlineStr">
        <is>
          <t>Fiche article</t>
        </is>
      </c>
      <c r="C7" s="23" t="inlineStr">
        <is>
          <t>Fiche article</t>
        </is>
      </c>
      <c r="D7" s="23" t="inlineStr">
        <is>
          <t>Voir un article en détail</t>
        </is>
      </c>
      <c r="E7" s="23" t="inlineStr">
        <is>
          <t>—</t>
        </is>
      </c>
      <c r="F7" s="23" t="inlineStr">
        <is>
          <t>1. Ouvrir un article</t>
        </is>
      </c>
      <c r="G7" s="23" t="inlineStr">
        <is>
          <t>—</t>
        </is>
      </c>
      <c r="H7" s="23" t="inlineStr">
        <is>
          <t>Photos, prix, description, boutique, bouton panier.</t>
        </is>
      </c>
      <c r="I7" s="23" t="inlineStr">
        <is>
          <t>Haute</t>
        </is>
      </c>
      <c r="J7" s="23" t="inlineStr">
        <is>
          <t>Téléphone + Ordinateur</t>
        </is>
      </c>
      <c r="K7" s="21" t="inlineStr">
        <is>
          <t>À tester</t>
        </is>
      </c>
      <c r="L7" s="21" t="n"/>
      <c r="M7" s="21" t="n"/>
      <c r="N7" s="21" t="n"/>
      <c r="O7" s="22" t="n"/>
      <c r="P7" s="21" t="n"/>
    </row>
    <row r="8" ht="45" customHeight="1">
      <c r="A8" s="20" t="inlineStr">
        <is>
          <t>MKT-007</t>
        </is>
      </c>
      <c r="B8" s="20" t="inlineStr">
        <is>
          <t>Fiche article</t>
        </is>
      </c>
      <c r="C8" s="20" t="inlineStr">
        <is>
          <t>Prix sur demande</t>
        </is>
      </c>
      <c r="D8" s="20" t="inlineStr">
        <is>
          <t>Commander un article sans prix affiché</t>
        </is>
      </c>
      <c r="E8" s="20" t="inlineStr">
        <is>
          <t>Un article « prix sur demande »</t>
        </is>
      </c>
      <c r="F8" s="20" t="inlineStr">
        <is>
          <t>1. L'ajouter au panier</t>
        </is>
      </c>
      <c r="G8" s="20" t="inlineStr">
        <is>
          <t>—</t>
        </is>
      </c>
      <c r="H8" s="20" t="inlineStr">
        <is>
          <t>L'ajout est possible et le prix est demandé à la vendeuse.</t>
        </is>
      </c>
      <c r="I8" s="20" t="inlineStr">
        <is>
          <t>Haute</t>
        </is>
      </c>
      <c r="J8" s="20" t="inlineStr">
        <is>
          <t>Téléphone + Ordinateur</t>
        </is>
      </c>
      <c r="K8" s="21" t="inlineStr">
        <is>
          <t>À tester</t>
        </is>
      </c>
      <c r="L8" s="21" t="n"/>
      <c r="M8" s="21" t="n"/>
      <c r="N8" s="21" t="n"/>
      <c r="O8" s="22" t="n"/>
      <c r="P8" s="21" t="n"/>
    </row>
    <row r="9" ht="60" customHeight="1">
      <c r="A9" s="23" t="inlineStr">
        <is>
          <t>MKT-008</t>
        </is>
      </c>
      <c r="B9" s="23" t="inlineStr">
        <is>
          <t>Fiche article</t>
        </is>
      </c>
      <c r="C9" s="23" t="inlineStr">
        <is>
          <t>Contacter la vendeuse</t>
        </is>
      </c>
      <c r="D9" s="23" t="inlineStr">
        <is>
          <t>Écrire ou appeler depuis la fiche</t>
        </is>
      </c>
      <c r="E9" s="23" t="inlineStr">
        <is>
          <t>—</t>
        </is>
      </c>
      <c r="F9" s="23" t="inlineStr">
        <is>
          <t>1. WhatsApp
2. Appel
3. Message dans l'appli</t>
        </is>
      </c>
      <c r="G9" s="23" t="inlineStr">
        <is>
          <t>—</t>
        </is>
      </c>
      <c r="H9" s="23" t="inlineStr">
        <is>
          <t>Chaque bouton ouvre le bon canal.</t>
        </is>
      </c>
      <c r="I9" s="23" t="inlineStr">
        <is>
          <t>Haute</t>
        </is>
      </c>
      <c r="J9" s="23" t="inlineStr">
        <is>
          <t>Téléphone</t>
        </is>
      </c>
      <c r="K9" s="21" t="inlineStr">
        <is>
          <t>À tester</t>
        </is>
      </c>
      <c r="L9" s="21" t="n"/>
      <c r="M9" s="21" t="n"/>
      <c r="N9" s="21" t="n"/>
      <c r="O9" s="22" t="n"/>
      <c r="P9" s="21" t="n"/>
    </row>
    <row r="10" ht="45" customHeight="1">
      <c r="A10" s="20" t="inlineStr">
        <is>
          <t>MKT-009</t>
        </is>
      </c>
      <c r="B10" s="20" t="inlineStr">
        <is>
          <t>Fiche article</t>
        </is>
      </c>
      <c r="C10" s="20" t="inlineStr">
        <is>
          <t>Fiche traduite</t>
        </is>
      </c>
      <c r="D10" s="20" t="inlineStr">
        <is>
          <t>Lire une fiche dans l'autre langue</t>
        </is>
      </c>
      <c r="E10" s="20" t="inlineStr">
        <is>
          <t>Article saisi en français</t>
        </is>
      </c>
      <c r="F10" s="20" t="inlineStr">
        <is>
          <t>1. Passer en anglais</t>
        </is>
      </c>
      <c r="G10" s="20" t="inlineStr">
        <is>
          <t>—</t>
        </is>
      </c>
      <c r="H10" s="20" t="inlineStr">
        <is>
          <t>La description est traduite.</t>
        </is>
      </c>
      <c r="I10" s="20" t="inlineStr">
        <is>
          <t>Basse</t>
        </is>
      </c>
      <c r="J10" s="20" t="inlineStr">
        <is>
          <t>Téléphone + Ordinateur</t>
        </is>
      </c>
      <c r="K10" s="21" t="inlineStr">
        <is>
          <t>À tester</t>
        </is>
      </c>
      <c r="L10" s="21" t="n"/>
      <c r="M10" s="21" t="n"/>
      <c r="N10" s="21" t="n"/>
      <c r="O10" s="22" t="n"/>
      <c r="P10" s="21" t="n"/>
    </row>
    <row r="11" ht="45" customHeight="1">
      <c r="A11" s="23" t="inlineStr">
        <is>
          <t>MKT-010</t>
        </is>
      </c>
      <c r="B11" s="23" t="inlineStr">
        <is>
          <t>Panier et commande</t>
        </is>
      </c>
      <c r="C11" s="23" t="inlineStr">
        <is>
          <t>Panier sans compte</t>
        </is>
      </c>
      <c r="D11" s="23" t="inlineStr">
        <is>
          <t>Remplir un panier sans être connecté</t>
        </is>
      </c>
      <c r="E11" s="23" t="inlineStr">
        <is>
          <t>Déconnecté</t>
        </is>
      </c>
      <c r="F11" s="23" t="inlineStr">
        <is>
          <t>1. Ajouter 2 articles
2. Ouvrir le panier</t>
        </is>
      </c>
      <c r="G11" s="23" t="inlineStr">
        <is>
          <t>—</t>
        </is>
      </c>
      <c r="H11" s="23" t="inlineStr">
        <is>
          <t>Le panier garde les articles ; la connexion n'est demandée qu'à la commande.</t>
        </is>
      </c>
      <c r="I11" s="23" t="inlineStr">
        <is>
          <t>Haute</t>
        </is>
      </c>
      <c r="J11" s="23" t="inlineStr">
        <is>
          <t>Téléphone + Ordinateur</t>
        </is>
      </c>
      <c r="K11" s="21" t="inlineStr">
        <is>
          <t>À tester</t>
        </is>
      </c>
      <c r="L11" s="21" t="n"/>
      <c r="M11" s="21" t="n"/>
      <c r="N11" s="21" t="n"/>
      <c r="O11" s="22" t="n"/>
      <c r="P11" s="21" t="n"/>
    </row>
    <row r="12" ht="60" customHeight="1">
      <c r="A12" s="20" t="inlineStr">
        <is>
          <t>MKT-011</t>
        </is>
      </c>
      <c r="B12" s="20" t="inlineStr">
        <is>
          <t>Panier et commande</t>
        </is>
      </c>
      <c r="C12" s="20" t="inlineStr">
        <is>
          <t>Passer commande</t>
        </is>
      </c>
      <c r="D12" s="20" t="inlineStr">
        <is>
          <t>Commander avec paiement à la livraison</t>
        </is>
      </c>
      <c r="E12" s="20" t="inlineStr">
        <is>
          <t>Compte de test acheteur</t>
        </is>
      </c>
      <c r="F12" s="20" t="inlineStr">
        <is>
          <t>1. Valider le panier
2. Adresse + téléphone
3. Confirmer</t>
        </is>
      </c>
      <c r="G12" s="20" t="inlineStr">
        <is>
          <t>Adresse de test</t>
        </is>
      </c>
      <c r="H12" s="20" t="inlineStr">
        <is>
          <t>Commande créée (statut new) ; la vendeuse est prévenue.</t>
        </is>
      </c>
      <c r="I12" s="20" t="inlineStr">
        <is>
          <t>Haute</t>
        </is>
      </c>
      <c r="J12" s="20" t="inlineStr">
        <is>
          <t>Téléphone + Ordinateur</t>
        </is>
      </c>
      <c r="K12" s="21" t="inlineStr">
        <is>
          <t>À tester</t>
        </is>
      </c>
      <c r="L12" s="21" t="n"/>
      <c r="M12" s="21" t="n"/>
      <c r="N12" s="21" t="n"/>
      <c r="O12" s="22" t="n"/>
      <c r="P12" s="21" t="n"/>
    </row>
    <row r="13" ht="45" customHeight="1">
      <c r="A13" s="23" t="inlineStr">
        <is>
          <t>MKT-012</t>
        </is>
      </c>
      <c r="B13" s="23" t="inlineStr">
        <is>
          <t>Panier et commande</t>
        </is>
      </c>
      <c r="C13" s="23" t="inlineStr">
        <is>
          <t>Suivi de commande</t>
        </is>
      </c>
      <c r="D13" s="23" t="inlineStr">
        <is>
          <t>Suivre sa commande</t>
        </is>
      </c>
      <c r="E13" s="23" t="inlineStr">
        <is>
          <t>Une commande passée</t>
        </is>
      </c>
      <c r="F13" s="23" t="inlineStr">
        <is>
          <t>1. Ouvrir « Mes commandes »</t>
        </is>
      </c>
      <c r="G13" s="23" t="inlineStr">
        <is>
          <t>—</t>
        </is>
      </c>
      <c r="H13" s="23" t="inlineStr">
        <is>
          <t>Statut à jour ; historique lisible.</t>
        </is>
      </c>
      <c r="I13" s="23" t="inlineStr">
        <is>
          <t>Haute</t>
        </is>
      </c>
      <c r="J13" s="23" t="inlineStr">
        <is>
          <t>Téléphone + Ordinateur</t>
        </is>
      </c>
      <c r="K13" s="21" t="inlineStr">
        <is>
          <t>À tester</t>
        </is>
      </c>
      <c r="L13" s="21" t="n"/>
      <c r="M13" s="21" t="n"/>
      <c r="N13" s="21" t="n"/>
      <c r="O13" s="22" t="n"/>
      <c r="P13" s="21" t="n"/>
    </row>
    <row r="14" ht="45" customHeight="1">
      <c r="A14" s="20" t="inlineStr">
        <is>
          <t>MKT-013</t>
        </is>
      </c>
      <c r="B14" s="20" t="inlineStr">
        <is>
          <t>Panier et commande</t>
        </is>
      </c>
      <c r="C14" s="20" t="inlineStr">
        <is>
          <t>Relance vendeuse / escalade</t>
        </is>
      </c>
      <c r="D14" s="20" t="inlineStr">
        <is>
          <t>Vérifier les relances automatiques</t>
        </is>
      </c>
      <c r="E14" s="20" t="inlineStr">
        <is>
          <t>Commande non confirmée (données de test)</t>
        </is>
      </c>
      <c r="F14" s="20" t="inlineStr">
        <is>
          <t>1. Laisser la commande en new
2. Vérifier la relance puis l'escalade à 72 h</t>
        </is>
      </c>
      <c r="G14" s="20" t="inlineStr">
        <is>
          <t>—</t>
        </is>
      </c>
      <c r="H14" s="20" t="inlineStr">
        <is>
          <t>La vendeuse est relancée ; à 72 h l'acheteuse est orientée vers d'autres boutiques.</t>
        </is>
      </c>
      <c r="I14" s="20" t="inlineStr">
        <is>
          <t>Moyenne</t>
        </is>
      </c>
      <c r="J14" s="20" t="inlineStr">
        <is>
          <t>Ordinateur</t>
        </is>
      </c>
      <c r="K14" s="21" t="inlineStr">
        <is>
          <t>À tester</t>
        </is>
      </c>
      <c r="L14" s="21" t="n"/>
      <c r="M14" s="21" t="n"/>
      <c r="N14" s="21" t="n"/>
      <c r="O14" s="22" t="n"/>
      <c r="P14" s="21" t="n"/>
    </row>
    <row r="15" ht="45" customHeight="1">
      <c r="A15" s="23" t="inlineStr">
        <is>
          <t>MKT-014</t>
        </is>
      </c>
      <c r="B15" s="23" t="inlineStr">
        <is>
          <t>Panier et commande</t>
        </is>
      </c>
      <c r="C15" s="23" t="inlineStr">
        <is>
          <t>Achat groupé</t>
        </is>
      </c>
      <c r="D15" s="23" t="inlineStr">
        <is>
          <t>Acheter à plusieurs</t>
        </is>
      </c>
      <c r="E15" s="23" t="inlineStr">
        <is>
          <t>Article éligible</t>
        </is>
      </c>
      <c r="F15" s="23" t="inlineStr">
        <is>
          <t>1. Lancer un achat groupé
2. Inviter un 2e compte</t>
        </is>
      </c>
      <c r="G15" s="23" t="inlineStr">
        <is>
          <t>—</t>
        </is>
      </c>
      <c r="H15" s="23" t="inlineStr">
        <is>
          <t>Le groupe se forme ; le prix groupé s'applique.</t>
        </is>
      </c>
      <c r="I15" s="23" t="inlineStr">
        <is>
          <t>Basse</t>
        </is>
      </c>
      <c r="J15" s="23" t="inlineStr">
        <is>
          <t>Téléphone + Ordinateur</t>
        </is>
      </c>
      <c r="K15" s="21" t="inlineStr">
        <is>
          <t>À tester</t>
        </is>
      </c>
      <c r="L15" s="21" t="n"/>
      <c r="M15" s="21" t="n"/>
      <c r="N15" s="21" t="n"/>
      <c r="O15" s="22" t="n"/>
      <c r="P15" s="21" t="n"/>
    </row>
    <row r="16" ht="45" customHeight="1">
      <c r="A16" s="20" t="inlineStr">
        <is>
          <t>MKT-015</t>
        </is>
      </c>
      <c r="B16" s="20" t="inlineStr">
        <is>
          <t>Panier et commande</t>
        </is>
      </c>
      <c r="C16" s="20" t="inlineStr">
        <is>
          <t>Preuve de livraison</t>
        </is>
      </c>
      <c r="D16" s="20" t="inlineStr">
        <is>
          <t>Confirmer la réception</t>
        </is>
      </c>
      <c r="E16" s="20" t="inlineStr">
        <is>
          <t>Commande livrée (test)</t>
        </is>
      </c>
      <c r="F16" s="20" t="inlineStr">
        <is>
          <t>1. Confirmer la livraison avec preuve</t>
        </is>
      </c>
      <c r="G16" s="20" t="inlineStr">
        <is>
          <t>—</t>
        </is>
      </c>
      <c r="H16" s="20" t="inlineStr">
        <is>
          <t>La preuve est enregistrée ; statut livré.</t>
        </is>
      </c>
      <c r="I16" s="20" t="inlineStr">
        <is>
          <t>Moyenne</t>
        </is>
      </c>
      <c r="J16" s="20" t="inlineStr">
        <is>
          <t>Téléphone</t>
        </is>
      </c>
      <c r="K16" s="21" t="inlineStr">
        <is>
          <t>À tester</t>
        </is>
      </c>
      <c r="L16" s="21" t="n"/>
      <c r="M16" s="21" t="n"/>
      <c r="N16" s="21" t="n"/>
      <c r="O16" s="22" t="n"/>
      <c r="P16" s="21" t="n"/>
    </row>
    <row r="17" ht="45" customHeight="1">
      <c r="A17" s="23" t="inlineStr">
        <is>
          <t>MKT-016</t>
        </is>
      </c>
      <c r="B17" s="23" t="inlineStr">
        <is>
          <t>Compte</t>
        </is>
      </c>
      <c r="C17" s="23" t="inlineStr">
        <is>
          <t>Inscription</t>
        </is>
      </c>
      <c r="D17" s="23" t="inlineStr">
        <is>
          <t>Créer un compte</t>
        </is>
      </c>
      <c r="E17" s="23" t="inlineStr">
        <is>
          <t>E-mail de test</t>
        </is>
      </c>
      <c r="F17" s="23" t="inlineStr">
        <is>
          <t>1. S'inscrire
2. Ouvrir le lien de confirmation</t>
        </is>
      </c>
      <c r="G17" s="23" t="inlineStr">
        <is>
          <t>—</t>
        </is>
      </c>
      <c r="H17" s="23" t="inlineStr">
        <is>
          <t>Le lien mène sur finjaro.net et valide le compte.</t>
        </is>
      </c>
      <c r="I17" s="23" t="inlineStr">
        <is>
          <t>Haute</t>
        </is>
      </c>
      <c r="J17" s="23" t="inlineStr">
        <is>
          <t>Téléphone + Ordinateur</t>
        </is>
      </c>
      <c r="K17" s="21" t="inlineStr">
        <is>
          <t>À tester</t>
        </is>
      </c>
      <c r="L17" s="21" t="n"/>
      <c r="M17" s="21" t="n"/>
      <c r="N17" s="21" t="n"/>
      <c r="O17" s="22" t="n"/>
      <c r="P17" s="21" t="n"/>
    </row>
    <row r="18" ht="45" customHeight="1">
      <c r="A18" s="20" t="inlineStr">
        <is>
          <t>MKT-017</t>
        </is>
      </c>
      <c r="B18" s="20" t="inlineStr">
        <is>
          <t>Compte</t>
        </is>
      </c>
      <c r="C18" s="20" t="inlineStr">
        <is>
          <t>Connexion / mot de passe oublié</t>
        </is>
      </c>
      <c r="D18" s="20" t="inlineStr">
        <is>
          <t>Se connecter et réinitialiser</t>
        </is>
      </c>
      <c r="E18" s="20" t="inlineStr">
        <is>
          <t>Compte de test</t>
        </is>
      </c>
      <c r="F18" s="20" t="inlineStr">
        <is>
          <t>1. Se connecter
2. Tester « mot de passe oublié »</t>
        </is>
      </c>
      <c r="G18" s="20" t="inlineStr">
        <is>
          <t>—</t>
        </is>
      </c>
      <c r="H18" s="20" t="inlineStr">
        <is>
          <t>Connexion OK ; l'e-mail de réinitialisation arrive.</t>
        </is>
      </c>
      <c r="I18" s="20" t="inlineStr">
        <is>
          <t>Haute</t>
        </is>
      </c>
      <c r="J18" s="20" t="inlineStr">
        <is>
          <t>Téléphone + Ordinateur</t>
        </is>
      </c>
      <c r="K18" s="21" t="inlineStr">
        <is>
          <t>À tester</t>
        </is>
      </c>
      <c r="L18" s="21" t="n"/>
      <c r="M18" s="21" t="n"/>
      <c r="N18" s="21" t="n"/>
      <c r="O18" s="22" t="n"/>
      <c r="P18" s="21" t="n"/>
    </row>
    <row r="19" ht="45" customHeight="1">
      <c r="A19" s="23" t="inlineStr">
        <is>
          <t>MKT-018</t>
        </is>
      </c>
      <c r="B19" s="23" t="inlineStr">
        <is>
          <t>Compte</t>
        </is>
      </c>
      <c r="C19" s="23" t="inlineStr">
        <is>
          <t>Suivre une boutique</t>
        </is>
      </c>
      <c r="D19" s="23" t="inlineStr">
        <is>
          <t>S'abonner à une boutique</t>
        </is>
      </c>
      <c r="E19" s="23" t="inlineStr">
        <is>
          <t>Connecté</t>
        </is>
      </c>
      <c r="F19" s="23" t="inlineStr">
        <is>
          <t>1. « Suivre » sur une boutique</t>
        </is>
      </c>
      <c r="G19" s="23" t="inlineStr">
        <is>
          <t>—</t>
        </is>
      </c>
      <c r="H19" s="23" t="inlineStr">
        <is>
          <t>La boutique apparaît dans les suivies.</t>
        </is>
      </c>
      <c r="I19" s="23" t="inlineStr">
        <is>
          <t>Basse</t>
        </is>
      </c>
      <c r="J19" s="23" t="inlineStr">
        <is>
          <t>Téléphone + Ordinateur</t>
        </is>
      </c>
      <c r="K19" s="21" t="inlineStr">
        <is>
          <t>À tester</t>
        </is>
      </c>
      <c r="L19" s="21" t="n"/>
      <c r="M19" s="21" t="n"/>
      <c r="N19" s="21" t="n"/>
      <c r="O19" s="22" t="n"/>
      <c r="P19" s="21" t="n"/>
    </row>
    <row r="20" ht="45" customHeight="1">
      <c r="A20" s="20" t="inlineStr">
        <is>
          <t>MKT-019</t>
        </is>
      </c>
      <c r="B20" s="20" t="inlineStr">
        <is>
          <t>Compte</t>
        </is>
      </c>
      <c r="C20" s="20" t="inlineStr">
        <is>
          <t>Partager</t>
        </is>
      </c>
      <c r="D20" s="20" t="inlineStr">
        <is>
          <t>Partager une boutique ou une vidéo</t>
        </is>
      </c>
      <c r="E20" s="20" t="inlineStr">
        <is>
          <t>—</t>
        </is>
      </c>
      <c r="F20" s="20" t="inlineStr">
        <is>
          <t>1. « Partager »</t>
        </is>
      </c>
      <c r="G20" s="20" t="inlineStr">
        <is>
          <t>—</t>
        </is>
      </c>
      <c r="H20" s="20" t="inlineStr">
        <is>
          <t>Le lien s'ouvre sur la bonne page.</t>
        </is>
      </c>
      <c r="I20" s="20" t="inlineStr">
        <is>
          <t>Basse</t>
        </is>
      </c>
      <c r="J20" s="20" t="inlineStr">
        <is>
          <t>Téléphone</t>
        </is>
      </c>
      <c r="K20" s="21" t="inlineStr">
        <is>
          <t>À tester</t>
        </is>
      </c>
      <c r="L20" s="21" t="n"/>
      <c r="M20" s="21" t="n"/>
      <c r="N20" s="21" t="n"/>
      <c r="O20" s="22" t="n"/>
      <c r="P20" s="21" t="n"/>
    </row>
    <row r="21" ht="60" customHeight="1">
      <c r="A21" s="23" t="inlineStr">
        <is>
          <t>MKT-020</t>
        </is>
      </c>
      <c r="B21" s="23" t="inlineStr">
        <is>
          <t>Espace vendeuse</t>
        </is>
      </c>
      <c r="C21" s="23" t="inlineStr">
        <is>
          <t>Créer sa boutique</t>
        </is>
      </c>
      <c r="D21" s="23" t="inlineStr">
        <is>
          <t>Ouvrir une boutique</t>
        </is>
      </c>
      <c r="E21" s="23" t="inlineStr">
        <is>
          <t>Compte de test vendeuse</t>
        </is>
      </c>
      <c r="F21" s="23" t="inlineStr">
        <is>
          <t>1. « Ouvrir ma boutique »
2. Nom, pays, photo
3. Valider</t>
        </is>
      </c>
      <c r="G21" s="23" t="inlineStr">
        <is>
          <t>Boutique Test</t>
        </is>
      </c>
      <c r="H21" s="23" t="inlineStr">
        <is>
          <t>La boutique est créée ; la devise suit le pays de la boutique.</t>
        </is>
      </c>
      <c r="I21" s="23" t="inlineStr">
        <is>
          <t>Haute</t>
        </is>
      </c>
      <c r="J21" s="23" t="inlineStr">
        <is>
          <t>Téléphone + Ordinateur</t>
        </is>
      </c>
      <c r="K21" s="21" t="inlineStr">
        <is>
          <t>À tester</t>
        </is>
      </c>
      <c r="L21" s="21" t="n"/>
      <c r="M21" s="21" t="n"/>
      <c r="N21" s="21" t="n"/>
      <c r="O21" s="22" t="n"/>
      <c r="P21" s="21" t="n"/>
    </row>
    <row r="22" ht="60" customHeight="1">
      <c r="A22" s="20" t="inlineStr">
        <is>
          <t>MKT-021</t>
        </is>
      </c>
      <c r="B22" s="20" t="inlineStr">
        <is>
          <t>Espace vendeuse</t>
        </is>
      </c>
      <c r="C22" s="20" t="inlineStr">
        <is>
          <t>Ajouter un article</t>
        </is>
      </c>
      <c r="D22" s="20" t="inlineStr">
        <is>
          <t>Publier un article</t>
        </is>
      </c>
      <c r="E22" s="20" t="inlineStr">
        <is>
          <t>Boutique créée</t>
        </is>
      </c>
      <c r="F22" s="20" t="inlineStr">
        <is>
          <t>1. « Ajouter »
2. Photo, titre, prix
3. Publier</t>
        </is>
      </c>
      <c r="G22" s="20" t="inlineStr">
        <is>
          <t>Prix dans la devise de la boutique</t>
        </is>
      </c>
      <c r="H22" s="20" t="inlineStr">
        <is>
          <t>L'article est en ligne ; le prix saisi est gardé à l'identique.</t>
        </is>
      </c>
      <c r="I22" s="20" t="inlineStr">
        <is>
          <t>Haute</t>
        </is>
      </c>
      <c r="J22" s="20" t="inlineStr">
        <is>
          <t>Téléphone + Ordinateur</t>
        </is>
      </c>
      <c r="K22" s="21" t="inlineStr">
        <is>
          <t>À tester</t>
        </is>
      </c>
      <c r="L22" s="21" t="n"/>
      <c r="M22" s="21" t="n"/>
      <c r="N22" s="21" t="n"/>
      <c r="O22" s="22" t="n"/>
      <c r="P22" s="21" t="n"/>
    </row>
    <row r="23" ht="45" customHeight="1">
      <c r="A23" s="23" t="inlineStr">
        <is>
          <t>MKT-022</t>
        </is>
      </c>
      <c r="B23" s="23" t="inlineStr">
        <is>
          <t>Espace vendeuse</t>
        </is>
      </c>
      <c r="C23" s="23" t="inlineStr">
        <is>
          <t>Photo → fiche</t>
        </is>
      </c>
      <c r="D23" s="23" t="inlineStr">
        <is>
          <t>Remplir la fiche à partir d'une photo</t>
        </is>
      </c>
      <c r="E23" s="23" t="inlineStr">
        <is>
          <t>Boutique créée</t>
        </is>
      </c>
      <c r="F23" s="23" t="inlineStr">
        <is>
          <t>1. Prendre une photo
2. Laisser remplir la fiche</t>
        </is>
      </c>
      <c r="G23" s="23" t="inlineStr">
        <is>
          <t>—</t>
        </is>
      </c>
      <c r="H23" s="23" t="inlineStr">
        <is>
          <t>Titre et description proposés ; modifiables avant publication.</t>
        </is>
      </c>
      <c r="I23" s="23" t="inlineStr">
        <is>
          <t>Moyenne</t>
        </is>
      </c>
      <c r="J23" s="23" t="inlineStr">
        <is>
          <t>Téléphone</t>
        </is>
      </c>
      <c r="K23" s="21" t="inlineStr">
        <is>
          <t>À tester</t>
        </is>
      </c>
      <c r="L23" s="21" t="n"/>
      <c r="M23" s="21" t="n"/>
      <c r="N23" s="21" t="n"/>
      <c r="O23" s="22" t="n"/>
      <c r="P23" s="21" t="n"/>
    </row>
    <row r="24" ht="45" customHeight="1">
      <c r="A24" s="20" t="inlineStr">
        <is>
          <t>MKT-023</t>
        </is>
      </c>
      <c r="B24" s="20" t="inlineStr">
        <is>
          <t>Espace vendeuse</t>
        </is>
      </c>
      <c r="C24" s="20" t="inlineStr">
        <is>
          <t>Prix conseillé</t>
        </is>
      </c>
      <c r="D24" s="20" t="inlineStr">
        <is>
          <t>Recevoir une suggestion de prix</t>
        </is>
      </c>
      <c r="E24" s="20" t="inlineStr">
        <is>
          <t>Article en cours de saisie</t>
        </is>
      </c>
      <c r="F24" s="20" t="inlineStr">
        <is>
          <t>1. Demander un prix conseillé</t>
        </is>
      </c>
      <c r="G24" s="20" t="inlineStr">
        <is>
          <t>—</t>
        </is>
      </c>
      <c r="H24" s="20" t="inlineStr">
        <is>
          <t>Une fourchette est proposée, sans chiffre inventé.</t>
        </is>
      </c>
      <c r="I24" s="20" t="inlineStr">
        <is>
          <t>Basse</t>
        </is>
      </c>
      <c r="J24" s="20" t="inlineStr">
        <is>
          <t>Téléphone + Ordinateur</t>
        </is>
      </c>
      <c r="K24" s="21" t="inlineStr">
        <is>
          <t>À tester</t>
        </is>
      </c>
      <c r="L24" s="21" t="n"/>
      <c r="M24" s="21" t="n"/>
      <c r="N24" s="21" t="n"/>
      <c r="O24" s="22" t="n"/>
      <c r="P24" s="21" t="n"/>
    </row>
    <row r="25" ht="45" customHeight="1">
      <c r="A25" s="23" t="inlineStr">
        <is>
          <t>MKT-024</t>
        </is>
      </c>
      <c r="B25" s="23" t="inlineStr">
        <is>
          <t>Espace vendeuse</t>
        </is>
      </c>
      <c r="C25" s="23" t="inlineStr">
        <is>
          <t>Carte « Articles sans prix »</t>
        </is>
      </c>
      <c r="D25" s="23" t="inlineStr">
        <is>
          <t>Repérer ses articles sans prix</t>
        </is>
      </c>
      <c r="E25" s="23" t="inlineStr">
        <is>
          <t>Au moins un article sans prix</t>
        </is>
      </c>
      <c r="F25" s="23" t="inlineStr">
        <is>
          <t>1. Ouvrir l'espace vendeuse</t>
        </is>
      </c>
      <c r="G25" s="23" t="inlineStr">
        <is>
          <t>—</t>
        </is>
      </c>
      <c r="H25" s="23" t="inlineStr">
        <is>
          <t>La carte liste les articles sans prix.</t>
        </is>
      </c>
      <c r="I25" s="23" t="inlineStr">
        <is>
          <t>Moyenne</t>
        </is>
      </c>
      <c r="J25" s="23" t="inlineStr">
        <is>
          <t>Téléphone + Ordinateur</t>
        </is>
      </c>
      <c r="K25" s="21" t="inlineStr">
        <is>
          <t>À tester</t>
        </is>
      </c>
      <c r="L25" s="21" t="n"/>
      <c r="M25" s="21" t="n"/>
      <c r="N25" s="21" t="n"/>
      <c r="O25" s="22" t="n"/>
      <c r="P25" s="21" t="n"/>
    </row>
    <row r="26" ht="45" customHeight="1">
      <c r="A26" s="20" t="inlineStr">
        <is>
          <t>MKT-025</t>
        </is>
      </c>
      <c r="B26" s="20" t="inlineStr">
        <is>
          <t>Espace vendeuse</t>
        </is>
      </c>
      <c r="C26" s="20" t="inlineStr">
        <is>
          <t>Confirmer une commande</t>
        </is>
      </c>
      <c r="D26" s="20" t="inlineStr">
        <is>
          <t>Accepter une commande reçue</t>
        </is>
      </c>
      <c r="E26" s="20" t="inlineStr">
        <is>
          <t>Une commande new</t>
        </is>
      </c>
      <c r="F26" s="20" t="inlineStr">
        <is>
          <t>1. Ouvrir la commande
2. Confirmer</t>
        </is>
      </c>
      <c r="G26" s="20" t="inlineStr">
        <is>
          <t>—</t>
        </is>
      </c>
      <c r="H26" s="20" t="inlineStr">
        <is>
          <t>Statut confirmé ; l'acheteuse est prévenue.</t>
        </is>
      </c>
      <c r="I26" s="20" t="inlineStr">
        <is>
          <t>Haute</t>
        </is>
      </c>
      <c r="J26" s="20" t="inlineStr">
        <is>
          <t>Téléphone + Ordinateur</t>
        </is>
      </c>
      <c r="K26" s="21" t="inlineStr">
        <is>
          <t>À tester</t>
        </is>
      </c>
      <c r="L26" s="21" t="n"/>
      <c r="M26" s="21" t="n"/>
      <c r="N26" s="21" t="n"/>
      <c r="O26" s="22" t="n"/>
      <c r="P26" s="21" t="n"/>
    </row>
    <row r="27" ht="45" customHeight="1">
      <c r="A27" s="23" t="inlineStr">
        <is>
          <t>MKT-026</t>
        </is>
      </c>
      <c r="B27" s="23" t="inlineStr">
        <is>
          <t>Espace vendeuse</t>
        </is>
      </c>
      <c r="C27" s="23" t="inlineStr">
        <is>
          <t>Prix côté vendeuse</t>
        </is>
      </c>
      <c r="D27" s="23" t="inlineStr">
        <is>
          <t>Vérifier la devise des écrans vendeuse</t>
        </is>
      </c>
      <c r="E27" s="23" t="inlineStr">
        <is>
          <t>Boutique dans un pays donné</t>
        </is>
      </c>
      <c r="F27" s="23" t="inlineStr">
        <is>
          <t>1. Comparer les prix affichés</t>
        </is>
      </c>
      <c r="G27" s="23" t="inlineStr">
        <is>
          <t>—</t>
        </is>
      </c>
      <c r="H27" s="23" t="inlineStr">
        <is>
          <t>Tous les écrans vendeuse sont dans la devise de SA boutique, pas celle du téléphone.</t>
        </is>
      </c>
      <c r="I27" s="23" t="inlineStr">
        <is>
          <t>Haute</t>
        </is>
      </c>
      <c r="J27" s="23" t="inlineStr">
        <is>
          <t>Téléphone + Ordinateur</t>
        </is>
      </c>
      <c r="K27" s="21" t="inlineStr">
        <is>
          <t>À tester</t>
        </is>
      </c>
      <c r="L27" s="21" t="n"/>
      <c r="M27" s="21" t="n"/>
      <c r="N27" s="21" t="n"/>
      <c r="O27" s="22" t="n"/>
      <c r="P27" s="21" t="n"/>
    </row>
    <row r="28" ht="45" customHeight="1">
      <c r="A28" s="20" t="inlineStr">
        <is>
          <t>MKT-027</t>
        </is>
      </c>
      <c r="B28" s="20" t="inlineStr">
        <is>
          <t>Espace vendeuse</t>
        </is>
      </c>
      <c r="C28" s="20" t="inlineStr">
        <is>
          <t>Mon argent</t>
        </is>
      </c>
      <c r="D28" s="20" t="inlineStr">
        <is>
          <t>Voir ses ventes et encaissements</t>
        </is>
      </c>
      <c r="E28" s="20" t="inlineStr">
        <is>
          <t>Des ventes de test</t>
        </is>
      </c>
      <c r="F28" s="20" t="inlineStr">
        <is>
          <t>1. Ouvrir « Mon argent »</t>
        </is>
      </c>
      <c r="G28" s="20" t="inlineStr">
        <is>
          <t>—</t>
        </is>
      </c>
      <c r="H28" s="20" t="inlineStr">
        <is>
          <t>Chiffres exacts ; comptes de test exclus.</t>
        </is>
      </c>
      <c r="I28" s="20" t="inlineStr">
        <is>
          <t>Haute</t>
        </is>
      </c>
      <c r="J28" s="20" t="inlineStr">
        <is>
          <t>Téléphone + Ordinateur</t>
        </is>
      </c>
      <c r="K28" s="21" t="inlineStr">
        <is>
          <t>À tester</t>
        </is>
      </c>
      <c r="L28" s="21" t="n"/>
      <c r="M28" s="21" t="n"/>
      <c r="N28" s="21" t="n"/>
      <c r="O28" s="22" t="n"/>
      <c r="P28" s="21" t="n"/>
    </row>
    <row r="29" ht="45" customHeight="1">
      <c r="A29" s="23" t="inlineStr">
        <is>
          <t>MKT-028</t>
        </is>
      </c>
      <c r="B29" s="23" t="inlineStr">
        <is>
          <t>Espace vendeuse</t>
        </is>
      </c>
      <c r="C29" s="23" t="inlineStr">
        <is>
          <t>Carnet de crédit</t>
        </is>
      </c>
      <c r="D29" s="23" t="inlineStr">
        <is>
          <t>Noter une vente à crédit</t>
        </is>
      </c>
      <c r="E29" s="23" t="inlineStr">
        <is>
          <t>Boutique créée</t>
        </is>
      </c>
      <c r="F29" s="23" t="inlineStr">
        <is>
          <t>1. Ajouter une dette client
2. La marquer payée</t>
        </is>
      </c>
      <c r="G29" s="23" t="inlineStr">
        <is>
          <t>—</t>
        </is>
      </c>
      <c r="H29" s="23" t="inlineStr">
        <is>
          <t>Le solde se met à jour.</t>
        </is>
      </c>
      <c r="I29" s="23" t="inlineStr">
        <is>
          <t>Moyenne</t>
        </is>
      </c>
      <c r="J29" s="23" t="inlineStr">
        <is>
          <t>Téléphone + Ordinateur</t>
        </is>
      </c>
      <c r="K29" s="21" t="inlineStr">
        <is>
          <t>À tester</t>
        </is>
      </c>
      <c r="L29" s="21" t="n"/>
      <c r="M29" s="21" t="n"/>
      <c r="N29" s="21" t="n"/>
      <c r="O29" s="22" t="n"/>
      <c r="P29" s="21" t="n"/>
    </row>
    <row r="30" ht="45" customHeight="1">
      <c r="A30" s="20" t="inlineStr">
        <is>
          <t>MKT-029</t>
        </is>
      </c>
      <c r="B30" s="20" t="inlineStr">
        <is>
          <t>Espace vendeuse</t>
        </is>
      </c>
      <c r="C30" s="20" t="inlineStr">
        <is>
          <t>Vente en direct</t>
        </is>
      </c>
      <c r="D30" s="20" t="inlineStr">
        <is>
          <t>Lancer une vente en direct</t>
        </is>
      </c>
      <c r="E30" s="20" t="inlineStr">
        <is>
          <t>Boutique créée</t>
        </is>
      </c>
      <c r="F30" s="20" t="inlineStr">
        <is>
          <t>1. Démarrer un direct</t>
        </is>
      </c>
      <c r="G30" s="20" t="inlineStr">
        <is>
          <t>—</t>
        </is>
      </c>
      <c r="H30" s="20" t="inlineStr">
        <is>
          <t>Le direct démarre ; les acheteuses peuvent commander.</t>
        </is>
      </c>
      <c r="I30" s="20" t="inlineStr">
        <is>
          <t>Basse</t>
        </is>
      </c>
      <c r="J30" s="20" t="inlineStr">
        <is>
          <t>Téléphone</t>
        </is>
      </c>
      <c r="K30" s="21" t="inlineStr">
        <is>
          <t>À tester</t>
        </is>
      </c>
      <c r="L30" s="21" t="n"/>
      <c r="M30" s="21" t="n"/>
      <c r="N30" s="21" t="n"/>
      <c r="O30" s="22" t="n"/>
      <c r="P30" s="21" t="n"/>
    </row>
    <row r="31" ht="45" customHeight="1">
      <c r="A31" s="23" t="inlineStr">
        <is>
          <t>MKT-030</t>
        </is>
      </c>
      <c r="B31" s="23" t="inlineStr">
        <is>
          <t>Messagerie</t>
        </is>
      </c>
      <c r="C31" s="23" t="inlineStr">
        <is>
          <t>Messagerie acheteuse ↔ vendeuse</t>
        </is>
      </c>
      <c r="D31" s="23" t="inlineStr">
        <is>
          <t>Échanger dans l'appli</t>
        </is>
      </c>
      <c r="E31" s="23" t="inlineStr">
        <is>
          <t>Deux comptes de test</t>
        </is>
      </c>
      <c r="F31" s="23" t="inlineStr">
        <is>
          <t>1. Écrire à une boutique
2. Répondre côté vendeuse</t>
        </is>
      </c>
      <c r="G31" s="23" t="inlineStr">
        <is>
          <t>—</t>
        </is>
      </c>
      <c r="H31" s="23" t="inlineStr">
        <is>
          <t>Messages reçus des deux côtés, dans l'ordre, avec notification.</t>
        </is>
      </c>
      <c r="I31" s="23" t="inlineStr">
        <is>
          <t>Haute</t>
        </is>
      </c>
      <c r="J31" s="23" t="inlineStr">
        <is>
          <t>Téléphone + Ordinateur</t>
        </is>
      </c>
      <c r="K31" s="21" t="inlineStr">
        <is>
          <t>À tester</t>
        </is>
      </c>
      <c r="L31" s="21" t="n"/>
      <c r="M31" s="21" t="n"/>
      <c r="N31" s="21" t="n"/>
      <c r="O31" s="22" t="n"/>
      <c r="P31" s="21" t="n"/>
    </row>
    <row r="32" ht="45" customHeight="1">
      <c r="A32" s="20" t="inlineStr">
        <is>
          <t>MKT-031</t>
        </is>
      </c>
      <c r="B32" s="20" t="inlineStr">
        <is>
          <t>Messagerie</t>
        </is>
      </c>
      <c r="C32" s="20" t="inlineStr">
        <is>
          <t>Assistante Finia</t>
        </is>
      </c>
      <c r="D32" s="20" t="inlineStr">
        <is>
          <t>Poser une question à l'assistante</t>
        </is>
      </c>
      <c r="E32" s="20" t="inlineStr">
        <is>
          <t>—</t>
        </is>
      </c>
      <c r="F32" s="20" t="inlineStr">
        <is>
          <t>1. Ouvrir Finia
2. Poser une question</t>
        </is>
      </c>
      <c r="G32" s="20" t="inlineStr">
        <is>
          <t>« Comment je commande ? »</t>
        </is>
      </c>
      <c r="H32" s="20" t="inlineStr">
        <is>
          <t>Réponse juste, en français, sans promesse impossible.</t>
        </is>
      </c>
      <c r="I32" s="20" t="inlineStr">
        <is>
          <t>Moyenne</t>
        </is>
      </c>
      <c r="J32" s="20" t="inlineStr">
        <is>
          <t>Téléphone + Ordinateur</t>
        </is>
      </c>
      <c r="K32" s="21" t="inlineStr">
        <is>
          <t>À tester</t>
        </is>
      </c>
      <c r="L32" s="21" t="n"/>
      <c r="M32" s="21" t="n"/>
      <c r="N32" s="21" t="n"/>
      <c r="O32" s="22" t="n"/>
      <c r="P32" s="21" t="n"/>
    </row>
    <row r="33" ht="45" customHeight="1">
      <c r="A33" s="23" t="inlineStr">
        <is>
          <t>MKT-032</t>
        </is>
      </c>
      <c r="B33" s="23" t="inlineStr">
        <is>
          <t>Services</t>
        </is>
      </c>
      <c r="C33" s="23" t="inlineStr">
        <is>
          <t>Page Services</t>
        </is>
      </c>
      <c r="D33" s="23" t="inlineStr">
        <is>
          <t>Trouver un artisan ou un prestataire</t>
        </is>
      </c>
      <c r="E33" s="23" t="inlineStr">
        <is>
          <t>—</t>
        </is>
      </c>
      <c r="F33" s="23" t="inlineStr">
        <is>
          <t>1. Ouvrir /services
2. Filtrer par métier</t>
        </is>
      </c>
      <c r="G33" s="23" t="inlineStr">
        <is>
          <t>—</t>
        </is>
      </c>
      <c r="H33" s="23" t="inlineStr">
        <is>
          <t>Les fiches s'affichent ; contact possible.</t>
        </is>
      </c>
      <c r="I33" s="23" t="inlineStr">
        <is>
          <t>Moyenne</t>
        </is>
      </c>
      <c r="J33" s="23" t="inlineStr">
        <is>
          <t>Téléphone + Ordinateur</t>
        </is>
      </c>
      <c r="K33" s="21" t="inlineStr">
        <is>
          <t>À tester</t>
        </is>
      </c>
      <c r="L33" s="21" t="n"/>
      <c r="M33" s="21" t="n"/>
      <c r="N33" s="21" t="n"/>
      <c r="O33" s="22" t="n"/>
      <c r="P33" s="21" t="n"/>
    </row>
    <row r="34" ht="45" customHeight="1">
      <c r="A34" s="20" t="inlineStr">
        <is>
          <t>MKT-033</t>
        </is>
      </c>
      <c r="B34" s="20" t="inlineStr">
        <is>
          <t>Services</t>
        </is>
      </c>
      <c r="C34" s="20" t="inlineStr">
        <is>
          <t>Prendre rendez-vous</t>
        </is>
      </c>
      <c r="D34" s="20" t="inlineStr">
        <is>
          <t>Réserver un créneau</t>
        </is>
      </c>
      <c r="E34" s="20" t="inlineStr">
        <is>
          <t>Un prestataire avec agenda</t>
        </is>
      </c>
      <c r="F34" s="20" t="inlineStr">
        <is>
          <t>1. Choisir un créneau
2. Confirmer</t>
        </is>
      </c>
      <c r="G34" s="20" t="inlineStr">
        <is>
          <t>—</t>
        </is>
      </c>
      <c r="H34" s="20" t="inlineStr">
        <is>
          <t>Le rendez-vous est enregistré des deux côtés.</t>
        </is>
      </c>
      <c r="I34" s="20" t="inlineStr">
        <is>
          <t>Moyenne</t>
        </is>
      </c>
      <c r="J34" s="20" t="inlineStr">
        <is>
          <t>Téléphone + Ordinateur</t>
        </is>
      </c>
      <c r="K34" s="21" t="inlineStr">
        <is>
          <t>À tester</t>
        </is>
      </c>
      <c r="L34" s="21" t="n"/>
      <c r="M34" s="21" t="n"/>
      <c r="N34" s="21" t="n"/>
      <c r="O34" s="22" t="n"/>
      <c r="P34" s="21" t="n"/>
    </row>
    <row r="35" ht="45" customHeight="1">
      <c r="A35" s="23" t="inlineStr">
        <is>
          <t>MKT-034</t>
        </is>
      </c>
      <c r="B35" s="23" t="inlineStr">
        <is>
          <t>Général</t>
        </is>
      </c>
      <c r="C35" s="23" t="inlineStr">
        <is>
          <t>Téléphone (390 px) et grand écran</t>
        </is>
      </c>
      <c r="D35" s="23" t="inlineStr">
        <is>
          <t>Vérifier l'affichage sur les deux formats</t>
        </is>
      </c>
      <c r="E35" s="23" t="inlineStr">
        <is>
          <t>—</t>
        </is>
      </c>
      <c r="F35" s="23" t="inlineStr">
        <is>
          <t>1. Parcourir accueil, fiche, panier, espace vendeuse sur téléphone
2. Puis sur grand écran</t>
        </is>
      </c>
      <c r="G35" s="23" t="inlineStr">
        <is>
          <t>—</t>
        </is>
      </c>
      <c r="H35" s="23" t="inlineStr">
        <is>
          <t>Rien de coupé (visages, boutons, textes) ; pas de défilement horizontal.</t>
        </is>
      </c>
      <c r="I35" s="23" t="inlineStr">
        <is>
          <t>Haute</t>
        </is>
      </c>
      <c r="J35" s="23" t="inlineStr">
        <is>
          <t>Téléphone + Ordinateur</t>
        </is>
      </c>
      <c r="K35" s="21" t="inlineStr">
        <is>
          <t>À tester</t>
        </is>
      </c>
      <c r="L35" s="21" t="n"/>
      <c r="M35" s="21" t="n"/>
      <c r="N35" s="21" t="n"/>
      <c r="O35" s="22" t="n"/>
      <c r="P35" s="21" t="n"/>
    </row>
    <row r="36" ht="45" customHeight="1">
      <c r="A36" s="20" t="inlineStr">
        <is>
          <t>MKT-035</t>
        </is>
      </c>
      <c r="B36" s="20" t="inlineStr">
        <is>
          <t>Général</t>
        </is>
      </c>
      <c r="C36" s="20" t="inlineStr">
        <is>
          <t>Applications Android / iOS</t>
        </is>
      </c>
      <c r="D36" s="20" t="inlineStr">
        <is>
          <t>Vérifier l'appli installée</t>
        </is>
      </c>
      <c r="E36" s="20" t="inlineStr">
        <is>
          <t>Appli installée</t>
        </is>
      </c>
      <c r="F36" s="20" t="inlineStr">
        <is>
          <t>1. Ouvrir l'appli
2. Refaire le parcours commande</t>
        </is>
      </c>
      <c r="G36" s="20" t="inlineStr">
        <is>
          <t>—</t>
        </is>
      </c>
      <c r="H36" s="20" t="inlineStr">
        <is>
          <t>Même comportement que sur finjaro.net.</t>
        </is>
      </c>
      <c r="I36" s="20" t="inlineStr">
        <is>
          <t>Haute</t>
        </is>
      </c>
      <c r="J36" s="20" t="inlineStr">
        <is>
          <t>Téléphone</t>
        </is>
      </c>
      <c r="K36" s="21" t="inlineStr">
        <is>
          <t>À tester</t>
        </is>
      </c>
      <c r="L36" s="21" t="n"/>
      <c r="M36" s="21" t="n"/>
      <c r="N36" s="21" t="n"/>
      <c r="O36" s="22" t="n"/>
      <c r="P36" s="21" t="n"/>
    </row>
  </sheetData>
  <autoFilter ref="A1:P36"/>
  <conditionalFormatting sqref="K2:K236">
    <cfRule type="cellIs" priority="1" operator="equal" dxfId="1">
      <formula>"OK"</formula>
    </cfRule>
    <cfRule type="cellIs" priority="2" operator="equal" dxfId="2">
      <formula>"KO"</formula>
    </cfRule>
    <cfRule type="cellIs" priority="3" operator="equal" dxfId="3">
      <formula>"Bloqué"</formula>
    </cfRule>
    <cfRule type="cellIs" priority="4" operator="equal" dxfId="4">
      <formula>"Non applicable"</formula>
    </cfRule>
  </conditionalFormatting>
  <dataValidations count="3">
    <dataValidation sqref="K2:K236" showDropDown="0" showInputMessage="0" showErrorMessage="0" allowBlank="1" type="list">
      <formula1>=Listes!$A$2:$A$6</formula1>
    </dataValidation>
    <dataValidation sqref="I2:I236" showDropDown="0" showInputMessage="0" showErrorMessage="0" allowBlank="1" type="list">
      <formula1>=Listes!$B$2:$B$4</formula1>
    </dataValidation>
    <dataValidation sqref="J2:J236" showDropDown="0" showInputMessage="0" showErrorMessage="0" allowBlank="1" type="list">
      <formula1>=Listes!$C$2:$C$4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N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6" customWidth="1" min="4" max="4"/>
    <col width="12" customWidth="1" min="5" max="5"/>
    <col width="30" customWidth="1" min="6" max="6"/>
    <col width="42" customWidth="1" min="7" max="7"/>
    <col width="32" customWidth="1" min="8" max="8"/>
    <col width="32" customWidth="1" min="9" max="9"/>
    <col width="24" customWidth="1" min="10" max="10"/>
    <col width="22" customWidth="1" min="11" max="11"/>
    <col width="18" customWidth="1" min="12" max="12"/>
    <col width="18" customWidth="1" min="13" max="13"/>
    <col width="30" customWidth="1" min="14" max="14"/>
  </cols>
  <sheetData>
    <row r="1" ht="32" customHeight="1">
      <c r="A1" s="18" t="inlineStr">
        <is>
          <t>N° anomalie</t>
        </is>
      </c>
      <c r="B1" s="18" t="inlineStr">
        <is>
          <t>Date</t>
        </is>
      </c>
      <c r="C1" s="18" t="inlineStr">
        <is>
          <t>Cas de test (ID)</t>
        </is>
      </c>
      <c r="D1" s="18" t="inlineStr">
        <is>
          <t>Application</t>
        </is>
      </c>
      <c r="E1" s="18" t="inlineStr">
        <is>
          <t>Gravité</t>
        </is>
      </c>
      <c r="F1" s="18" t="inlineStr">
        <is>
          <t>Titre court</t>
        </is>
      </c>
      <c r="G1" s="18" t="inlineStr">
        <is>
          <t>Étapes pour reproduire</t>
        </is>
      </c>
      <c r="H1" s="18" t="inlineStr">
        <is>
          <t>Résultat attendu</t>
        </is>
      </c>
      <c r="I1" s="18" t="inlineStr">
        <is>
          <t>Résultat obtenu</t>
        </is>
      </c>
      <c r="J1" s="18" t="inlineStr">
        <is>
          <t>Capture / vidéo (lien)</t>
        </is>
      </c>
      <c r="K1" s="18" t="inlineStr">
        <is>
          <t>Appareil et navigateur</t>
        </is>
      </c>
      <c r="L1" s="18" t="inlineStr">
        <is>
          <t>Statut</t>
        </is>
      </c>
      <c r="M1" s="18" t="inlineStr">
        <is>
          <t>Corrigé par / le</t>
        </is>
      </c>
      <c r="N1" s="18" t="inlineStr">
        <is>
          <t>Remarques</t>
        </is>
      </c>
    </row>
    <row r="2">
      <c r="A2" s="24">
        <f>IF(F2="","","ANO-"&amp;TEXT(ROW()-1,"000"))</f>
        <v/>
      </c>
      <c r="B2" s="25" t="n"/>
      <c r="C2" s="23" t="n"/>
      <c r="D2" s="23" t="n"/>
      <c r="E2" s="23" t="n"/>
      <c r="F2" s="23" t="n"/>
      <c r="G2" s="23" t="n"/>
      <c r="H2" s="23" t="n"/>
      <c r="I2" s="23" t="n"/>
      <c r="J2" s="23" t="n"/>
      <c r="K2" s="23" t="n"/>
      <c r="L2" s="23" t="n"/>
      <c r="M2" s="23" t="n"/>
      <c r="N2" s="23" t="n"/>
    </row>
    <row r="3">
      <c r="A3" s="24">
        <f>IF(F3="","","ANO-"&amp;TEXT(ROW()-1,"000"))</f>
        <v/>
      </c>
      <c r="B3" s="25" t="n"/>
      <c r="C3" s="23" t="n"/>
      <c r="D3" s="23" t="n"/>
      <c r="E3" s="23" t="n"/>
      <c r="F3" s="23" t="n"/>
      <c r="G3" s="23" t="n"/>
      <c r="H3" s="23" t="n"/>
      <c r="I3" s="23" t="n"/>
      <c r="J3" s="23" t="n"/>
      <c r="K3" s="23" t="n"/>
      <c r="L3" s="23" t="n"/>
      <c r="M3" s="23" t="n"/>
      <c r="N3" s="23" t="n"/>
    </row>
    <row r="4">
      <c r="A4" s="24">
        <f>IF(F4="","","ANO-"&amp;TEXT(ROW()-1,"000"))</f>
        <v/>
      </c>
      <c r="B4" s="25" t="n"/>
      <c r="C4" s="23" t="n"/>
      <c r="D4" s="23" t="n"/>
      <c r="E4" s="23" t="n"/>
      <c r="F4" s="23" t="n"/>
      <c r="G4" s="23" t="n"/>
      <c r="H4" s="23" t="n"/>
      <c r="I4" s="23" t="n"/>
      <c r="J4" s="23" t="n"/>
      <c r="K4" s="23" t="n"/>
      <c r="L4" s="23" t="n"/>
      <c r="M4" s="23" t="n"/>
      <c r="N4" s="23" t="n"/>
    </row>
    <row r="5">
      <c r="A5" s="24">
        <f>IF(F5="","","ANO-"&amp;TEXT(ROW()-1,"000"))</f>
        <v/>
      </c>
      <c r="B5" s="25" t="n"/>
      <c r="C5" s="23" t="n"/>
      <c r="D5" s="23" t="n"/>
      <c r="E5" s="23" t="n"/>
      <c r="F5" s="23" t="n"/>
      <c r="G5" s="23" t="n"/>
      <c r="H5" s="23" t="n"/>
      <c r="I5" s="23" t="n"/>
      <c r="J5" s="23" t="n"/>
      <c r="K5" s="23" t="n"/>
      <c r="L5" s="23" t="n"/>
      <c r="M5" s="23" t="n"/>
      <c r="N5" s="23" t="n"/>
    </row>
    <row r="6">
      <c r="A6" s="24">
        <f>IF(F6="","","ANO-"&amp;TEXT(ROW()-1,"000"))</f>
        <v/>
      </c>
      <c r="B6" s="25" t="n"/>
      <c r="C6" s="23" t="n"/>
      <c r="D6" s="23" t="n"/>
      <c r="E6" s="23" t="n"/>
      <c r="F6" s="23" t="n"/>
      <c r="G6" s="23" t="n"/>
      <c r="H6" s="23" t="n"/>
      <c r="I6" s="23" t="n"/>
      <c r="J6" s="23" t="n"/>
      <c r="K6" s="23" t="n"/>
      <c r="L6" s="23" t="n"/>
      <c r="M6" s="23" t="n"/>
      <c r="N6" s="23" t="n"/>
    </row>
    <row r="7">
      <c r="A7" s="24">
        <f>IF(F7="","","ANO-"&amp;TEXT(ROW()-1,"000"))</f>
        <v/>
      </c>
      <c r="B7" s="25" t="n"/>
      <c r="C7" s="23" t="n"/>
      <c r="D7" s="23" t="n"/>
      <c r="E7" s="23" t="n"/>
      <c r="F7" s="23" t="n"/>
      <c r="G7" s="23" t="n"/>
      <c r="H7" s="23" t="n"/>
      <c r="I7" s="23" t="n"/>
      <c r="J7" s="23" t="n"/>
      <c r="K7" s="23" t="n"/>
      <c r="L7" s="23" t="n"/>
      <c r="M7" s="23" t="n"/>
      <c r="N7" s="23" t="n"/>
    </row>
    <row r="8">
      <c r="A8" s="24">
        <f>IF(F8="","","ANO-"&amp;TEXT(ROW()-1,"000"))</f>
        <v/>
      </c>
      <c r="B8" s="25" t="n"/>
      <c r="C8" s="23" t="n"/>
      <c r="D8" s="23" t="n"/>
      <c r="E8" s="23" t="n"/>
      <c r="F8" s="23" t="n"/>
      <c r="G8" s="23" t="n"/>
      <c r="H8" s="23" t="n"/>
      <c r="I8" s="23" t="n"/>
      <c r="J8" s="23" t="n"/>
      <c r="K8" s="23" t="n"/>
      <c r="L8" s="23" t="n"/>
      <c r="M8" s="23" t="n"/>
      <c r="N8" s="23" t="n"/>
    </row>
    <row r="9">
      <c r="A9" s="24">
        <f>IF(F9="","","ANO-"&amp;TEXT(ROW()-1,"000"))</f>
        <v/>
      </c>
      <c r="B9" s="25" t="n"/>
      <c r="C9" s="23" t="n"/>
      <c r="D9" s="23" t="n"/>
      <c r="E9" s="23" t="n"/>
      <c r="F9" s="23" t="n"/>
      <c r="G9" s="23" t="n"/>
      <c r="H9" s="23" t="n"/>
      <c r="I9" s="23" t="n"/>
      <c r="J9" s="23" t="n"/>
      <c r="K9" s="23" t="n"/>
      <c r="L9" s="23" t="n"/>
      <c r="M9" s="23" t="n"/>
      <c r="N9" s="23" t="n"/>
    </row>
    <row r="10">
      <c r="A10" s="24">
        <f>IF(F10="","","ANO-"&amp;TEXT(ROW()-1,"000"))</f>
        <v/>
      </c>
      <c r="B10" s="25" t="n"/>
      <c r="C10" s="23" t="n"/>
      <c r="D10" s="23" t="n"/>
      <c r="E10" s="23" t="n"/>
      <c r="F10" s="23" t="n"/>
      <c r="G10" s="23" t="n"/>
      <c r="H10" s="23" t="n"/>
      <c r="I10" s="23" t="n"/>
      <c r="J10" s="23" t="n"/>
      <c r="K10" s="23" t="n"/>
      <c r="L10" s="23" t="n"/>
      <c r="M10" s="23" t="n"/>
      <c r="N10" s="23" t="n"/>
    </row>
    <row r="11">
      <c r="A11" s="24">
        <f>IF(F11="","","ANO-"&amp;TEXT(ROW()-1,"000"))</f>
        <v/>
      </c>
      <c r="B11" s="25" t="n"/>
      <c r="C11" s="23" t="n"/>
      <c r="D11" s="23" t="n"/>
      <c r="E11" s="23" t="n"/>
      <c r="F11" s="23" t="n"/>
      <c r="G11" s="23" t="n"/>
      <c r="H11" s="23" t="n"/>
      <c r="I11" s="23" t="n"/>
      <c r="J11" s="23" t="n"/>
      <c r="K11" s="23" t="n"/>
      <c r="L11" s="23" t="n"/>
      <c r="M11" s="23" t="n"/>
      <c r="N11" s="23" t="n"/>
    </row>
    <row r="12">
      <c r="A12" s="24">
        <f>IF(F12="","","ANO-"&amp;TEXT(ROW()-1,"000"))</f>
        <v/>
      </c>
      <c r="B12" s="25" t="n"/>
      <c r="C12" s="23" t="n"/>
      <c r="D12" s="23" t="n"/>
      <c r="E12" s="23" t="n"/>
      <c r="F12" s="23" t="n"/>
      <c r="G12" s="23" t="n"/>
      <c r="H12" s="23" t="n"/>
      <c r="I12" s="23" t="n"/>
      <c r="J12" s="23" t="n"/>
      <c r="K12" s="23" t="n"/>
      <c r="L12" s="23" t="n"/>
      <c r="M12" s="23" t="n"/>
      <c r="N12" s="23" t="n"/>
    </row>
    <row r="13">
      <c r="A13" s="24">
        <f>IF(F13="","","ANO-"&amp;TEXT(ROW()-1,"000"))</f>
        <v/>
      </c>
      <c r="B13" s="25" t="n"/>
      <c r="C13" s="23" t="n"/>
      <c r="D13" s="23" t="n"/>
      <c r="E13" s="23" t="n"/>
      <c r="F13" s="23" t="n"/>
      <c r="G13" s="23" t="n"/>
      <c r="H13" s="23" t="n"/>
      <c r="I13" s="23" t="n"/>
      <c r="J13" s="23" t="n"/>
      <c r="K13" s="23" t="n"/>
      <c r="L13" s="23" t="n"/>
      <c r="M13" s="23" t="n"/>
      <c r="N13" s="23" t="n"/>
    </row>
    <row r="14">
      <c r="A14" s="24">
        <f>IF(F14="","","ANO-"&amp;TEXT(ROW()-1,"000"))</f>
        <v/>
      </c>
      <c r="B14" s="25" t="n"/>
      <c r="C14" s="23" t="n"/>
      <c r="D14" s="23" t="n"/>
      <c r="E14" s="23" t="n"/>
      <c r="F14" s="23" t="n"/>
      <c r="G14" s="23" t="n"/>
      <c r="H14" s="23" t="n"/>
      <c r="I14" s="23" t="n"/>
      <c r="J14" s="23" t="n"/>
      <c r="K14" s="23" t="n"/>
      <c r="L14" s="23" t="n"/>
      <c r="M14" s="23" t="n"/>
      <c r="N14" s="23" t="n"/>
    </row>
    <row r="15">
      <c r="A15" s="24">
        <f>IF(F15="","","ANO-"&amp;TEXT(ROW()-1,"000"))</f>
        <v/>
      </c>
      <c r="B15" s="25" t="n"/>
      <c r="C15" s="23" t="n"/>
      <c r="D15" s="23" t="n"/>
      <c r="E15" s="23" t="n"/>
      <c r="F15" s="23" t="n"/>
      <c r="G15" s="23" t="n"/>
      <c r="H15" s="23" t="n"/>
      <c r="I15" s="23" t="n"/>
      <c r="J15" s="23" t="n"/>
      <c r="K15" s="23" t="n"/>
      <c r="L15" s="23" t="n"/>
      <c r="M15" s="23" t="n"/>
      <c r="N15" s="23" t="n"/>
    </row>
    <row r="16">
      <c r="A16" s="24">
        <f>IF(F16="","","ANO-"&amp;TEXT(ROW()-1,"000"))</f>
        <v/>
      </c>
      <c r="B16" s="25" t="n"/>
      <c r="C16" s="23" t="n"/>
      <c r="D16" s="23" t="n"/>
      <c r="E16" s="23" t="n"/>
      <c r="F16" s="23" t="n"/>
      <c r="G16" s="23" t="n"/>
      <c r="H16" s="23" t="n"/>
      <c r="I16" s="23" t="n"/>
      <c r="J16" s="23" t="n"/>
      <c r="K16" s="23" t="n"/>
      <c r="L16" s="23" t="n"/>
      <c r="M16" s="23" t="n"/>
      <c r="N16" s="23" t="n"/>
    </row>
    <row r="17">
      <c r="A17" s="24">
        <f>IF(F17="","","ANO-"&amp;TEXT(ROW()-1,"000"))</f>
        <v/>
      </c>
      <c r="B17" s="25" t="n"/>
      <c r="C17" s="23" t="n"/>
      <c r="D17" s="23" t="n"/>
      <c r="E17" s="23" t="n"/>
      <c r="F17" s="23" t="n"/>
      <c r="G17" s="23" t="n"/>
      <c r="H17" s="23" t="n"/>
      <c r="I17" s="23" t="n"/>
      <c r="J17" s="23" t="n"/>
      <c r="K17" s="23" t="n"/>
      <c r="L17" s="23" t="n"/>
      <c r="M17" s="23" t="n"/>
      <c r="N17" s="23" t="n"/>
    </row>
    <row r="18">
      <c r="A18" s="24">
        <f>IF(F18="","","ANO-"&amp;TEXT(ROW()-1,"000"))</f>
        <v/>
      </c>
      <c r="B18" s="25" t="n"/>
      <c r="C18" s="23" t="n"/>
      <c r="D18" s="23" t="n"/>
      <c r="E18" s="23" t="n"/>
      <c r="F18" s="23" t="n"/>
      <c r="G18" s="23" t="n"/>
      <c r="H18" s="23" t="n"/>
      <c r="I18" s="23" t="n"/>
      <c r="J18" s="23" t="n"/>
      <c r="K18" s="23" t="n"/>
      <c r="L18" s="23" t="n"/>
      <c r="M18" s="23" t="n"/>
      <c r="N18" s="23" t="n"/>
    </row>
    <row r="19">
      <c r="A19" s="24">
        <f>IF(F19="","","ANO-"&amp;TEXT(ROW()-1,"000"))</f>
        <v/>
      </c>
      <c r="B19" s="25" t="n"/>
      <c r="C19" s="23" t="n"/>
      <c r="D19" s="23" t="n"/>
      <c r="E19" s="23" t="n"/>
      <c r="F19" s="23" t="n"/>
      <c r="G19" s="23" t="n"/>
      <c r="H19" s="23" t="n"/>
      <c r="I19" s="23" t="n"/>
      <c r="J19" s="23" t="n"/>
      <c r="K19" s="23" t="n"/>
      <c r="L19" s="23" t="n"/>
      <c r="M19" s="23" t="n"/>
      <c r="N19" s="23" t="n"/>
    </row>
    <row r="20">
      <c r="A20" s="24">
        <f>IF(F20="","","ANO-"&amp;TEXT(ROW()-1,"000"))</f>
        <v/>
      </c>
      <c r="B20" s="25" t="n"/>
      <c r="C20" s="23" t="n"/>
      <c r="D20" s="23" t="n"/>
      <c r="E20" s="23" t="n"/>
      <c r="F20" s="23" t="n"/>
      <c r="G20" s="23" t="n"/>
      <c r="H20" s="23" t="n"/>
      <c r="I20" s="23" t="n"/>
      <c r="J20" s="23" t="n"/>
      <c r="K20" s="23" t="n"/>
      <c r="L20" s="23" t="n"/>
      <c r="M20" s="23" t="n"/>
      <c r="N20" s="23" t="n"/>
    </row>
    <row r="21">
      <c r="A21" s="24">
        <f>IF(F21="","","ANO-"&amp;TEXT(ROW()-1,"000"))</f>
        <v/>
      </c>
      <c r="B21" s="25" t="n"/>
      <c r="C21" s="23" t="n"/>
      <c r="D21" s="23" t="n"/>
      <c r="E21" s="23" t="n"/>
      <c r="F21" s="23" t="n"/>
      <c r="G21" s="23" t="n"/>
      <c r="H21" s="23" t="n"/>
      <c r="I21" s="23" t="n"/>
      <c r="J21" s="23" t="n"/>
      <c r="K21" s="23" t="n"/>
      <c r="L21" s="23" t="n"/>
      <c r="M21" s="23" t="n"/>
      <c r="N21" s="23" t="n"/>
    </row>
    <row r="22">
      <c r="A22" s="24">
        <f>IF(F22="","","ANO-"&amp;TEXT(ROW()-1,"000"))</f>
        <v/>
      </c>
      <c r="B22" s="25" t="n"/>
      <c r="C22" s="23" t="n"/>
      <c r="D22" s="23" t="n"/>
      <c r="E22" s="23" t="n"/>
      <c r="F22" s="23" t="n"/>
      <c r="G22" s="23" t="n"/>
      <c r="H22" s="23" t="n"/>
      <c r="I22" s="23" t="n"/>
      <c r="J22" s="23" t="n"/>
      <c r="K22" s="23" t="n"/>
      <c r="L22" s="23" t="n"/>
      <c r="M22" s="23" t="n"/>
      <c r="N22" s="23" t="n"/>
    </row>
    <row r="23">
      <c r="A23" s="24">
        <f>IF(F23="","","ANO-"&amp;TEXT(ROW()-1,"000"))</f>
        <v/>
      </c>
      <c r="B23" s="25" t="n"/>
      <c r="C23" s="23" t="n"/>
      <c r="D23" s="23" t="n"/>
      <c r="E23" s="23" t="n"/>
      <c r="F23" s="23" t="n"/>
      <c r="G23" s="23" t="n"/>
      <c r="H23" s="23" t="n"/>
      <c r="I23" s="23" t="n"/>
      <c r="J23" s="23" t="n"/>
      <c r="K23" s="23" t="n"/>
      <c r="L23" s="23" t="n"/>
      <c r="M23" s="23" t="n"/>
      <c r="N23" s="23" t="n"/>
    </row>
    <row r="24">
      <c r="A24" s="24">
        <f>IF(F24="","","ANO-"&amp;TEXT(ROW()-1,"000"))</f>
        <v/>
      </c>
      <c r="B24" s="25" t="n"/>
      <c r="C24" s="23" t="n"/>
      <c r="D24" s="23" t="n"/>
      <c r="E24" s="23" t="n"/>
      <c r="F24" s="23" t="n"/>
      <c r="G24" s="23" t="n"/>
      <c r="H24" s="23" t="n"/>
      <c r="I24" s="23" t="n"/>
      <c r="J24" s="23" t="n"/>
      <c r="K24" s="23" t="n"/>
      <c r="L24" s="23" t="n"/>
      <c r="M24" s="23" t="n"/>
      <c r="N24" s="23" t="n"/>
    </row>
    <row r="25">
      <c r="A25" s="24">
        <f>IF(F25="","","ANO-"&amp;TEXT(ROW()-1,"000"))</f>
        <v/>
      </c>
      <c r="B25" s="25" t="n"/>
      <c r="C25" s="23" t="n"/>
      <c r="D25" s="23" t="n"/>
      <c r="E25" s="23" t="n"/>
      <c r="F25" s="23" t="n"/>
      <c r="G25" s="23" t="n"/>
      <c r="H25" s="23" t="n"/>
      <c r="I25" s="23" t="n"/>
      <c r="J25" s="23" t="n"/>
      <c r="K25" s="23" t="n"/>
      <c r="L25" s="23" t="n"/>
      <c r="M25" s="23" t="n"/>
      <c r="N25" s="23" t="n"/>
    </row>
    <row r="26">
      <c r="A26" s="24">
        <f>IF(F26="","","ANO-"&amp;TEXT(ROW()-1,"000"))</f>
        <v/>
      </c>
      <c r="B26" s="25" t="n"/>
      <c r="C26" s="23" t="n"/>
      <c r="D26" s="23" t="n"/>
      <c r="E26" s="23" t="n"/>
      <c r="F26" s="23" t="n"/>
      <c r="G26" s="23" t="n"/>
      <c r="H26" s="23" t="n"/>
      <c r="I26" s="23" t="n"/>
      <c r="J26" s="23" t="n"/>
      <c r="K26" s="23" t="n"/>
      <c r="L26" s="23" t="n"/>
      <c r="M26" s="23" t="n"/>
      <c r="N26" s="23" t="n"/>
    </row>
    <row r="27">
      <c r="A27" s="24">
        <f>IF(F27="","","ANO-"&amp;TEXT(ROW()-1,"000"))</f>
        <v/>
      </c>
      <c r="B27" s="25" t="n"/>
      <c r="C27" s="23" t="n"/>
      <c r="D27" s="23" t="n"/>
      <c r="E27" s="23" t="n"/>
      <c r="F27" s="23" t="n"/>
      <c r="G27" s="23" t="n"/>
      <c r="H27" s="23" t="n"/>
      <c r="I27" s="23" t="n"/>
      <c r="J27" s="23" t="n"/>
      <c r="K27" s="23" t="n"/>
      <c r="L27" s="23" t="n"/>
      <c r="M27" s="23" t="n"/>
      <c r="N27" s="23" t="n"/>
    </row>
    <row r="28">
      <c r="A28" s="24">
        <f>IF(F28="","","ANO-"&amp;TEXT(ROW()-1,"000"))</f>
        <v/>
      </c>
      <c r="B28" s="25" t="n"/>
      <c r="C28" s="23" t="n"/>
      <c r="D28" s="23" t="n"/>
      <c r="E28" s="23" t="n"/>
      <c r="F28" s="23" t="n"/>
      <c r="G28" s="23" t="n"/>
      <c r="H28" s="23" t="n"/>
      <c r="I28" s="23" t="n"/>
      <c r="J28" s="23" t="n"/>
      <c r="K28" s="23" t="n"/>
      <c r="L28" s="23" t="n"/>
      <c r="M28" s="23" t="n"/>
      <c r="N28" s="23" t="n"/>
    </row>
    <row r="29">
      <c r="A29" s="24">
        <f>IF(F29="","","ANO-"&amp;TEXT(ROW()-1,"000"))</f>
        <v/>
      </c>
      <c r="B29" s="25" t="n"/>
      <c r="C29" s="23" t="n"/>
      <c r="D29" s="23" t="n"/>
      <c r="E29" s="23" t="n"/>
      <c r="F29" s="23" t="n"/>
      <c r="G29" s="23" t="n"/>
      <c r="H29" s="23" t="n"/>
      <c r="I29" s="23" t="n"/>
      <c r="J29" s="23" t="n"/>
      <c r="K29" s="23" t="n"/>
      <c r="L29" s="23" t="n"/>
      <c r="M29" s="23" t="n"/>
      <c r="N29" s="23" t="n"/>
    </row>
    <row r="30">
      <c r="A30" s="24">
        <f>IF(F30="","","ANO-"&amp;TEXT(ROW()-1,"000"))</f>
        <v/>
      </c>
      <c r="B30" s="25" t="n"/>
      <c r="C30" s="23" t="n"/>
      <c r="D30" s="23" t="n"/>
      <c r="E30" s="23" t="n"/>
      <c r="F30" s="23" t="n"/>
      <c r="G30" s="23" t="n"/>
      <c r="H30" s="23" t="n"/>
      <c r="I30" s="23" t="n"/>
      <c r="J30" s="23" t="n"/>
      <c r="K30" s="23" t="n"/>
      <c r="L30" s="23" t="n"/>
      <c r="M30" s="23" t="n"/>
      <c r="N30" s="23" t="n"/>
    </row>
    <row r="31">
      <c r="A31" s="24">
        <f>IF(F31="","","ANO-"&amp;TEXT(ROW()-1,"000"))</f>
        <v/>
      </c>
      <c r="B31" s="25" t="n"/>
      <c r="C31" s="23" t="n"/>
      <c r="D31" s="23" t="n"/>
      <c r="E31" s="23" t="n"/>
      <c r="F31" s="23" t="n"/>
      <c r="G31" s="23" t="n"/>
      <c r="H31" s="23" t="n"/>
      <c r="I31" s="23" t="n"/>
      <c r="J31" s="23" t="n"/>
      <c r="K31" s="23" t="n"/>
      <c r="L31" s="23" t="n"/>
      <c r="M31" s="23" t="n"/>
      <c r="N31" s="23" t="n"/>
    </row>
    <row r="32">
      <c r="A32" s="24">
        <f>IF(F32="","","ANO-"&amp;TEXT(ROW()-1,"000"))</f>
        <v/>
      </c>
      <c r="B32" s="25" t="n"/>
      <c r="C32" s="23" t="n"/>
      <c r="D32" s="23" t="n"/>
      <c r="E32" s="23" t="n"/>
      <c r="F32" s="23" t="n"/>
      <c r="G32" s="23" t="n"/>
      <c r="H32" s="23" t="n"/>
      <c r="I32" s="23" t="n"/>
      <c r="J32" s="23" t="n"/>
      <c r="K32" s="23" t="n"/>
      <c r="L32" s="23" t="n"/>
      <c r="M32" s="23" t="n"/>
      <c r="N32" s="23" t="n"/>
    </row>
    <row r="33">
      <c r="A33" s="24">
        <f>IF(F33="","","ANO-"&amp;TEXT(ROW()-1,"000"))</f>
        <v/>
      </c>
      <c r="B33" s="25" t="n"/>
      <c r="C33" s="23" t="n"/>
      <c r="D33" s="23" t="n"/>
      <c r="E33" s="23" t="n"/>
      <c r="F33" s="23" t="n"/>
      <c r="G33" s="23" t="n"/>
      <c r="H33" s="23" t="n"/>
      <c r="I33" s="23" t="n"/>
      <c r="J33" s="23" t="n"/>
      <c r="K33" s="23" t="n"/>
      <c r="L33" s="23" t="n"/>
      <c r="M33" s="23" t="n"/>
      <c r="N33" s="23" t="n"/>
    </row>
    <row r="34">
      <c r="A34" s="24">
        <f>IF(F34="","","ANO-"&amp;TEXT(ROW()-1,"000"))</f>
        <v/>
      </c>
      <c r="B34" s="25" t="n"/>
      <c r="C34" s="23" t="n"/>
      <c r="D34" s="23" t="n"/>
      <c r="E34" s="23" t="n"/>
      <c r="F34" s="23" t="n"/>
      <c r="G34" s="23" t="n"/>
      <c r="H34" s="23" t="n"/>
      <c r="I34" s="23" t="n"/>
      <c r="J34" s="23" t="n"/>
      <c r="K34" s="23" t="n"/>
      <c r="L34" s="23" t="n"/>
      <c r="M34" s="23" t="n"/>
      <c r="N34" s="23" t="n"/>
    </row>
    <row r="35">
      <c r="A35" s="24">
        <f>IF(F35="","","ANO-"&amp;TEXT(ROW()-1,"000"))</f>
        <v/>
      </c>
      <c r="B35" s="25" t="n"/>
      <c r="C35" s="23" t="n"/>
      <c r="D35" s="23" t="n"/>
      <c r="E35" s="23" t="n"/>
      <c r="F35" s="23" t="n"/>
      <c r="G35" s="23" t="n"/>
      <c r="H35" s="23" t="n"/>
      <c r="I35" s="23" t="n"/>
      <c r="J35" s="23" t="n"/>
      <c r="K35" s="23" t="n"/>
      <c r="L35" s="23" t="n"/>
      <c r="M35" s="23" t="n"/>
      <c r="N35" s="23" t="n"/>
    </row>
    <row r="36">
      <c r="A36" s="24">
        <f>IF(F36="","","ANO-"&amp;TEXT(ROW()-1,"000"))</f>
        <v/>
      </c>
      <c r="B36" s="25" t="n"/>
      <c r="C36" s="23" t="n"/>
      <c r="D36" s="23" t="n"/>
      <c r="E36" s="23" t="n"/>
      <c r="F36" s="23" t="n"/>
      <c r="G36" s="23" t="n"/>
      <c r="H36" s="23" t="n"/>
      <c r="I36" s="23" t="n"/>
      <c r="J36" s="23" t="n"/>
      <c r="K36" s="23" t="n"/>
      <c r="L36" s="23" t="n"/>
      <c r="M36" s="23" t="n"/>
      <c r="N36" s="23" t="n"/>
    </row>
    <row r="37">
      <c r="A37" s="24">
        <f>IF(F37="","","ANO-"&amp;TEXT(ROW()-1,"000"))</f>
        <v/>
      </c>
      <c r="B37" s="25" t="n"/>
      <c r="C37" s="23" t="n"/>
      <c r="D37" s="23" t="n"/>
      <c r="E37" s="23" t="n"/>
      <c r="F37" s="23" t="n"/>
      <c r="G37" s="23" t="n"/>
      <c r="H37" s="23" t="n"/>
      <c r="I37" s="23" t="n"/>
      <c r="J37" s="23" t="n"/>
      <c r="K37" s="23" t="n"/>
      <c r="L37" s="23" t="n"/>
      <c r="M37" s="23" t="n"/>
      <c r="N37" s="23" t="n"/>
    </row>
    <row r="38">
      <c r="A38" s="24">
        <f>IF(F38="","","ANO-"&amp;TEXT(ROW()-1,"000"))</f>
        <v/>
      </c>
      <c r="B38" s="25" t="n"/>
      <c r="C38" s="23" t="n"/>
      <c r="D38" s="23" t="n"/>
      <c r="E38" s="23" t="n"/>
      <c r="F38" s="23" t="n"/>
      <c r="G38" s="23" t="n"/>
      <c r="H38" s="23" t="n"/>
      <c r="I38" s="23" t="n"/>
      <c r="J38" s="23" t="n"/>
      <c r="K38" s="23" t="n"/>
      <c r="L38" s="23" t="n"/>
      <c r="M38" s="23" t="n"/>
      <c r="N38" s="23" t="n"/>
    </row>
    <row r="39">
      <c r="A39" s="24">
        <f>IF(F39="","","ANO-"&amp;TEXT(ROW()-1,"000"))</f>
        <v/>
      </c>
      <c r="B39" s="25" t="n"/>
      <c r="C39" s="23" t="n"/>
      <c r="D39" s="23" t="n"/>
      <c r="E39" s="23" t="n"/>
      <c r="F39" s="23" t="n"/>
      <c r="G39" s="23" t="n"/>
      <c r="H39" s="23" t="n"/>
      <c r="I39" s="23" t="n"/>
      <c r="J39" s="23" t="n"/>
      <c r="K39" s="23" t="n"/>
      <c r="L39" s="23" t="n"/>
      <c r="M39" s="23" t="n"/>
      <c r="N39" s="23" t="n"/>
    </row>
    <row r="40">
      <c r="A40" s="24">
        <f>IF(F40="","","ANO-"&amp;TEXT(ROW()-1,"000"))</f>
        <v/>
      </c>
      <c r="B40" s="25" t="n"/>
      <c r="C40" s="23" t="n"/>
      <c r="D40" s="23" t="n"/>
      <c r="E40" s="23" t="n"/>
      <c r="F40" s="23" t="n"/>
      <c r="G40" s="23" t="n"/>
      <c r="H40" s="23" t="n"/>
      <c r="I40" s="23" t="n"/>
      <c r="J40" s="23" t="n"/>
      <c r="K40" s="23" t="n"/>
      <c r="L40" s="23" t="n"/>
      <c r="M40" s="23" t="n"/>
      <c r="N40" s="23" t="n"/>
    </row>
    <row r="41">
      <c r="A41" s="24">
        <f>IF(F41="","","ANO-"&amp;TEXT(ROW()-1,"000"))</f>
        <v/>
      </c>
      <c r="B41" s="25" t="n"/>
      <c r="C41" s="23" t="n"/>
      <c r="D41" s="23" t="n"/>
      <c r="E41" s="23" t="n"/>
      <c r="F41" s="23" t="n"/>
      <c r="G41" s="23" t="n"/>
      <c r="H41" s="23" t="n"/>
      <c r="I41" s="23" t="n"/>
      <c r="J41" s="23" t="n"/>
      <c r="K41" s="23" t="n"/>
      <c r="L41" s="23" t="n"/>
      <c r="M41" s="23" t="n"/>
      <c r="N41" s="23" t="n"/>
    </row>
    <row r="42">
      <c r="A42" s="24">
        <f>IF(F42="","","ANO-"&amp;TEXT(ROW()-1,"000"))</f>
        <v/>
      </c>
      <c r="B42" s="25" t="n"/>
      <c r="C42" s="23" t="n"/>
      <c r="D42" s="23" t="n"/>
      <c r="E42" s="23" t="n"/>
      <c r="F42" s="23" t="n"/>
      <c r="G42" s="23" t="n"/>
      <c r="H42" s="23" t="n"/>
      <c r="I42" s="23" t="n"/>
      <c r="J42" s="23" t="n"/>
      <c r="K42" s="23" t="n"/>
      <c r="L42" s="23" t="n"/>
      <c r="M42" s="23" t="n"/>
      <c r="N42" s="23" t="n"/>
    </row>
    <row r="43">
      <c r="A43" s="24">
        <f>IF(F43="","","ANO-"&amp;TEXT(ROW()-1,"000"))</f>
        <v/>
      </c>
      <c r="B43" s="25" t="n"/>
      <c r="C43" s="23" t="n"/>
      <c r="D43" s="23" t="n"/>
      <c r="E43" s="23" t="n"/>
      <c r="F43" s="23" t="n"/>
      <c r="G43" s="23" t="n"/>
      <c r="H43" s="23" t="n"/>
      <c r="I43" s="23" t="n"/>
      <c r="J43" s="23" t="n"/>
      <c r="K43" s="23" t="n"/>
      <c r="L43" s="23" t="n"/>
      <c r="M43" s="23" t="n"/>
      <c r="N43" s="23" t="n"/>
    </row>
    <row r="44">
      <c r="A44" s="24">
        <f>IF(F44="","","ANO-"&amp;TEXT(ROW()-1,"000"))</f>
        <v/>
      </c>
      <c r="B44" s="25" t="n"/>
      <c r="C44" s="23" t="n"/>
      <c r="D44" s="23" t="n"/>
      <c r="E44" s="23" t="n"/>
      <c r="F44" s="23" t="n"/>
      <c r="G44" s="23" t="n"/>
      <c r="H44" s="23" t="n"/>
      <c r="I44" s="23" t="n"/>
      <c r="J44" s="23" t="n"/>
      <c r="K44" s="23" t="n"/>
      <c r="L44" s="23" t="n"/>
      <c r="M44" s="23" t="n"/>
      <c r="N44" s="23" t="n"/>
    </row>
    <row r="45">
      <c r="A45" s="24">
        <f>IF(F45="","","ANO-"&amp;TEXT(ROW()-1,"000"))</f>
        <v/>
      </c>
      <c r="B45" s="25" t="n"/>
      <c r="C45" s="23" t="n"/>
      <c r="D45" s="23" t="n"/>
      <c r="E45" s="23" t="n"/>
      <c r="F45" s="23" t="n"/>
      <c r="G45" s="23" t="n"/>
      <c r="H45" s="23" t="n"/>
      <c r="I45" s="23" t="n"/>
      <c r="J45" s="23" t="n"/>
      <c r="K45" s="23" t="n"/>
      <c r="L45" s="23" t="n"/>
      <c r="M45" s="23" t="n"/>
      <c r="N45" s="23" t="n"/>
    </row>
    <row r="46">
      <c r="A46" s="24">
        <f>IF(F46="","","ANO-"&amp;TEXT(ROW()-1,"000"))</f>
        <v/>
      </c>
      <c r="B46" s="25" t="n"/>
      <c r="C46" s="23" t="n"/>
      <c r="D46" s="23" t="n"/>
      <c r="E46" s="23" t="n"/>
      <c r="F46" s="23" t="n"/>
      <c r="G46" s="23" t="n"/>
      <c r="H46" s="23" t="n"/>
      <c r="I46" s="23" t="n"/>
      <c r="J46" s="23" t="n"/>
      <c r="K46" s="23" t="n"/>
      <c r="L46" s="23" t="n"/>
      <c r="M46" s="23" t="n"/>
      <c r="N46" s="23" t="n"/>
    </row>
    <row r="47">
      <c r="A47" s="24">
        <f>IF(F47="","","ANO-"&amp;TEXT(ROW()-1,"000"))</f>
        <v/>
      </c>
      <c r="B47" s="25" t="n"/>
      <c r="C47" s="23" t="n"/>
      <c r="D47" s="23" t="n"/>
      <c r="E47" s="23" t="n"/>
      <c r="F47" s="23" t="n"/>
      <c r="G47" s="23" t="n"/>
      <c r="H47" s="23" t="n"/>
      <c r="I47" s="23" t="n"/>
      <c r="J47" s="23" t="n"/>
      <c r="K47" s="23" t="n"/>
      <c r="L47" s="23" t="n"/>
      <c r="M47" s="23" t="n"/>
      <c r="N47" s="23" t="n"/>
    </row>
    <row r="48">
      <c r="A48" s="24">
        <f>IF(F48="","","ANO-"&amp;TEXT(ROW()-1,"000"))</f>
        <v/>
      </c>
      <c r="B48" s="25" t="n"/>
      <c r="C48" s="23" t="n"/>
      <c r="D48" s="23" t="n"/>
      <c r="E48" s="23" t="n"/>
      <c r="F48" s="23" t="n"/>
      <c r="G48" s="23" t="n"/>
      <c r="H48" s="23" t="n"/>
      <c r="I48" s="23" t="n"/>
      <c r="J48" s="23" t="n"/>
      <c r="K48" s="23" t="n"/>
      <c r="L48" s="23" t="n"/>
      <c r="M48" s="23" t="n"/>
      <c r="N48" s="23" t="n"/>
    </row>
    <row r="49">
      <c r="A49" s="24">
        <f>IF(F49="","","ANO-"&amp;TEXT(ROW()-1,"000"))</f>
        <v/>
      </c>
      <c r="B49" s="25" t="n"/>
      <c r="C49" s="23" t="n"/>
      <c r="D49" s="23" t="n"/>
      <c r="E49" s="23" t="n"/>
      <c r="F49" s="23" t="n"/>
      <c r="G49" s="23" t="n"/>
      <c r="H49" s="23" t="n"/>
      <c r="I49" s="23" t="n"/>
      <c r="J49" s="23" t="n"/>
      <c r="K49" s="23" t="n"/>
      <c r="L49" s="23" t="n"/>
      <c r="M49" s="23" t="n"/>
      <c r="N49" s="23" t="n"/>
    </row>
    <row r="50">
      <c r="A50" s="24">
        <f>IF(F50="","","ANO-"&amp;TEXT(ROW()-1,"000"))</f>
        <v/>
      </c>
      <c r="B50" s="25" t="n"/>
      <c r="C50" s="23" t="n"/>
      <c r="D50" s="23" t="n"/>
      <c r="E50" s="23" t="n"/>
      <c r="F50" s="23" t="n"/>
      <c r="G50" s="23" t="n"/>
      <c r="H50" s="23" t="n"/>
      <c r="I50" s="23" t="n"/>
      <c r="J50" s="23" t="n"/>
      <c r="K50" s="23" t="n"/>
      <c r="L50" s="23" t="n"/>
      <c r="M50" s="23" t="n"/>
      <c r="N50" s="23" t="n"/>
    </row>
    <row r="51">
      <c r="A51" s="24">
        <f>IF(F51="","","ANO-"&amp;TEXT(ROW()-1,"000"))</f>
        <v/>
      </c>
      <c r="B51" s="25" t="n"/>
      <c r="C51" s="23" t="n"/>
      <c r="D51" s="23" t="n"/>
      <c r="E51" s="23" t="n"/>
      <c r="F51" s="23" t="n"/>
      <c r="G51" s="23" t="n"/>
      <c r="H51" s="23" t="n"/>
      <c r="I51" s="23" t="n"/>
      <c r="J51" s="23" t="n"/>
      <c r="K51" s="23" t="n"/>
      <c r="L51" s="23" t="n"/>
      <c r="M51" s="23" t="n"/>
      <c r="N51" s="23" t="n"/>
    </row>
    <row r="52">
      <c r="A52" s="24">
        <f>IF(F52="","","ANO-"&amp;TEXT(ROW()-1,"000"))</f>
        <v/>
      </c>
      <c r="B52" s="25" t="n"/>
      <c r="C52" s="23" t="n"/>
      <c r="D52" s="23" t="n"/>
      <c r="E52" s="23" t="n"/>
      <c r="F52" s="23" t="n"/>
      <c r="G52" s="23" t="n"/>
      <c r="H52" s="23" t="n"/>
      <c r="I52" s="23" t="n"/>
      <c r="J52" s="23" t="n"/>
      <c r="K52" s="23" t="n"/>
      <c r="L52" s="23" t="n"/>
      <c r="M52" s="23" t="n"/>
      <c r="N52" s="23" t="n"/>
    </row>
    <row r="53">
      <c r="A53" s="24">
        <f>IF(F53="","","ANO-"&amp;TEXT(ROW()-1,"000"))</f>
        <v/>
      </c>
      <c r="B53" s="25" t="n"/>
      <c r="C53" s="23" t="n"/>
      <c r="D53" s="23" t="n"/>
      <c r="E53" s="23" t="n"/>
      <c r="F53" s="23" t="n"/>
      <c r="G53" s="23" t="n"/>
      <c r="H53" s="23" t="n"/>
      <c r="I53" s="23" t="n"/>
      <c r="J53" s="23" t="n"/>
      <c r="K53" s="23" t="n"/>
      <c r="L53" s="23" t="n"/>
      <c r="M53" s="23" t="n"/>
      <c r="N53" s="23" t="n"/>
    </row>
    <row r="54">
      <c r="A54" s="24">
        <f>IF(F54="","","ANO-"&amp;TEXT(ROW()-1,"000"))</f>
        <v/>
      </c>
      <c r="B54" s="25" t="n"/>
      <c r="C54" s="23" t="n"/>
      <c r="D54" s="23" t="n"/>
      <c r="E54" s="23" t="n"/>
      <c r="F54" s="23" t="n"/>
      <c r="G54" s="23" t="n"/>
      <c r="H54" s="23" t="n"/>
      <c r="I54" s="23" t="n"/>
      <c r="J54" s="23" t="n"/>
      <c r="K54" s="23" t="n"/>
      <c r="L54" s="23" t="n"/>
      <c r="M54" s="23" t="n"/>
      <c r="N54" s="23" t="n"/>
    </row>
    <row r="55">
      <c r="A55" s="24">
        <f>IF(F55="","","ANO-"&amp;TEXT(ROW()-1,"000"))</f>
        <v/>
      </c>
      <c r="B55" s="25" t="n"/>
      <c r="C55" s="23" t="n"/>
      <c r="D55" s="23" t="n"/>
      <c r="E55" s="23" t="n"/>
      <c r="F55" s="23" t="n"/>
      <c r="G55" s="23" t="n"/>
      <c r="H55" s="23" t="n"/>
      <c r="I55" s="23" t="n"/>
      <c r="J55" s="23" t="n"/>
      <c r="K55" s="23" t="n"/>
      <c r="L55" s="23" t="n"/>
      <c r="M55" s="23" t="n"/>
      <c r="N55" s="23" t="n"/>
    </row>
    <row r="56">
      <c r="A56" s="24">
        <f>IF(F56="","","ANO-"&amp;TEXT(ROW()-1,"000"))</f>
        <v/>
      </c>
      <c r="B56" s="25" t="n"/>
      <c r="C56" s="23" t="n"/>
      <c r="D56" s="23" t="n"/>
      <c r="E56" s="23" t="n"/>
      <c r="F56" s="23" t="n"/>
      <c r="G56" s="23" t="n"/>
      <c r="H56" s="23" t="n"/>
      <c r="I56" s="23" t="n"/>
      <c r="J56" s="23" t="n"/>
      <c r="K56" s="23" t="n"/>
      <c r="L56" s="23" t="n"/>
      <c r="M56" s="23" t="n"/>
      <c r="N56" s="23" t="n"/>
    </row>
    <row r="57">
      <c r="A57" s="24">
        <f>IF(F57="","","ANO-"&amp;TEXT(ROW()-1,"000"))</f>
        <v/>
      </c>
      <c r="B57" s="25" t="n"/>
      <c r="C57" s="23" t="n"/>
      <c r="D57" s="23" t="n"/>
      <c r="E57" s="23" t="n"/>
      <c r="F57" s="23" t="n"/>
      <c r="G57" s="23" t="n"/>
      <c r="H57" s="23" t="n"/>
      <c r="I57" s="23" t="n"/>
      <c r="J57" s="23" t="n"/>
      <c r="K57" s="23" t="n"/>
      <c r="L57" s="23" t="n"/>
      <c r="M57" s="23" t="n"/>
      <c r="N57" s="23" t="n"/>
    </row>
    <row r="58">
      <c r="A58" s="24">
        <f>IF(F58="","","ANO-"&amp;TEXT(ROW()-1,"000"))</f>
        <v/>
      </c>
      <c r="B58" s="25" t="n"/>
      <c r="C58" s="23" t="n"/>
      <c r="D58" s="23" t="n"/>
      <c r="E58" s="23" t="n"/>
      <c r="F58" s="23" t="n"/>
      <c r="G58" s="23" t="n"/>
      <c r="H58" s="23" t="n"/>
      <c r="I58" s="23" t="n"/>
      <c r="J58" s="23" t="n"/>
      <c r="K58" s="23" t="n"/>
      <c r="L58" s="23" t="n"/>
      <c r="M58" s="23" t="n"/>
      <c r="N58" s="23" t="n"/>
    </row>
    <row r="59">
      <c r="A59" s="24">
        <f>IF(F59="","","ANO-"&amp;TEXT(ROW()-1,"000"))</f>
        <v/>
      </c>
      <c r="B59" s="25" t="n"/>
      <c r="C59" s="23" t="n"/>
      <c r="D59" s="23" t="n"/>
      <c r="E59" s="23" t="n"/>
      <c r="F59" s="23" t="n"/>
      <c r="G59" s="23" t="n"/>
      <c r="H59" s="23" t="n"/>
      <c r="I59" s="23" t="n"/>
      <c r="J59" s="23" t="n"/>
      <c r="K59" s="23" t="n"/>
      <c r="L59" s="23" t="n"/>
      <c r="M59" s="23" t="n"/>
      <c r="N59" s="23" t="n"/>
    </row>
    <row r="60">
      <c r="A60" s="24">
        <f>IF(F60="","","ANO-"&amp;TEXT(ROW()-1,"000"))</f>
        <v/>
      </c>
      <c r="B60" s="25" t="n"/>
      <c r="C60" s="23" t="n"/>
      <c r="D60" s="23" t="n"/>
      <c r="E60" s="23" t="n"/>
      <c r="F60" s="23" t="n"/>
      <c r="G60" s="23" t="n"/>
      <c r="H60" s="23" t="n"/>
      <c r="I60" s="23" t="n"/>
      <c r="J60" s="23" t="n"/>
      <c r="K60" s="23" t="n"/>
      <c r="L60" s="23" t="n"/>
      <c r="M60" s="23" t="n"/>
      <c r="N60" s="23" t="n"/>
    </row>
    <row r="61">
      <c r="A61" s="24">
        <f>IF(F61="","","ANO-"&amp;TEXT(ROW()-1,"000"))</f>
        <v/>
      </c>
      <c r="B61" s="25" t="n"/>
      <c r="C61" s="23" t="n"/>
      <c r="D61" s="23" t="n"/>
      <c r="E61" s="23" t="n"/>
      <c r="F61" s="23" t="n"/>
      <c r="G61" s="23" t="n"/>
      <c r="H61" s="23" t="n"/>
      <c r="I61" s="23" t="n"/>
      <c r="J61" s="23" t="n"/>
      <c r="K61" s="23" t="n"/>
      <c r="L61" s="23" t="n"/>
      <c r="M61" s="23" t="n"/>
      <c r="N61" s="23" t="n"/>
    </row>
    <row r="62">
      <c r="A62" s="24">
        <f>IF(F62="","","ANO-"&amp;TEXT(ROW()-1,"000"))</f>
        <v/>
      </c>
      <c r="B62" s="25" t="n"/>
      <c r="C62" s="23" t="n"/>
      <c r="D62" s="23" t="n"/>
      <c r="E62" s="23" t="n"/>
      <c r="F62" s="23" t="n"/>
      <c r="G62" s="23" t="n"/>
      <c r="H62" s="23" t="n"/>
      <c r="I62" s="23" t="n"/>
      <c r="J62" s="23" t="n"/>
      <c r="K62" s="23" t="n"/>
      <c r="L62" s="23" t="n"/>
      <c r="M62" s="23" t="n"/>
      <c r="N62" s="23" t="n"/>
    </row>
    <row r="63">
      <c r="A63" s="24">
        <f>IF(F63="","","ANO-"&amp;TEXT(ROW()-1,"000"))</f>
        <v/>
      </c>
      <c r="B63" s="25" t="n"/>
      <c r="C63" s="23" t="n"/>
      <c r="D63" s="23" t="n"/>
      <c r="E63" s="23" t="n"/>
      <c r="F63" s="23" t="n"/>
      <c r="G63" s="23" t="n"/>
      <c r="H63" s="23" t="n"/>
      <c r="I63" s="23" t="n"/>
      <c r="J63" s="23" t="n"/>
      <c r="K63" s="23" t="n"/>
      <c r="L63" s="23" t="n"/>
      <c r="M63" s="23" t="n"/>
      <c r="N63" s="23" t="n"/>
    </row>
    <row r="64">
      <c r="A64" s="24">
        <f>IF(F64="","","ANO-"&amp;TEXT(ROW()-1,"000"))</f>
        <v/>
      </c>
      <c r="B64" s="25" t="n"/>
      <c r="C64" s="23" t="n"/>
      <c r="D64" s="23" t="n"/>
      <c r="E64" s="23" t="n"/>
      <c r="F64" s="23" t="n"/>
      <c r="G64" s="23" t="n"/>
      <c r="H64" s="23" t="n"/>
      <c r="I64" s="23" t="n"/>
      <c r="J64" s="23" t="n"/>
      <c r="K64" s="23" t="n"/>
      <c r="L64" s="23" t="n"/>
      <c r="M64" s="23" t="n"/>
      <c r="N64" s="23" t="n"/>
    </row>
    <row r="65">
      <c r="A65" s="24">
        <f>IF(F65="","","ANO-"&amp;TEXT(ROW()-1,"000"))</f>
        <v/>
      </c>
      <c r="B65" s="25" t="n"/>
      <c r="C65" s="23" t="n"/>
      <c r="D65" s="23" t="n"/>
      <c r="E65" s="23" t="n"/>
      <c r="F65" s="23" t="n"/>
      <c r="G65" s="23" t="n"/>
      <c r="H65" s="23" t="n"/>
      <c r="I65" s="23" t="n"/>
      <c r="J65" s="23" t="n"/>
      <c r="K65" s="23" t="n"/>
      <c r="L65" s="23" t="n"/>
      <c r="M65" s="23" t="n"/>
      <c r="N65" s="23" t="n"/>
    </row>
    <row r="66">
      <c r="A66" s="24">
        <f>IF(F66="","","ANO-"&amp;TEXT(ROW()-1,"000"))</f>
        <v/>
      </c>
      <c r="B66" s="25" t="n"/>
      <c r="C66" s="23" t="n"/>
      <c r="D66" s="23" t="n"/>
      <c r="E66" s="23" t="n"/>
      <c r="F66" s="23" t="n"/>
      <c r="G66" s="23" t="n"/>
      <c r="H66" s="23" t="n"/>
      <c r="I66" s="23" t="n"/>
      <c r="J66" s="23" t="n"/>
      <c r="K66" s="23" t="n"/>
      <c r="L66" s="23" t="n"/>
      <c r="M66" s="23" t="n"/>
      <c r="N66" s="23" t="n"/>
    </row>
    <row r="67">
      <c r="A67" s="24">
        <f>IF(F67="","","ANO-"&amp;TEXT(ROW()-1,"000"))</f>
        <v/>
      </c>
      <c r="B67" s="25" t="n"/>
      <c r="C67" s="23" t="n"/>
      <c r="D67" s="23" t="n"/>
      <c r="E67" s="23" t="n"/>
      <c r="F67" s="23" t="n"/>
      <c r="G67" s="23" t="n"/>
      <c r="H67" s="23" t="n"/>
      <c r="I67" s="23" t="n"/>
      <c r="J67" s="23" t="n"/>
      <c r="K67" s="23" t="n"/>
      <c r="L67" s="23" t="n"/>
      <c r="M67" s="23" t="n"/>
      <c r="N67" s="23" t="n"/>
    </row>
    <row r="68">
      <c r="A68" s="24">
        <f>IF(F68="","","ANO-"&amp;TEXT(ROW()-1,"000"))</f>
        <v/>
      </c>
      <c r="B68" s="25" t="n"/>
      <c r="C68" s="23" t="n"/>
      <c r="D68" s="23" t="n"/>
      <c r="E68" s="23" t="n"/>
      <c r="F68" s="23" t="n"/>
      <c r="G68" s="23" t="n"/>
      <c r="H68" s="23" t="n"/>
      <c r="I68" s="23" t="n"/>
      <c r="J68" s="23" t="n"/>
      <c r="K68" s="23" t="n"/>
      <c r="L68" s="23" t="n"/>
      <c r="M68" s="23" t="n"/>
      <c r="N68" s="23" t="n"/>
    </row>
    <row r="69">
      <c r="A69" s="24">
        <f>IF(F69="","","ANO-"&amp;TEXT(ROW()-1,"000"))</f>
        <v/>
      </c>
      <c r="B69" s="25" t="n"/>
      <c r="C69" s="23" t="n"/>
      <c r="D69" s="23" t="n"/>
      <c r="E69" s="23" t="n"/>
      <c r="F69" s="23" t="n"/>
      <c r="G69" s="23" t="n"/>
      <c r="H69" s="23" t="n"/>
      <c r="I69" s="23" t="n"/>
      <c r="J69" s="23" t="n"/>
      <c r="K69" s="23" t="n"/>
      <c r="L69" s="23" t="n"/>
      <c r="M69" s="23" t="n"/>
      <c r="N69" s="23" t="n"/>
    </row>
    <row r="70">
      <c r="A70" s="24">
        <f>IF(F70="","","ANO-"&amp;TEXT(ROW()-1,"000"))</f>
        <v/>
      </c>
      <c r="B70" s="25" t="n"/>
      <c r="C70" s="23" t="n"/>
      <c r="D70" s="23" t="n"/>
      <c r="E70" s="23" t="n"/>
      <c r="F70" s="23" t="n"/>
      <c r="G70" s="23" t="n"/>
      <c r="H70" s="23" t="n"/>
      <c r="I70" s="23" t="n"/>
      <c r="J70" s="23" t="n"/>
      <c r="K70" s="23" t="n"/>
      <c r="L70" s="23" t="n"/>
      <c r="M70" s="23" t="n"/>
      <c r="N70" s="23" t="n"/>
    </row>
    <row r="71">
      <c r="A71" s="24">
        <f>IF(F71="","","ANO-"&amp;TEXT(ROW()-1,"000"))</f>
        <v/>
      </c>
      <c r="B71" s="25" t="n"/>
      <c r="C71" s="23" t="n"/>
      <c r="D71" s="23" t="n"/>
      <c r="E71" s="23" t="n"/>
      <c r="F71" s="23" t="n"/>
      <c r="G71" s="23" t="n"/>
      <c r="H71" s="23" t="n"/>
      <c r="I71" s="23" t="n"/>
      <c r="J71" s="23" t="n"/>
      <c r="K71" s="23" t="n"/>
      <c r="L71" s="23" t="n"/>
      <c r="M71" s="23" t="n"/>
      <c r="N71" s="23" t="n"/>
    </row>
    <row r="72">
      <c r="A72" s="24">
        <f>IF(F72="","","ANO-"&amp;TEXT(ROW()-1,"000"))</f>
        <v/>
      </c>
      <c r="B72" s="25" t="n"/>
      <c r="C72" s="23" t="n"/>
      <c r="D72" s="23" t="n"/>
      <c r="E72" s="23" t="n"/>
      <c r="F72" s="23" t="n"/>
      <c r="G72" s="23" t="n"/>
      <c r="H72" s="23" t="n"/>
      <c r="I72" s="23" t="n"/>
      <c r="J72" s="23" t="n"/>
      <c r="K72" s="23" t="n"/>
      <c r="L72" s="23" t="n"/>
      <c r="M72" s="23" t="n"/>
      <c r="N72" s="23" t="n"/>
    </row>
    <row r="73">
      <c r="A73" s="24">
        <f>IF(F73="","","ANO-"&amp;TEXT(ROW()-1,"000"))</f>
        <v/>
      </c>
      <c r="B73" s="25" t="n"/>
      <c r="C73" s="23" t="n"/>
      <c r="D73" s="23" t="n"/>
      <c r="E73" s="23" t="n"/>
      <c r="F73" s="23" t="n"/>
      <c r="G73" s="23" t="n"/>
      <c r="H73" s="23" t="n"/>
      <c r="I73" s="23" t="n"/>
      <c r="J73" s="23" t="n"/>
      <c r="K73" s="23" t="n"/>
      <c r="L73" s="23" t="n"/>
      <c r="M73" s="23" t="n"/>
      <c r="N73" s="23" t="n"/>
    </row>
    <row r="74">
      <c r="A74" s="24">
        <f>IF(F74="","","ANO-"&amp;TEXT(ROW()-1,"000"))</f>
        <v/>
      </c>
      <c r="B74" s="25" t="n"/>
      <c r="C74" s="23" t="n"/>
      <c r="D74" s="23" t="n"/>
      <c r="E74" s="23" t="n"/>
      <c r="F74" s="23" t="n"/>
      <c r="G74" s="23" t="n"/>
      <c r="H74" s="23" t="n"/>
      <c r="I74" s="23" t="n"/>
      <c r="J74" s="23" t="n"/>
      <c r="K74" s="23" t="n"/>
      <c r="L74" s="23" t="n"/>
      <c r="M74" s="23" t="n"/>
      <c r="N74" s="23" t="n"/>
    </row>
    <row r="75">
      <c r="A75" s="24">
        <f>IF(F75="","","ANO-"&amp;TEXT(ROW()-1,"000"))</f>
        <v/>
      </c>
      <c r="B75" s="25" t="n"/>
      <c r="C75" s="23" t="n"/>
      <c r="D75" s="23" t="n"/>
      <c r="E75" s="23" t="n"/>
      <c r="F75" s="23" t="n"/>
      <c r="G75" s="23" t="n"/>
      <c r="H75" s="23" t="n"/>
      <c r="I75" s="23" t="n"/>
      <c r="J75" s="23" t="n"/>
      <c r="K75" s="23" t="n"/>
      <c r="L75" s="23" t="n"/>
      <c r="M75" s="23" t="n"/>
      <c r="N75" s="23" t="n"/>
    </row>
    <row r="76">
      <c r="A76" s="24">
        <f>IF(F76="","","ANO-"&amp;TEXT(ROW()-1,"000"))</f>
        <v/>
      </c>
      <c r="B76" s="25" t="n"/>
      <c r="C76" s="23" t="n"/>
      <c r="D76" s="23" t="n"/>
      <c r="E76" s="23" t="n"/>
      <c r="F76" s="23" t="n"/>
      <c r="G76" s="23" t="n"/>
      <c r="H76" s="23" t="n"/>
      <c r="I76" s="23" t="n"/>
      <c r="J76" s="23" t="n"/>
      <c r="K76" s="23" t="n"/>
      <c r="L76" s="23" t="n"/>
      <c r="M76" s="23" t="n"/>
      <c r="N76" s="23" t="n"/>
    </row>
    <row r="77">
      <c r="A77" s="24">
        <f>IF(F77="","","ANO-"&amp;TEXT(ROW()-1,"000"))</f>
        <v/>
      </c>
      <c r="B77" s="25" t="n"/>
      <c r="C77" s="23" t="n"/>
      <c r="D77" s="23" t="n"/>
      <c r="E77" s="23" t="n"/>
      <c r="F77" s="23" t="n"/>
      <c r="G77" s="23" t="n"/>
      <c r="H77" s="23" t="n"/>
      <c r="I77" s="23" t="n"/>
      <c r="J77" s="23" t="n"/>
      <c r="K77" s="23" t="n"/>
      <c r="L77" s="23" t="n"/>
      <c r="M77" s="23" t="n"/>
      <c r="N77" s="23" t="n"/>
    </row>
    <row r="78">
      <c r="A78" s="24">
        <f>IF(F78="","","ANO-"&amp;TEXT(ROW()-1,"000"))</f>
        <v/>
      </c>
      <c r="B78" s="25" t="n"/>
      <c r="C78" s="23" t="n"/>
      <c r="D78" s="23" t="n"/>
      <c r="E78" s="23" t="n"/>
      <c r="F78" s="23" t="n"/>
      <c r="G78" s="23" t="n"/>
      <c r="H78" s="23" t="n"/>
      <c r="I78" s="23" t="n"/>
      <c r="J78" s="23" t="n"/>
      <c r="K78" s="23" t="n"/>
      <c r="L78" s="23" t="n"/>
      <c r="M78" s="23" t="n"/>
      <c r="N78" s="23" t="n"/>
    </row>
    <row r="79">
      <c r="A79" s="24">
        <f>IF(F79="","","ANO-"&amp;TEXT(ROW()-1,"000"))</f>
        <v/>
      </c>
      <c r="B79" s="25" t="n"/>
      <c r="C79" s="23" t="n"/>
      <c r="D79" s="23" t="n"/>
      <c r="E79" s="23" t="n"/>
      <c r="F79" s="23" t="n"/>
      <c r="G79" s="23" t="n"/>
      <c r="H79" s="23" t="n"/>
      <c r="I79" s="23" t="n"/>
      <c r="J79" s="23" t="n"/>
      <c r="K79" s="23" t="n"/>
      <c r="L79" s="23" t="n"/>
      <c r="M79" s="23" t="n"/>
      <c r="N79" s="23" t="n"/>
    </row>
    <row r="80">
      <c r="A80" s="24">
        <f>IF(F80="","","ANO-"&amp;TEXT(ROW()-1,"000"))</f>
        <v/>
      </c>
      <c r="B80" s="25" t="n"/>
      <c r="C80" s="23" t="n"/>
      <c r="D80" s="23" t="n"/>
      <c r="E80" s="23" t="n"/>
      <c r="F80" s="23" t="n"/>
      <c r="G80" s="23" t="n"/>
      <c r="H80" s="23" t="n"/>
      <c r="I80" s="23" t="n"/>
      <c r="J80" s="23" t="n"/>
      <c r="K80" s="23" t="n"/>
      <c r="L80" s="23" t="n"/>
      <c r="M80" s="23" t="n"/>
      <c r="N80" s="23" t="n"/>
    </row>
    <row r="81">
      <c r="A81" s="24">
        <f>IF(F81="","","ANO-"&amp;TEXT(ROW()-1,"000"))</f>
        <v/>
      </c>
      <c r="B81" s="25" t="n"/>
      <c r="C81" s="23" t="n"/>
      <c r="D81" s="23" t="n"/>
      <c r="E81" s="23" t="n"/>
      <c r="F81" s="23" t="n"/>
      <c r="G81" s="23" t="n"/>
      <c r="H81" s="23" t="n"/>
      <c r="I81" s="23" t="n"/>
      <c r="J81" s="23" t="n"/>
      <c r="K81" s="23" t="n"/>
      <c r="L81" s="23" t="n"/>
      <c r="M81" s="23" t="n"/>
      <c r="N81" s="23" t="n"/>
    </row>
    <row r="82">
      <c r="A82" s="24">
        <f>IF(F82="","","ANO-"&amp;TEXT(ROW()-1,"000"))</f>
        <v/>
      </c>
      <c r="B82" s="25" t="n"/>
      <c r="C82" s="23" t="n"/>
      <c r="D82" s="23" t="n"/>
      <c r="E82" s="23" t="n"/>
      <c r="F82" s="23" t="n"/>
      <c r="G82" s="23" t="n"/>
      <c r="H82" s="23" t="n"/>
      <c r="I82" s="23" t="n"/>
      <c r="J82" s="23" t="n"/>
      <c r="K82" s="23" t="n"/>
      <c r="L82" s="23" t="n"/>
      <c r="M82" s="23" t="n"/>
      <c r="N82" s="23" t="n"/>
    </row>
    <row r="83">
      <c r="A83" s="24">
        <f>IF(F83="","","ANO-"&amp;TEXT(ROW()-1,"000"))</f>
        <v/>
      </c>
      <c r="B83" s="25" t="n"/>
      <c r="C83" s="23" t="n"/>
      <c r="D83" s="23" t="n"/>
      <c r="E83" s="23" t="n"/>
      <c r="F83" s="23" t="n"/>
      <c r="G83" s="23" t="n"/>
      <c r="H83" s="23" t="n"/>
      <c r="I83" s="23" t="n"/>
      <c r="J83" s="23" t="n"/>
      <c r="K83" s="23" t="n"/>
      <c r="L83" s="23" t="n"/>
      <c r="M83" s="23" t="n"/>
      <c r="N83" s="23" t="n"/>
    </row>
    <row r="84">
      <c r="A84" s="24">
        <f>IF(F84="","","ANO-"&amp;TEXT(ROW()-1,"000"))</f>
        <v/>
      </c>
      <c r="B84" s="25" t="n"/>
      <c r="C84" s="23" t="n"/>
      <c r="D84" s="23" t="n"/>
      <c r="E84" s="23" t="n"/>
      <c r="F84" s="23" t="n"/>
      <c r="G84" s="23" t="n"/>
      <c r="H84" s="23" t="n"/>
      <c r="I84" s="23" t="n"/>
      <c r="J84" s="23" t="n"/>
      <c r="K84" s="23" t="n"/>
      <c r="L84" s="23" t="n"/>
      <c r="M84" s="23" t="n"/>
      <c r="N84" s="23" t="n"/>
    </row>
    <row r="85">
      <c r="A85" s="24">
        <f>IF(F85="","","ANO-"&amp;TEXT(ROW()-1,"000"))</f>
        <v/>
      </c>
      <c r="B85" s="25" t="n"/>
      <c r="C85" s="23" t="n"/>
      <c r="D85" s="23" t="n"/>
      <c r="E85" s="23" t="n"/>
      <c r="F85" s="23" t="n"/>
      <c r="G85" s="23" t="n"/>
      <c r="H85" s="23" t="n"/>
      <c r="I85" s="23" t="n"/>
      <c r="J85" s="23" t="n"/>
      <c r="K85" s="23" t="n"/>
      <c r="L85" s="23" t="n"/>
      <c r="M85" s="23" t="n"/>
      <c r="N85" s="23" t="n"/>
    </row>
    <row r="86">
      <c r="A86" s="24">
        <f>IF(F86="","","ANO-"&amp;TEXT(ROW()-1,"000"))</f>
        <v/>
      </c>
      <c r="B86" s="25" t="n"/>
      <c r="C86" s="23" t="n"/>
      <c r="D86" s="23" t="n"/>
      <c r="E86" s="23" t="n"/>
      <c r="F86" s="23" t="n"/>
      <c r="G86" s="23" t="n"/>
      <c r="H86" s="23" t="n"/>
      <c r="I86" s="23" t="n"/>
      <c r="J86" s="23" t="n"/>
      <c r="K86" s="23" t="n"/>
      <c r="L86" s="23" t="n"/>
      <c r="M86" s="23" t="n"/>
      <c r="N86" s="23" t="n"/>
    </row>
    <row r="87">
      <c r="A87" s="24">
        <f>IF(F87="","","ANO-"&amp;TEXT(ROW()-1,"000"))</f>
        <v/>
      </c>
      <c r="B87" s="25" t="n"/>
      <c r="C87" s="23" t="n"/>
      <c r="D87" s="23" t="n"/>
      <c r="E87" s="23" t="n"/>
      <c r="F87" s="23" t="n"/>
      <c r="G87" s="23" t="n"/>
      <c r="H87" s="23" t="n"/>
      <c r="I87" s="23" t="n"/>
      <c r="J87" s="23" t="n"/>
      <c r="K87" s="23" t="n"/>
      <c r="L87" s="23" t="n"/>
      <c r="M87" s="23" t="n"/>
      <c r="N87" s="23" t="n"/>
    </row>
    <row r="88">
      <c r="A88" s="24">
        <f>IF(F88="","","ANO-"&amp;TEXT(ROW()-1,"000"))</f>
        <v/>
      </c>
      <c r="B88" s="25" t="n"/>
      <c r="C88" s="23" t="n"/>
      <c r="D88" s="23" t="n"/>
      <c r="E88" s="23" t="n"/>
      <c r="F88" s="23" t="n"/>
      <c r="G88" s="23" t="n"/>
      <c r="H88" s="23" t="n"/>
      <c r="I88" s="23" t="n"/>
      <c r="J88" s="23" t="n"/>
      <c r="K88" s="23" t="n"/>
      <c r="L88" s="23" t="n"/>
      <c r="M88" s="23" t="n"/>
      <c r="N88" s="23" t="n"/>
    </row>
    <row r="89">
      <c r="A89" s="24">
        <f>IF(F89="","","ANO-"&amp;TEXT(ROW()-1,"000"))</f>
        <v/>
      </c>
      <c r="B89" s="25" t="n"/>
      <c r="C89" s="23" t="n"/>
      <c r="D89" s="23" t="n"/>
      <c r="E89" s="23" t="n"/>
      <c r="F89" s="23" t="n"/>
      <c r="G89" s="23" t="n"/>
      <c r="H89" s="23" t="n"/>
      <c r="I89" s="23" t="n"/>
      <c r="J89" s="23" t="n"/>
      <c r="K89" s="23" t="n"/>
      <c r="L89" s="23" t="n"/>
      <c r="M89" s="23" t="n"/>
      <c r="N89" s="23" t="n"/>
    </row>
    <row r="90">
      <c r="A90" s="24">
        <f>IF(F90="","","ANO-"&amp;TEXT(ROW()-1,"000"))</f>
        <v/>
      </c>
      <c r="B90" s="25" t="n"/>
      <c r="C90" s="23" t="n"/>
      <c r="D90" s="23" t="n"/>
      <c r="E90" s="23" t="n"/>
      <c r="F90" s="23" t="n"/>
      <c r="G90" s="23" t="n"/>
      <c r="H90" s="23" t="n"/>
      <c r="I90" s="23" t="n"/>
      <c r="J90" s="23" t="n"/>
      <c r="K90" s="23" t="n"/>
      <c r="L90" s="23" t="n"/>
      <c r="M90" s="23" t="n"/>
      <c r="N90" s="23" t="n"/>
    </row>
    <row r="91">
      <c r="A91" s="24">
        <f>IF(F91="","","ANO-"&amp;TEXT(ROW()-1,"000"))</f>
        <v/>
      </c>
      <c r="B91" s="25" t="n"/>
      <c r="C91" s="23" t="n"/>
      <c r="D91" s="23" t="n"/>
      <c r="E91" s="23" t="n"/>
      <c r="F91" s="23" t="n"/>
      <c r="G91" s="23" t="n"/>
      <c r="H91" s="23" t="n"/>
      <c r="I91" s="23" t="n"/>
      <c r="J91" s="23" t="n"/>
      <c r="K91" s="23" t="n"/>
      <c r="L91" s="23" t="n"/>
      <c r="M91" s="23" t="n"/>
      <c r="N91" s="23" t="n"/>
    </row>
    <row r="92">
      <c r="A92" s="24">
        <f>IF(F92="","","ANO-"&amp;TEXT(ROW()-1,"000"))</f>
        <v/>
      </c>
      <c r="B92" s="25" t="n"/>
      <c r="C92" s="23" t="n"/>
      <c r="D92" s="23" t="n"/>
      <c r="E92" s="23" t="n"/>
      <c r="F92" s="23" t="n"/>
      <c r="G92" s="23" t="n"/>
      <c r="H92" s="23" t="n"/>
      <c r="I92" s="23" t="n"/>
      <c r="J92" s="23" t="n"/>
      <c r="K92" s="23" t="n"/>
      <c r="L92" s="23" t="n"/>
      <c r="M92" s="23" t="n"/>
      <c r="N92" s="23" t="n"/>
    </row>
    <row r="93">
      <c r="A93" s="24">
        <f>IF(F93="","","ANO-"&amp;TEXT(ROW()-1,"000"))</f>
        <v/>
      </c>
      <c r="B93" s="25" t="n"/>
      <c r="C93" s="23" t="n"/>
      <c r="D93" s="23" t="n"/>
      <c r="E93" s="23" t="n"/>
      <c r="F93" s="23" t="n"/>
      <c r="G93" s="23" t="n"/>
      <c r="H93" s="23" t="n"/>
      <c r="I93" s="23" t="n"/>
      <c r="J93" s="23" t="n"/>
      <c r="K93" s="23" t="n"/>
      <c r="L93" s="23" t="n"/>
      <c r="M93" s="23" t="n"/>
      <c r="N93" s="23" t="n"/>
    </row>
    <row r="94">
      <c r="A94" s="24">
        <f>IF(F94="","","ANO-"&amp;TEXT(ROW()-1,"000"))</f>
        <v/>
      </c>
      <c r="B94" s="25" t="n"/>
      <c r="C94" s="23" t="n"/>
      <c r="D94" s="23" t="n"/>
      <c r="E94" s="23" t="n"/>
      <c r="F94" s="23" t="n"/>
      <c r="G94" s="23" t="n"/>
      <c r="H94" s="23" t="n"/>
      <c r="I94" s="23" t="n"/>
      <c r="J94" s="23" t="n"/>
      <c r="K94" s="23" t="n"/>
      <c r="L94" s="23" t="n"/>
      <c r="M94" s="23" t="n"/>
      <c r="N94" s="23" t="n"/>
    </row>
    <row r="95">
      <c r="A95" s="24">
        <f>IF(F95="","","ANO-"&amp;TEXT(ROW()-1,"000"))</f>
        <v/>
      </c>
      <c r="B95" s="25" t="n"/>
      <c r="C95" s="23" t="n"/>
      <c r="D95" s="23" t="n"/>
      <c r="E95" s="23" t="n"/>
      <c r="F95" s="23" t="n"/>
      <c r="G95" s="23" t="n"/>
      <c r="H95" s="23" t="n"/>
      <c r="I95" s="23" t="n"/>
      <c r="J95" s="23" t="n"/>
      <c r="K95" s="23" t="n"/>
      <c r="L95" s="23" t="n"/>
      <c r="M95" s="23" t="n"/>
      <c r="N95" s="23" t="n"/>
    </row>
    <row r="96">
      <c r="A96" s="24">
        <f>IF(F96="","","ANO-"&amp;TEXT(ROW()-1,"000"))</f>
        <v/>
      </c>
      <c r="B96" s="25" t="n"/>
      <c r="C96" s="23" t="n"/>
      <c r="D96" s="23" t="n"/>
      <c r="E96" s="23" t="n"/>
      <c r="F96" s="23" t="n"/>
      <c r="G96" s="23" t="n"/>
      <c r="H96" s="23" t="n"/>
      <c r="I96" s="23" t="n"/>
      <c r="J96" s="23" t="n"/>
      <c r="K96" s="23" t="n"/>
      <c r="L96" s="23" t="n"/>
      <c r="M96" s="23" t="n"/>
      <c r="N96" s="23" t="n"/>
    </row>
    <row r="97">
      <c r="A97" s="24">
        <f>IF(F97="","","ANO-"&amp;TEXT(ROW()-1,"000"))</f>
        <v/>
      </c>
      <c r="B97" s="25" t="n"/>
      <c r="C97" s="23" t="n"/>
      <c r="D97" s="23" t="n"/>
      <c r="E97" s="23" t="n"/>
      <c r="F97" s="23" t="n"/>
      <c r="G97" s="23" t="n"/>
      <c r="H97" s="23" t="n"/>
      <c r="I97" s="23" t="n"/>
      <c r="J97" s="23" t="n"/>
      <c r="K97" s="23" t="n"/>
      <c r="L97" s="23" t="n"/>
      <c r="M97" s="23" t="n"/>
      <c r="N97" s="23" t="n"/>
    </row>
    <row r="98">
      <c r="A98" s="24">
        <f>IF(F98="","","ANO-"&amp;TEXT(ROW()-1,"000"))</f>
        <v/>
      </c>
      <c r="B98" s="25" t="n"/>
      <c r="C98" s="23" t="n"/>
      <c r="D98" s="23" t="n"/>
      <c r="E98" s="23" t="n"/>
      <c r="F98" s="23" t="n"/>
      <c r="G98" s="23" t="n"/>
      <c r="H98" s="23" t="n"/>
      <c r="I98" s="23" t="n"/>
      <c r="J98" s="23" t="n"/>
      <c r="K98" s="23" t="n"/>
      <c r="L98" s="23" t="n"/>
      <c r="M98" s="23" t="n"/>
      <c r="N98" s="23" t="n"/>
    </row>
    <row r="99">
      <c r="A99" s="24">
        <f>IF(F99="","","ANO-"&amp;TEXT(ROW()-1,"000"))</f>
        <v/>
      </c>
      <c r="B99" s="25" t="n"/>
      <c r="C99" s="23" t="n"/>
      <c r="D99" s="23" t="n"/>
      <c r="E99" s="23" t="n"/>
      <c r="F99" s="23" t="n"/>
      <c r="G99" s="23" t="n"/>
      <c r="H99" s="23" t="n"/>
      <c r="I99" s="23" t="n"/>
      <c r="J99" s="23" t="n"/>
      <c r="K99" s="23" t="n"/>
      <c r="L99" s="23" t="n"/>
      <c r="M99" s="23" t="n"/>
      <c r="N99" s="23" t="n"/>
    </row>
    <row r="100">
      <c r="A100" s="24">
        <f>IF(F100="","","ANO-"&amp;TEXT(ROW()-1,"000"))</f>
        <v/>
      </c>
      <c r="B100" s="25" t="n"/>
      <c r="C100" s="23" t="n"/>
      <c r="D100" s="23" t="n"/>
      <c r="E100" s="23" t="n"/>
      <c r="F100" s="23" t="n"/>
      <c r="G100" s="23" t="n"/>
      <c r="H100" s="23" t="n"/>
      <c r="I100" s="23" t="n"/>
      <c r="J100" s="23" t="n"/>
      <c r="K100" s="23" t="n"/>
      <c r="L100" s="23" t="n"/>
      <c r="M100" s="23" t="n"/>
      <c r="N100" s="23" t="n"/>
    </row>
    <row r="101">
      <c r="A101" s="24">
        <f>IF(F101="","","ANO-"&amp;TEXT(ROW()-1,"000"))</f>
        <v/>
      </c>
      <c r="B101" s="25" t="n"/>
      <c r="C101" s="23" t="n"/>
      <c r="D101" s="23" t="n"/>
      <c r="E101" s="23" t="n"/>
      <c r="F101" s="23" t="n"/>
      <c r="G101" s="23" t="n"/>
      <c r="H101" s="23" t="n"/>
      <c r="I101" s="23" t="n"/>
      <c r="J101" s="23" t="n"/>
      <c r="K101" s="23" t="n"/>
      <c r="L101" s="23" t="n"/>
      <c r="M101" s="23" t="n"/>
      <c r="N101" s="23" t="n"/>
    </row>
    <row r="102">
      <c r="A102" s="24">
        <f>IF(F102="","","ANO-"&amp;TEXT(ROW()-1,"000"))</f>
        <v/>
      </c>
      <c r="B102" s="25" t="n"/>
      <c r="C102" s="23" t="n"/>
      <c r="D102" s="23" t="n"/>
      <c r="E102" s="23" t="n"/>
      <c r="F102" s="23" t="n"/>
      <c r="G102" s="23" t="n"/>
      <c r="H102" s="23" t="n"/>
      <c r="I102" s="23" t="n"/>
      <c r="J102" s="23" t="n"/>
      <c r="K102" s="23" t="n"/>
      <c r="L102" s="23" t="n"/>
      <c r="M102" s="23" t="n"/>
      <c r="N102" s="23" t="n"/>
    </row>
    <row r="103">
      <c r="A103" s="24">
        <f>IF(F103="","","ANO-"&amp;TEXT(ROW()-1,"000"))</f>
        <v/>
      </c>
      <c r="B103" s="25" t="n"/>
      <c r="C103" s="23" t="n"/>
      <c r="D103" s="23" t="n"/>
      <c r="E103" s="23" t="n"/>
      <c r="F103" s="23" t="n"/>
      <c r="G103" s="23" t="n"/>
      <c r="H103" s="23" t="n"/>
      <c r="I103" s="23" t="n"/>
      <c r="J103" s="23" t="n"/>
      <c r="K103" s="23" t="n"/>
      <c r="L103" s="23" t="n"/>
      <c r="M103" s="23" t="n"/>
      <c r="N103" s="23" t="n"/>
    </row>
    <row r="104">
      <c r="A104" s="24">
        <f>IF(F104="","","ANO-"&amp;TEXT(ROW()-1,"000"))</f>
        <v/>
      </c>
      <c r="B104" s="25" t="n"/>
      <c r="C104" s="23" t="n"/>
      <c r="D104" s="23" t="n"/>
      <c r="E104" s="23" t="n"/>
      <c r="F104" s="23" t="n"/>
      <c r="G104" s="23" t="n"/>
      <c r="H104" s="23" t="n"/>
      <c r="I104" s="23" t="n"/>
      <c r="J104" s="23" t="n"/>
      <c r="K104" s="23" t="n"/>
      <c r="L104" s="23" t="n"/>
      <c r="M104" s="23" t="n"/>
      <c r="N104" s="23" t="n"/>
    </row>
    <row r="105">
      <c r="A105" s="24">
        <f>IF(F105="","","ANO-"&amp;TEXT(ROW()-1,"000"))</f>
        <v/>
      </c>
      <c r="B105" s="25" t="n"/>
      <c r="C105" s="23" t="n"/>
      <c r="D105" s="23" t="n"/>
      <c r="E105" s="23" t="n"/>
      <c r="F105" s="23" t="n"/>
      <c r="G105" s="23" t="n"/>
      <c r="H105" s="23" t="n"/>
      <c r="I105" s="23" t="n"/>
      <c r="J105" s="23" t="n"/>
      <c r="K105" s="23" t="n"/>
      <c r="L105" s="23" t="n"/>
      <c r="M105" s="23" t="n"/>
      <c r="N105" s="23" t="n"/>
    </row>
    <row r="106">
      <c r="A106" s="24">
        <f>IF(F106="","","ANO-"&amp;TEXT(ROW()-1,"000"))</f>
        <v/>
      </c>
      <c r="B106" s="25" t="n"/>
      <c r="C106" s="23" t="n"/>
      <c r="D106" s="23" t="n"/>
      <c r="E106" s="23" t="n"/>
      <c r="F106" s="23" t="n"/>
      <c r="G106" s="23" t="n"/>
      <c r="H106" s="23" t="n"/>
      <c r="I106" s="23" t="n"/>
      <c r="J106" s="23" t="n"/>
      <c r="K106" s="23" t="n"/>
      <c r="L106" s="23" t="n"/>
      <c r="M106" s="23" t="n"/>
      <c r="N106" s="23" t="n"/>
    </row>
    <row r="107">
      <c r="A107" s="24">
        <f>IF(F107="","","ANO-"&amp;TEXT(ROW()-1,"000"))</f>
        <v/>
      </c>
      <c r="B107" s="25" t="n"/>
      <c r="C107" s="23" t="n"/>
      <c r="D107" s="23" t="n"/>
      <c r="E107" s="23" t="n"/>
      <c r="F107" s="23" t="n"/>
      <c r="G107" s="23" t="n"/>
      <c r="H107" s="23" t="n"/>
      <c r="I107" s="23" t="n"/>
      <c r="J107" s="23" t="n"/>
      <c r="K107" s="23" t="n"/>
      <c r="L107" s="23" t="n"/>
      <c r="M107" s="23" t="n"/>
      <c r="N107" s="23" t="n"/>
    </row>
    <row r="108">
      <c r="A108" s="24">
        <f>IF(F108="","","ANO-"&amp;TEXT(ROW()-1,"000"))</f>
        <v/>
      </c>
      <c r="B108" s="25" t="n"/>
      <c r="C108" s="23" t="n"/>
      <c r="D108" s="23" t="n"/>
      <c r="E108" s="23" t="n"/>
      <c r="F108" s="23" t="n"/>
      <c r="G108" s="23" t="n"/>
      <c r="H108" s="23" t="n"/>
      <c r="I108" s="23" t="n"/>
      <c r="J108" s="23" t="n"/>
      <c r="K108" s="23" t="n"/>
      <c r="L108" s="23" t="n"/>
      <c r="M108" s="23" t="n"/>
      <c r="N108" s="23" t="n"/>
    </row>
    <row r="109">
      <c r="A109" s="24">
        <f>IF(F109="","","ANO-"&amp;TEXT(ROW()-1,"000"))</f>
        <v/>
      </c>
      <c r="B109" s="25" t="n"/>
      <c r="C109" s="23" t="n"/>
      <c r="D109" s="23" t="n"/>
      <c r="E109" s="23" t="n"/>
      <c r="F109" s="23" t="n"/>
      <c r="G109" s="23" t="n"/>
      <c r="H109" s="23" t="n"/>
      <c r="I109" s="23" t="n"/>
      <c r="J109" s="23" t="n"/>
      <c r="K109" s="23" t="n"/>
      <c r="L109" s="23" t="n"/>
      <c r="M109" s="23" t="n"/>
      <c r="N109" s="23" t="n"/>
    </row>
    <row r="110">
      <c r="A110" s="24">
        <f>IF(F110="","","ANO-"&amp;TEXT(ROW()-1,"000"))</f>
        <v/>
      </c>
      <c r="B110" s="25" t="n"/>
      <c r="C110" s="23" t="n"/>
      <c r="D110" s="23" t="n"/>
      <c r="E110" s="23" t="n"/>
      <c r="F110" s="23" t="n"/>
      <c r="G110" s="23" t="n"/>
      <c r="H110" s="23" t="n"/>
      <c r="I110" s="23" t="n"/>
      <c r="J110" s="23" t="n"/>
      <c r="K110" s="23" t="n"/>
      <c r="L110" s="23" t="n"/>
      <c r="M110" s="23" t="n"/>
      <c r="N110" s="23" t="n"/>
    </row>
    <row r="111">
      <c r="A111" s="24">
        <f>IF(F111="","","ANO-"&amp;TEXT(ROW()-1,"000"))</f>
        <v/>
      </c>
      <c r="B111" s="25" t="n"/>
      <c r="C111" s="23" t="n"/>
      <c r="D111" s="23" t="n"/>
      <c r="E111" s="23" t="n"/>
      <c r="F111" s="23" t="n"/>
      <c r="G111" s="23" t="n"/>
      <c r="H111" s="23" t="n"/>
      <c r="I111" s="23" t="n"/>
      <c r="J111" s="23" t="n"/>
      <c r="K111" s="23" t="n"/>
      <c r="L111" s="23" t="n"/>
      <c r="M111" s="23" t="n"/>
      <c r="N111" s="23" t="n"/>
    </row>
    <row r="112">
      <c r="A112" s="24">
        <f>IF(F112="","","ANO-"&amp;TEXT(ROW()-1,"000"))</f>
        <v/>
      </c>
      <c r="B112" s="25" t="n"/>
      <c r="C112" s="23" t="n"/>
      <c r="D112" s="23" t="n"/>
      <c r="E112" s="23" t="n"/>
      <c r="F112" s="23" t="n"/>
      <c r="G112" s="23" t="n"/>
      <c r="H112" s="23" t="n"/>
      <c r="I112" s="23" t="n"/>
      <c r="J112" s="23" t="n"/>
      <c r="K112" s="23" t="n"/>
      <c r="L112" s="23" t="n"/>
      <c r="M112" s="23" t="n"/>
      <c r="N112" s="23" t="n"/>
    </row>
    <row r="113">
      <c r="A113" s="24">
        <f>IF(F113="","","ANO-"&amp;TEXT(ROW()-1,"000"))</f>
        <v/>
      </c>
      <c r="B113" s="25" t="n"/>
      <c r="C113" s="23" t="n"/>
      <c r="D113" s="23" t="n"/>
      <c r="E113" s="23" t="n"/>
      <c r="F113" s="23" t="n"/>
      <c r="G113" s="23" t="n"/>
      <c r="H113" s="23" t="n"/>
      <c r="I113" s="23" t="n"/>
      <c r="J113" s="23" t="n"/>
      <c r="K113" s="23" t="n"/>
      <c r="L113" s="23" t="n"/>
      <c r="M113" s="23" t="n"/>
      <c r="N113" s="23" t="n"/>
    </row>
    <row r="114">
      <c r="A114" s="24">
        <f>IF(F114="","","ANO-"&amp;TEXT(ROW()-1,"000"))</f>
        <v/>
      </c>
      <c r="B114" s="25" t="n"/>
      <c r="C114" s="23" t="n"/>
      <c r="D114" s="23" t="n"/>
      <c r="E114" s="23" t="n"/>
      <c r="F114" s="23" t="n"/>
      <c r="G114" s="23" t="n"/>
      <c r="H114" s="23" t="n"/>
      <c r="I114" s="23" t="n"/>
      <c r="J114" s="23" t="n"/>
      <c r="K114" s="23" t="n"/>
      <c r="L114" s="23" t="n"/>
      <c r="M114" s="23" t="n"/>
      <c r="N114" s="23" t="n"/>
    </row>
    <row r="115">
      <c r="A115" s="24">
        <f>IF(F115="","","ANO-"&amp;TEXT(ROW()-1,"000"))</f>
        <v/>
      </c>
      <c r="B115" s="25" t="n"/>
      <c r="C115" s="23" t="n"/>
      <c r="D115" s="23" t="n"/>
      <c r="E115" s="23" t="n"/>
      <c r="F115" s="23" t="n"/>
      <c r="G115" s="23" t="n"/>
      <c r="H115" s="23" t="n"/>
      <c r="I115" s="23" t="n"/>
      <c r="J115" s="23" t="n"/>
      <c r="K115" s="23" t="n"/>
      <c r="L115" s="23" t="n"/>
      <c r="M115" s="23" t="n"/>
      <c r="N115" s="23" t="n"/>
    </row>
    <row r="116">
      <c r="A116" s="24">
        <f>IF(F116="","","ANO-"&amp;TEXT(ROW()-1,"000"))</f>
        <v/>
      </c>
      <c r="B116" s="25" t="n"/>
      <c r="C116" s="23" t="n"/>
      <c r="D116" s="23" t="n"/>
      <c r="E116" s="23" t="n"/>
      <c r="F116" s="23" t="n"/>
      <c r="G116" s="23" t="n"/>
      <c r="H116" s="23" t="n"/>
      <c r="I116" s="23" t="n"/>
      <c r="J116" s="23" t="n"/>
      <c r="K116" s="23" t="n"/>
      <c r="L116" s="23" t="n"/>
      <c r="M116" s="23" t="n"/>
      <c r="N116" s="23" t="n"/>
    </row>
    <row r="117">
      <c r="A117" s="24">
        <f>IF(F117="","","ANO-"&amp;TEXT(ROW()-1,"000"))</f>
        <v/>
      </c>
      <c r="B117" s="25" t="n"/>
      <c r="C117" s="23" t="n"/>
      <c r="D117" s="23" t="n"/>
      <c r="E117" s="23" t="n"/>
      <c r="F117" s="23" t="n"/>
      <c r="G117" s="23" t="n"/>
      <c r="H117" s="23" t="n"/>
      <c r="I117" s="23" t="n"/>
      <c r="J117" s="23" t="n"/>
      <c r="K117" s="23" t="n"/>
      <c r="L117" s="23" t="n"/>
      <c r="M117" s="23" t="n"/>
      <c r="N117" s="23" t="n"/>
    </row>
    <row r="118">
      <c r="A118" s="24">
        <f>IF(F118="","","ANO-"&amp;TEXT(ROW()-1,"000"))</f>
        <v/>
      </c>
      <c r="B118" s="25" t="n"/>
      <c r="C118" s="23" t="n"/>
      <c r="D118" s="23" t="n"/>
      <c r="E118" s="23" t="n"/>
      <c r="F118" s="23" t="n"/>
      <c r="G118" s="23" t="n"/>
      <c r="H118" s="23" t="n"/>
      <c r="I118" s="23" t="n"/>
      <c r="J118" s="23" t="n"/>
      <c r="K118" s="23" t="n"/>
      <c r="L118" s="23" t="n"/>
      <c r="M118" s="23" t="n"/>
      <c r="N118" s="23" t="n"/>
    </row>
    <row r="119">
      <c r="A119" s="24">
        <f>IF(F119="","","ANO-"&amp;TEXT(ROW()-1,"000"))</f>
        <v/>
      </c>
      <c r="B119" s="25" t="n"/>
      <c r="C119" s="23" t="n"/>
      <c r="D119" s="23" t="n"/>
      <c r="E119" s="23" t="n"/>
      <c r="F119" s="23" t="n"/>
      <c r="G119" s="23" t="n"/>
      <c r="H119" s="23" t="n"/>
      <c r="I119" s="23" t="n"/>
      <c r="J119" s="23" t="n"/>
      <c r="K119" s="23" t="n"/>
      <c r="L119" s="23" t="n"/>
      <c r="M119" s="23" t="n"/>
      <c r="N119" s="23" t="n"/>
    </row>
    <row r="120">
      <c r="A120" s="24">
        <f>IF(F120="","","ANO-"&amp;TEXT(ROW()-1,"000"))</f>
        <v/>
      </c>
      <c r="B120" s="25" t="n"/>
      <c r="C120" s="23" t="n"/>
      <c r="D120" s="23" t="n"/>
      <c r="E120" s="23" t="n"/>
      <c r="F120" s="23" t="n"/>
      <c r="G120" s="23" t="n"/>
      <c r="H120" s="23" t="n"/>
      <c r="I120" s="23" t="n"/>
      <c r="J120" s="23" t="n"/>
      <c r="K120" s="23" t="n"/>
      <c r="L120" s="23" t="n"/>
      <c r="M120" s="23" t="n"/>
      <c r="N120" s="23" t="n"/>
    </row>
    <row r="121">
      <c r="A121" s="24">
        <f>IF(F121="","","ANO-"&amp;TEXT(ROW()-1,"000"))</f>
        <v/>
      </c>
      <c r="B121" s="25" t="n"/>
      <c r="C121" s="23" t="n"/>
      <c r="D121" s="23" t="n"/>
      <c r="E121" s="23" t="n"/>
      <c r="F121" s="23" t="n"/>
      <c r="G121" s="23" t="n"/>
      <c r="H121" s="23" t="n"/>
      <c r="I121" s="23" t="n"/>
      <c r="J121" s="23" t="n"/>
      <c r="K121" s="23" t="n"/>
      <c r="L121" s="23" t="n"/>
      <c r="M121" s="23" t="n"/>
      <c r="N121" s="23" t="n"/>
    </row>
    <row r="122">
      <c r="A122" s="24">
        <f>IF(F122="","","ANO-"&amp;TEXT(ROW()-1,"000"))</f>
        <v/>
      </c>
      <c r="B122" s="25" t="n"/>
      <c r="C122" s="23" t="n"/>
      <c r="D122" s="23" t="n"/>
      <c r="E122" s="23" t="n"/>
      <c r="F122" s="23" t="n"/>
      <c r="G122" s="23" t="n"/>
      <c r="H122" s="23" t="n"/>
      <c r="I122" s="23" t="n"/>
      <c r="J122" s="23" t="n"/>
      <c r="K122" s="23" t="n"/>
      <c r="L122" s="23" t="n"/>
      <c r="M122" s="23" t="n"/>
      <c r="N122" s="23" t="n"/>
    </row>
    <row r="123">
      <c r="A123" s="24">
        <f>IF(F123="","","ANO-"&amp;TEXT(ROW()-1,"000"))</f>
        <v/>
      </c>
      <c r="B123" s="25" t="n"/>
      <c r="C123" s="23" t="n"/>
      <c r="D123" s="23" t="n"/>
      <c r="E123" s="23" t="n"/>
      <c r="F123" s="23" t="n"/>
      <c r="G123" s="23" t="n"/>
      <c r="H123" s="23" t="n"/>
      <c r="I123" s="23" t="n"/>
      <c r="J123" s="23" t="n"/>
      <c r="K123" s="23" t="n"/>
      <c r="L123" s="23" t="n"/>
      <c r="M123" s="23" t="n"/>
      <c r="N123" s="23" t="n"/>
    </row>
    <row r="124">
      <c r="A124" s="24">
        <f>IF(F124="","","ANO-"&amp;TEXT(ROW()-1,"000"))</f>
        <v/>
      </c>
      <c r="B124" s="25" t="n"/>
      <c r="C124" s="23" t="n"/>
      <c r="D124" s="23" t="n"/>
      <c r="E124" s="23" t="n"/>
      <c r="F124" s="23" t="n"/>
      <c r="G124" s="23" t="n"/>
      <c r="H124" s="23" t="n"/>
      <c r="I124" s="23" t="n"/>
      <c r="J124" s="23" t="n"/>
      <c r="K124" s="23" t="n"/>
      <c r="L124" s="23" t="n"/>
      <c r="M124" s="23" t="n"/>
      <c r="N124" s="23" t="n"/>
    </row>
    <row r="125">
      <c r="A125" s="24">
        <f>IF(F125="","","ANO-"&amp;TEXT(ROW()-1,"000"))</f>
        <v/>
      </c>
      <c r="B125" s="25" t="n"/>
      <c r="C125" s="23" t="n"/>
      <c r="D125" s="23" t="n"/>
      <c r="E125" s="23" t="n"/>
      <c r="F125" s="23" t="n"/>
      <c r="G125" s="23" t="n"/>
      <c r="H125" s="23" t="n"/>
      <c r="I125" s="23" t="n"/>
      <c r="J125" s="23" t="n"/>
      <c r="K125" s="23" t="n"/>
      <c r="L125" s="23" t="n"/>
      <c r="M125" s="23" t="n"/>
      <c r="N125" s="23" t="n"/>
    </row>
    <row r="126">
      <c r="A126" s="24">
        <f>IF(F126="","","ANO-"&amp;TEXT(ROW()-1,"000"))</f>
        <v/>
      </c>
      <c r="B126" s="25" t="n"/>
      <c r="C126" s="23" t="n"/>
      <c r="D126" s="23" t="n"/>
      <c r="E126" s="23" t="n"/>
      <c r="F126" s="23" t="n"/>
      <c r="G126" s="23" t="n"/>
      <c r="H126" s="23" t="n"/>
      <c r="I126" s="23" t="n"/>
      <c r="J126" s="23" t="n"/>
      <c r="K126" s="23" t="n"/>
      <c r="L126" s="23" t="n"/>
      <c r="M126" s="23" t="n"/>
      <c r="N126" s="23" t="n"/>
    </row>
    <row r="127">
      <c r="A127" s="24">
        <f>IF(F127="","","ANO-"&amp;TEXT(ROW()-1,"000"))</f>
        <v/>
      </c>
      <c r="B127" s="25" t="n"/>
      <c r="C127" s="23" t="n"/>
      <c r="D127" s="23" t="n"/>
      <c r="E127" s="23" t="n"/>
      <c r="F127" s="23" t="n"/>
      <c r="G127" s="23" t="n"/>
      <c r="H127" s="23" t="n"/>
      <c r="I127" s="23" t="n"/>
      <c r="J127" s="23" t="n"/>
      <c r="K127" s="23" t="n"/>
      <c r="L127" s="23" t="n"/>
      <c r="M127" s="23" t="n"/>
      <c r="N127" s="23" t="n"/>
    </row>
    <row r="128">
      <c r="A128" s="24">
        <f>IF(F128="","","ANO-"&amp;TEXT(ROW()-1,"000"))</f>
        <v/>
      </c>
      <c r="B128" s="25" t="n"/>
      <c r="C128" s="23" t="n"/>
      <c r="D128" s="23" t="n"/>
      <c r="E128" s="23" t="n"/>
      <c r="F128" s="23" t="n"/>
      <c r="G128" s="23" t="n"/>
      <c r="H128" s="23" t="n"/>
      <c r="I128" s="23" t="n"/>
      <c r="J128" s="23" t="n"/>
      <c r="K128" s="23" t="n"/>
      <c r="L128" s="23" t="n"/>
      <c r="M128" s="23" t="n"/>
      <c r="N128" s="23" t="n"/>
    </row>
    <row r="129">
      <c r="A129" s="24">
        <f>IF(F129="","","ANO-"&amp;TEXT(ROW()-1,"000"))</f>
        <v/>
      </c>
      <c r="B129" s="25" t="n"/>
      <c r="C129" s="23" t="n"/>
      <c r="D129" s="23" t="n"/>
      <c r="E129" s="23" t="n"/>
      <c r="F129" s="23" t="n"/>
      <c r="G129" s="23" t="n"/>
      <c r="H129" s="23" t="n"/>
      <c r="I129" s="23" t="n"/>
      <c r="J129" s="23" t="n"/>
      <c r="K129" s="23" t="n"/>
      <c r="L129" s="23" t="n"/>
      <c r="M129" s="23" t="n"/>
      <c r="N129" s="23" t="n"/>
    </row>
    <row r="130">
      <c r="A130" s="24">
        <f>IF(F130="","","ANO-"&amp;TEXT(ROW()-1,"000"))</f>
        <v/>
      </c>
      <c r="B130" s="25" t="n"/>
      <c r="C130" s="23" t="n"/>
      <c r="D130" s="23" t="n"/>
      <c r="E130" s="23" t="n"/>
      <c r="F130" s="23" t="n"/>
      <c r="G130" s="23" t="n"/>
      <c r="H130" s="23" t="n"/>
      <c r="I130" s="23" t="n"/>
      <c r="J130" s="23" t="n"/>
      <c r="K130" s="23" t="n"/>
      <c r="L130" s="23" t="n"/>
      <c r="M130" s="23" t="n"/>
      <c r="N130" s="23" t="n"/>
    </row>
    <row r="131">
      <c r="A131" s="24">
        <f>IF(F131="","","ANO-"&amp;TEXT(ROW()-1,"000"))</f>
        <v/>
      </c>
      <c r="B131" s="25" t="n"/>
      <c r="C131" s="23" t="n"/>
      <c r="D131" s="23" t="n"/>
      <c r="E131" s="23" t="n"/>
      <c r="F131" s="23" t="n"/>
      <c r="G131" s="23" t="n"/>
      <c r="H131" s="23" t="n"/>
      <c r="I131" s="23" t="n"/>
      <c r="J131" s="23" t="n"/>
      <c r="K131" s="23" t="n"/>
      <c r="L131" s="23" t="n"/>
      <c r="M131" s="23" t="n"/>
      <c r="N131" s="23" t="n"/>
    </row>
    <row r="132">
      <c r="A132" s="24">
        <f>IF(F132="","","ANO-"&amp;TEXT(ROW()-1,"000"))</f>
        <v/>
      </c>
      <c r="B132" s="25" t="n"/>
      <c r="C132" s="23" t="n"/>
      <c r="D132" s="23" t="n"/>
      <c r="E132" s="23" t="n"/>
      <c r="F132" s="23" t="n"/>
      <c r="G132" s="23" t="n"/>
      <c r="H132" s="23" t="n"/>
      <c r="I132" s="23" t="n"/>
      <c r="J132" s="23" t="n"/>
      <c r="K132" s="23" t="n"/>
      <c r="L132" s="23" t="n"/>
      <c r="M132" s="23" t="n"/>
      <c r="N132" s="23" t="n"/>
    </row>
    <row r="133">
      <c r="A133" s="24">
        <f>IF(F133="","","ANO-"&amp;TEXT(ROW()-1,"000"))</f>
        <v/>
      </c>
      <c r="B133" s="25" t="n"/>
      <c r="C133" s="23" t="n"/>
      <c r="D133" s="23" t="n"/>
      <c r="E133" s="23" t="n"/>
      <c r="F133" s="23" t="n"/>
      <c r="G133" s="23" t="n"/>
      <c r="H133" s="23" t="n"/>
      <c r="I133" s="23" t="n"/>
      <c r="J133" s="23" t="n"/>
      <c r="K133" s="23" t="n"/>
      <c r="L133" s="23" t="n"/>
      <c r="M133" s="23" t="n"/>
      <c r="N133" s="23" t="n"/>
    </row>
    <row r="134">
      <c r="A134" s="24">
        <f>IF(F134="","","ANO-"&amp;TEXT(ROW()-1,"000"))</f>
        <v/>
      </c>
      <c r="B134" s="25" t="n"/>
      <c r="C134" s="23" t="n"/>
      <c r="D134" s="23" t="n"/>
      <c r="E134" s="23" t="n"/>
      <c r="F134" s="23" t="n"/>
      <c r="G134" s="23" t="n"/>
      <c r="H134" s="23" t="n"/>
      <c r="I134" s="23" t="n"/>
      <c r="J134" s="23" t="n"/>
      <c r="K134" s="23" t="n"/>
      <c r="L134" s="23" t="n"/>
      <c r="M134" s="23" t="n"/>
      <c r="N134" s="23" t="n"/>
    </row>
    <row r="135">
      <c r="A135" s="24">
        <f>IF(F135="","","ANO-"&amp;TEXT(ROW()-1,"000"))</f>
        <v/>
      </c>
      <c r="B135" s="25" t="n"/>
      <c r="C135" s="23" t="n"/>
      <c r="D135" s="23" t="n"/>
      <c r="E135" s="23" t="n"/>
      <c r="F135" s="23" t="n"/>
      <c r="G135" s="23" t="n"/>
      <c r="H135" s="23" t="n"/>
      <c r="I135" s="23" t="n"/>
      <c r="J135" s="23" t="n"/>
      <c r="K135" s="23" t="n"/>
      <c r="L135" s="23" t="n"/>
      <c r="M135" s="23" t="n"/>
      <c r="N135" s="23" t="n"/>
    </row>
    <row r="136">
      <c r="A136" s="24">
        <f>IF(F136="","","ANO-"&amp;TEXT(ROW()-1,"000"))</f>
        <v/>
      </c>
      <c r="B136" s="25" t="n"/>
      <c r="C136" s="23" t="n"/>
      <c r="D136" s="23" t="n"/>
      <c r="E136" s="23" t="n"/>
      <c r="F136" s="23" t="n"/>
      <c r="G136" s="23" t="n"/>
      <c r="H136" s="23" t="n"/>
      <c r="I136" s="23" t="n"/>
      <c r="J136" s="23" t="n"/>
      <c r="K136" s="23" t="n"/>
      <c r="L136" s="23" t="n"/>
      <c r="M136" s="23" t="n"/>
      <c r="N136" s="23" t="n"/>
    </row>
    <row r="137">
      <c r="A137" s="24">
        <f>IF(F137="","","ANO-"&amp;TEXT(ROW()-1,"000"))</f>
        <v/>
      </c>
      <c r="B137" s="25" t="n"/>
      <c r="C137" s="23" t="n"/>
      <c r="D137" s="23" t="n"/>
      <c r="E137" s="23" t="n"/>
      <c r="F137" s="23" t="n"/>
      <c r="G137" s="23" t="n"/>
      <c r="H137" s="23" t="n"/>
      <c r="I137" s="23" t="n"/>
      <c r="J137" s="23" t="n"/>
      <c r="K137" s="23" t="n"/>
      <c r="L137" s="23" t="n"/>
      <c r="M137" s="23" t="n"/>
      <c r="N137" s="23" t="n"/>
    </row>
    <row r="138">
      <c r="A138" s="24">
        <f>IF(F138="","","ANO-"&amp;TEXT(ROW()-1,"000"))</f>
        <v/>
      </c>
      <c r="B138" s="25" t="n"/>
      <c r="C138" s="23" t="n"/>
      <c r="D138" s="23" t="n"/>
      <c r="E138" s="23" t="n"/>
      <c r="F138" s="23" t="n"/>
      <c r="G138" s="23" t="n"/>
      <c r="H138" s="23" t="n"/>
      <c r="I138" s="23" t="n"/>
      <c r="J138" s="23" t="n"/>
      <c r="K138" s="23" t="n"/>
      <c r="L138" s="23" t="n"/>
      <c r="M138" s="23" t="n"/>
      <c r="N138" s="23" t="n"/>
    </row>
    <row r="139">
      <c r="A139" s="24">
        <f>IF(F139="","","ANO-"&amp;TEXT(ROW()-1,"000"))</f>
        <v/>
      </c>
      <c r="B139" s="25" t="n"/>
      <c r="C139" s="23" t="n"/>
      <c r="D139" s="23" t="n"/>
      <c r="E139" s="23" t="n"/>
      <c r="F139" s="23" t="n"/>
      <c r="G139" s="23" t="n"/>
      <c r="H139" s="23" t="n"/>
      <c r="I139" s="23" t="n"/>
      <c r="J139" s="23" t="n"/>
      <c r="K139" s="23" t="n"/>
      <c r="L139" s="23" t="n"/>
      <c r="M139" s="23" t="n"/>
      <c r="N139" s="23" t="n"/>
    </row>
    <row r="140">
      <c r="A140" s="24">
        <f>IF(F140="","","ANO-"&amp;TEXT(ROW()-1,"000"))</f>
        <v/>
      </c>
      <c r="B140" s="25" t="n"/>
      <c r="C140" s="23" t="n"/>
      <c r="D140" s="23" t="n"/>
      <c r="E140" s="23" t="n"/>
      <c r="F140" s="23" t="n"/>
      <c r="G140" s="23" t="n"/>
      <c r="H140" s="23" t="n"/>
      <c r="I140" s="23" t="n"/>
      <c r="J140" s="23" t="n"/>
      <c r="K140" s="23" t="n"/>
      <c r="L140" s="23" t="n"/>
      <c r="M140" s="23" t="n"/>
      <c r="N140" s="23" t="n"/>
    </row>
    <row r="141">
      <c r="A141" s="24">
        <f>IF(F141="","","ANO-"&amp;TEXT(ROW()-1,"000"))</f>
        <v/>
      </c>
      <c r="B141" s="25" t="n"/>
      <c r="C141" s="23" t="n"/>
      <c r="D141" s="23" t="n"/>
      <c r="E141" s="23" t="n"/>
      <c r="F141" s="23" t="n"/>
      <c r="G141" s="23" t="n"/>
      <c r="H141" s="23" t="n"/>
      <c r="I141" s="23" t="n"/>
      <c r="J141" s="23" t="n"/>
      <c r="K141" s="23" t="n"/>
      <c r="L141" s="23" t="n"/>
      <c r="M141" s="23" t="n"/>
      <c r="N141" s="23" t="n"/>
    </row>
    <row r="142">
      <c r="A142" s="24">
        <f>IF(F142="","","ANO-"&amp;TEXT(ROW()-1,"000"))</f>
        <v/>
      </c>
      <c r="B142" s="25" t="n"/>
      <c r="C142" s="23" t="n"/>
      <c r="D142" s="23" t="n"/>
      <c r="E142" s="23" t="n"/>
      <c r="F142" s="23" t="n"/>
      <c r="G142" s="23" t="n"/>
      <c r="H142" s="23" t="n"/>
      <c r="I142" s="23" t="n"/>
      <c r="J142" s="23" t="n"/>
      <c r="K142" s="23" t="n"/>
      <c r="L142" s="23" t="n"/>
      <c r="M142" s="23" t="n"/>
      <c r="N142" s="23" t="n"/>
    </row>
    <row r="143">
      <c r="A143" s="24">
        <f>IF(F143="","","ANO-"&amp;TEXT(ROW()-1,"000"))</f>
        <v/>
      </c>
      <c r="B143" s="25" t="n"/>
      <c r="C143" s="23" t="n"/>
      <c r="D143" s="23" t="n"/>
      <c r="E143" s="23" t="n"/>
      <c r="F143" s="23" t="n"/>
      <c r="G143" s="23" t="n"/>
      <c r="H143" s="23" t="n"/>
      <c r="I143" s="23" t="n"/>
      <c r="J143" s="23" t="n"/>
      <c r="K143" s="23" t="n"/>
      <c r="L143" s="23" t="n"/>
      <c r="M143" s="23" t="n"/>
      <c r="N143" s="23" t="n"/>
    </row>
    <row r="144">
      <c r="A144" s="24">
        <f>IF(F144="","","ANO-"&amp;TEXT(ROW()-1,"000"))</f>
        <v/>
      </c>
      <c r="B144" s="25" t="n"/>
      <c r="C144" s="23" t="n"/>
      <c r="D144" s="23" t="n"/>
      <c r="E144" s="23" t="n"/>
      <c r="F144" s="23" t="n"/>
      <c r="G144" s="23" t="n"/>
      <c r="H144" s="23" t="n"/>
      <c r="I144" s="23" t="n"/>
      <c r="J144" s="23" t="n"/>
      <c r="K144" s="23" t="n"/>
      <c r="L144" s="23" t="n"/>
      <c r="M144" s="23" t="n"/>
      <c r="N144" s="23" t="n"/>
    </row>
    <row r="145">
      <c r="A145" s="24">
        <f>IF(F145="","","ANO-"&amp;TEXT(ROW()-1,"000"))</f>
        <v/>
      </c>
      <c r="B145" s="25" t="n"/>
      <c r="C145" s="23" t="n"/>
      <c r="D145" s="23" t="n"/>
      <c r="E145" s="23" t="n"/>
      <c r="F145" s="23" t="n"/>
      <c r="G145" s="23" t="n"/>
      <c r="H145" s="23" t="n"/>
      <c r="I145" s="23" t="n"/>
      <c r="J145" s="23" t="n"/>
      <c r="K145" s="23" t="n"/>
      <c r="L145" s="23" t="n"/>
      <c r="M145" s="23" t="n"/>
      <c r="N145" s="23" t="n"/>
    </row>
    <row r="146">
      <c r="A146" s="24">
        <f>IF(F146="","","ANO-"&amp;TEXT(ROW()-1,"000"))</f>
        <v/>
      </c>
      <c r="B146" s="25" t="n"/>
      <c r="C146" s="23" t="n"/>
      <c r="D146" s="23" t="n"/>
      <c r="E146" s="23" t="n"/>
      <c r="F146" s="23" t="n"/>
      <c r="G146" s="23" t="n"/>
      <c r="H146" s="23" t="n"/>
      <c r="I146" s="23" t="n"/>
      <c r="J146" s="23" t="n"/>
      <c r="K146" s="23" t="n"/>
      <c r="L146" s="23" t="n"/>
      <c r="M146" s="23" t="n"/>
      <c r="N146" s="23" t="n"/>
    </row>
    <row r="147">
      <c r="A147" s="24">
        <f>IF(F147="","","ANO-"&amp;TEXT(ROW()-1,"000"))</f>
        <v/>
      </c>
      <c r="B147" s="25" t="n"/>
      <c r="C147" s="23" t="n"/>
      <c r="D147" s="23" t="n"/>
      <c r="E147" s="23" t="n"/>
      <c r="F147" s="23" t="n"/>
      <c r="G147" s="23" t="n"/>
      <c r="H147" s="23" t="n"/>
      <c r="I147" s="23" t="n"/>
      <c r="J147" s="23" t="n"/>
      <c r="K147" s="23" t="n"/>
      <c r="L147" s="23" t="n"/>
      <c r="M147" s="23" t="n"/>
      <c r="N147" s="23" t="n"/>
    </row>
    <row r="148">
      <c r="A148" s="24">
        <f>IF(F148="","","ANO-"&amp;TEXT(ROW()-1,"000"))</f>
        <v/>
      </c>
      <c r="B148" s="25" t="n"/>
      <c r="C148" s="23" t="n"/>
      <c r="D148" s="23" t="n"/>
      <c r="E148" s="23" t="n"/>
      <c r="F148" s="23" t="n"/>
      <c r="G148" s="23" t="n"/>
      <c r="H148" s="23" t="n"/>
      <c r="I148" s="23" t="n"/>
      <c r="J148" s="23" t="n"/>
      <c r="K148" s="23" t="n"/>
      <c r="L148" s="23" t="n"/>
      <c r="M148" s="23" t="n"/>
      <c r="N148" s="23" t="n"/>
    </row>
    <row r="149">
      <c r="A149" s="24">
        <f>IF(F149="","","ANO-"&amp;TEXT(ROW()-1,"000"))</f>
        <v/>
      </c>
      <c r="B149" s="25" t="n"/>
      <c r="C149" s="23" t="n"/>
      <c r="D149" s="23" t="n"/>
      <c r="E149" s="23" t="n"/>
      <c r="F149" s="23" t="n"/>
      <c r="G149" s="23" t="n"/>
      <c r="H149" s="23" t="n"/>
      <c r="I149" s="23" t="n"/>
      <c r="J149" s="23" t="n"/>
      <c r="K149" s="23" t="n"/>
      <c r="L149" s="23" t="n"/>
      <c r="M149" s="23" t="n"/>
      <c r="N149" s="23" t="n"/>
    </row>
    <row r="150">
      <c r="A150" s="24">
        <f>IF(F150="","","ANO-"&amp;TEXT(ROW()-1,"000"))</f>
        <v/>
      </c>
      <c r="B150" s="25" t="n"/>
      <c r="C150" s="23" t="n"/>
      <c r="D150" s="23" t="n"/>
      <c r="E150" s="23" t="n"/>
      <c r="F150" s="23" t="n"/>
      <c r="G150" s="23" t="n"/>
      <c r="H150" s="23" t="n"/>
      <c r="I150" s="23" t="n"/>
      <c r="J150" s="23" t="n"/>
      <c r="K150" s="23" t="n"/>
      <c r="L150" s="23" t="n"/>
      <c r="M150" s="23" t="n"/>
      <c r="N150" s="23" t="n"/>
    </row>
    <row r="151">
      <c r="A151" s="24">
        <f>IF(F151="","","ANO-"&amp;TEXT(ROW()-1,"000"))</f>
        <v/>
      </c>
      <c r="B151" s="25" t="n"/>
      <c r="C151" s="23" t="n"/>
      <c r="D151" s="23" t="n"/>
      <c r="E151" s="23" t="n"/>
      <c r="F151" s="23" t="n"/>
      <c r="G151" s="23" t="n"/>
      <c r="H151" s="23" t="n"/>
      <c r="I151" s="23" t="n"/>
      <c r="J151" s="23" t="n"/>
      <c r="K151" s="23" t="n"/>
      <c r="L151" s="23" t="n"/>
      <c r="M151" s="23" t="n"/>
      <c r="N151" s="23" t="n"/>
    </row>
    <row r="152">
      <c r="A152" s="24">
        <f>IF(F152="","","ANO-"&amp;TEXT(ROW()-1,"000"))</f>
        <v/>
      </c>
      <c r="B152" s="25" t="n"/>
      <c r="C152" s="23" t="n"/>
      <c r="D152" s="23" t="n"/>
      <c r="E152" s="23" t="n"/>
      <c r="F152" s="23" t="n"/>
      <c r="G152" s="23" t="n"/>
      <c r="H152" s="23" t="n"/>
      <c r="I152" s="23" t="n"/>
      <c r="J152" s="23" t="n"/>
      <c r="K152" s="23" t="n"/>
      <c r="L152" s="23" t="n"/>
      <c r="M152" s="23" t="n"/>
      <c r="N152" s="23" t="n"/>
    </row>
    <row r="153">
      <c r="A153" s="24">
        <f>IF(F153="","","ANO-"&amp;TEXT(ROW()-1,"000"))</f>
        <v/>
      </c>
      <c r="B153" s="25" t="n"/>
      <c r="C153" s="23" t="n"/>
      <c r="D153" s="23" t="n"/>
      <c r="E153" s="23" t="n"/>
      <c r="F153" s="23" t="n"/>
      <c r="G153" s="23" t="n"/>
      <c r="H153" s="23" t="n"/>
      <c r="I153" s="23" t="n"/>
      <c r="J153" s="23" t="n"/>
      <c r="K153" s="23" t="n"/>
      <c r="L153" s="23" t="n"/>
      <c r="M153" s="23" t="n"/>
      <c r="N153" s="23" t="n"/>
    </row>
    <row r="154">
      <c r="A154" s="24">
        <f>IF(F154="","","ANO-"&amp;TEXT(ROW()-1,"000"))</f>
        <v/>
      </c>
      <c r="B154" s="25" t="n"/>
      <c r="C154" s="23" t="n"/>
      <c r="D154" s="23" t="n"/>
      <c r="E154" s="23" t="n"/>
      <c r="F154" s="23" t="n"/>
      <c r="G154" s="23" t="n"/>
      <c r="H154" s="23" t="n"/>
      <c r="I154" s="23" t="n"/>
      <c r="J154" s="23" t="n"/>
      <c r="K154" s="23" t="n"/>
      <c r="L154" s="23" t="n"/>
      <c r="M154" s="23" t="n"/>
      <c r="N154" s="23" t="n"/>
    </row>
    <row r="155">
      <c r="A155" s="24">
        <f>IF(F155="","","ANO-"&amp;TEXT(ROW()-1,"000"))</f>
        <v/>
      </c>
      <c r="B155" s="25" t="n"/>
      <c r="C155" s="23" t="n"/>
      <c r="D155" s="23" t="n"/>
      <c r="E155" s="23" t="n"/>
      <c r="F155" s="23" t="n"/>
      <c r="G155" s="23" t="n"/>
      <c r="H155" s="23" t="n"/>
      <c r="I155" s="23" t="n"/>
      <c r="J155" s="23" t="n"/>
      <c r="K155" s="23" t="n"/>
      <c r="L155" s="23" t="n"/>
      <c r="M155" s="23" t="n"/>
      <c r="N155" s="23" t="n"/>
    </row>
    <row r="156">
      <c r="A156" s="24">
        <f>IF(F156="","","ANO-"&amp;TEXT(ROW()-1,"000"))</f>
        <v/>
      </c>
      <c r="B156" s="25" t="n"/>
      <c r="C156" s="23" t="n"/>
      <c r="D156" s="23" t="n"/>
      <c r="E156" s="23" t="n"/>
      <c r="F156" s="23" t="n"/>
      <c r="G156" s="23" t="n"/>
      <c r="H156" s="23" t="n"/>
      <c r="I156" s="23" t="n"/>
      <c r="J156" s="23" t="n"/>
      <c r="K156" s="23" t="n"/>
      <c r="L156" s="23" t="n"/>
      <c r="M156" s="23" t="n"/>
      <c r="N156" s="23" t="n"/>
    </row>
    <row r="157">
      <c r="A157" s="24">
        <f>IF(F157="","","ANO-"&amp;TEXT(ROW()-1,"000"))</f>
        <v/>
      </c>
      <c r="B157" s="25" t="n"/>
      <c r="C157" s="23" t="n"/>
      <c r="D157" s="23" t="n"/>
      <c r="E157" s="23" t="n"/>
      <c r="F157" s="23" t="n"/>
      <c r="G157" s="23" t="n"/>
      <c r="H157" s="23" t="n"/>
      <c r="I157" s="23" t="n"/>
      <c r="J157" s="23" t="n"/>
      <c r="K157" s="23" t="n"/>
      <c r="L157" s="23" t="n"/>
      <c r="M157" s="23" t="n"/>
      <c r="N157" s="23" t="n"/>
    </row>
    <row r="158">
      <c r="A158" s="24">
        <f>IF(F158="","","ANO-"&amp;TEXT(ROW()-1,"000"))</f>
        <v/>
      </c>
      <c r="B158" s="25" t="n"/>
      <c r="C158" s="23" t="n"/>
      <c r="D158" s="23" t="n"/>
      <c r="E158" s="23" t="n"/>
      <c r="F158" s="23" t="n"/>
      <c r="G158" s="23" t="n"/>
      <c r="H158" s="23" t="n"/>
      <c r="I158" s="23" t="n"/>
      <c r="J158" s="23" t="n"/>
      <c r="K158" s="23" t="n"/>
      <c r="L158" s="23" t="n"/>
      <c r="M158" s="23" t="n"/>
      <c r="N158" s="23" t="n"/>
    </row>
    <row r="159">
      <c r="A159" s="24">
        <f>IF(F159="","","ANO-"&amp;TEXT(ROW()-1,"000"))</f>
        <v/>
      </c>
      <c r="B159" s="25" t="n"/>
      <c r="C159" s="23" t="n"/>
      <c r="D159" s="23" t="n"/>
      <c r="E159" s="23" t="n"/>
      <c r="F159" s="23" t="n"/>
      <c r="G159" s="23" t="n"/>
      <c r="H159" s="23" t="n"/>
      <c r="I159" s="23" t="n"/>
      <c r="J159" s="23" t="n"/>
      <c r="K159" s="23" t="n"/>
      <c r="L159" s="23" t="n"/>
      <c r="M159" s="23" t="n"/>
      <c r="N159" s="23" t="n"/>
    </row>
    <row r="160">
      <c r="A160" s="24">
        <f>IF(F160="","","ANO-"&amp;TEXT(ROW()-1,"000"))</f>
        <v/>
      </c>
      <c r="B160" s="25" t="n"/>
      <c r="C160" s="23" t="n"/>
      <c r="D160" s="23" t="n"/>
      <c r="E160" s="23" t="n"/>
      <c r="F160" s="23" t="n"/>
      <c r="G160" s="23" t="n"/>
      <c r="H160" s="23" t="n"/>
      <c r="I160" s="23" t="n"/>
      <c r="J160" s="23" t="n"/>
      <c r="K160" s="23" t="n"/>
      <c r="L160" s="23" t="n"/>
      <c r="M160" s="23" t="n"/>
      <c r="N160" s="23" t="n"/>
    </row>
    <row r="161">
      <c r="A161" s="24">
        <f>IF(F161="","","ANO-"&amp;TEXT(ROW()-1,"000"))</f>
        <v/>
      </c>
      <c r="B161" s="25" t="n"/>
      <c r="C161" s="23" t="n"/>
      <c r="D161" s="23" t="n"/>
      <c r="E161" s="23" t="n"/>
      <c r="F161" s="23" t="n"/>
      <c r="G161" s="23" t="n"/>
      <c r="H161" s="23" t="n"/>
      <c r="I161" s="23" t="n"/>
      <c r="J161" s="23" t="n"/>
      <c r="K161" s="23" t="n"/>
      <c r="L161" s="23" t="n"/>
      <c r="M161" s="23" t="n"/>
      <c r="N161" s="23" t="n"/>
    </row>
    <row r="162">
      <c r="A162" s="24">
        <f>IF(F162="","","ANO-"&amp;TEXT(ROW()-1,"000"))</f>
        <v/>
      </c>
      <c r="B162" s="25" t="n"/>
      <c r="C162" s="23" t="n"/>
      <c r="D162" s="23" t="n"/>
      <c r="E162" s="23" t="n"/>
      <c r="F162" s="23" t="n"/>
      <c r="G162" s="23" t="n"/>
      <c r="H162" s="23" t="n"/>
      <c r="I162" s="23" t="n"/>
      <c r="J162" s="23" t="n"/>
      <c r="K162" s="23" t="n"/>
      <c r="L162" s="23" t="n"/>
      <c r="M162" s="23" t="n"/>
      <c r="N162" s="23" t="n"/>
    </row>
    <row r="163">
      <c r="A163" s="24">
        <f>IF(F163="","","ANO-"&amp;TEXT(ROW()-1,"000"))</f>
        <v/>
      </c>
      <c r="B163" s="25" t="n"/>
      <c r="C163" s="23" t="n"/>
      <c r="D163" s="23" t="n"/>
      <c r="E163" s="23" t="n"/>
      <c r="F163" s="23" t="n"/>
      <c r="G163" s="23" t="n"/>
      <c r="H163" s="23" t="n"/>
      <c r="I163" s="23" t="n"/>
      <c r="J163" s="23" t="n"/>
      <c r="K163" s="23" t="n"/>
      <c r="L163" s="23" t="n"/>
      <c r="M163" s="23" t="n"/>
      <c r="N163" s="23" t="n"/>
    </row>
    <row r="164">
      <c r="A164" s="24">
        <f>IF(F164="","","ANO-"&amp;TEXT(ROW()-1,"000"))</f>
        <v/>
      </c>
      <c r="B164" s="25" t="n"/>
      <c r="C164" s="23" t="n"/>
      <c r="D164" s="23" t="n"/>
      <c r="E164" s="23" t="n"/>
      <c r="F164" s="23" t="n"/>
      <c r="G164" s="23" t="n"/>
      <c r="H164" s="23" t="n"/>
      <c r="I164" s="23" t="n"/>
      <c r="J164" s="23" t="n"/>
      <c r="K164" s="23" t="n"/>
      <c r="L164" s="23" t="n"/>
      <c r="M164" s="23" t="n"/>
      <c r="N164" s="23" t="n"/>
    </row>
    <row r="165">
      <c r="A165" s="24">
        <f>IF(F165="","","ANO-"&amp;TEXT(ROW()-1,"000"))</f>
        <v/>
      </c>
      <c r="B165" s="25" t="n"/>
      <c r="C165" s="23" t="n"/>
      <c r="D165" s="23" t="n"/>
      <c r="E165" s="23" t="n"/>
      <c r="F165" s="23" t="n"/>
      <c r="G165" s="23" t="n"/>
      <c r="H165" s="23" t="n"/>
      <c r="I165" s="23" t="n"/>
      <c r="J165" s="23" t="n"/>
      <c r="K165" s="23" t="n"/>
      <c r="L165" s="23" t="n"/>
      <c r="M165" s="23" t="n"/>
      <c r="N165" s="23" t="n"/>
    </row>
    <row r="166">
      <c r="A166" s="24">
        <f>IF(F166="","","ANO-"&amp;TEXT(ROW()-1,"000"))</f>
        <v/>
      </c>
      <c r="B166" s="25" t="n"/>
      <c r="C166" s="23" t="n"/>
      <c r="D166" s="23" t="n"/>
      <c r="E166" s="23" t="n"/>
      <c r="F166" s="23" t="n"/>
      <c r="G166" s="23" t="n"/>
      <c r="H166" s="23" t="n"/>
      <c r="I166" s="23" t="n"/>
      <c r="J166" s="23" t="n"/>
      <c r="K166" s="23" t="n"/>
      <c r="L166" s="23" t="n"/>
      <c r="M166" s="23" t="n"/>
      <c r="N166" s="23" t="n"/>
    </row>
    <row r="167">
      <c r="A167" s="24">
        <f>IF(F167="","","ANO-"&amp;TEXT(ROW()-1,"000"))</f>
        <v/>
      </c>
      <c r="B167" s="25" t="n"/>
      <c r="C167" s="23" t="n"/>
      <c r="D167" s="23" t="n"/>
      <c r="E167" s="23" t="n"/>
      <c r="F167" s="23" t="n"/>
      <c r="G167" s="23" t="n"/>
      <c r="H167" s="23" t="n"/>
      <c r="I167" s="23" t="n"/>
      <c r="J167" s="23" t="n"/>
      <c r="K167" s="23" t="n"/>
      <c r="L167" s="23" t="n"/>
      <c r="M167" s="23" t="n"/>
      <c r="N167" s="23" t="n"/>
    </row>
    <row r="168">
      <c r="A168" s="24">
        <f>IF(F168="","","ANO-"&amp;TEXT(ROW()-1,"000"))</f>
        <v/>
      </c>
      <c r="B168" s="25" t="n"/>
      <c r="C168" s="23" t="n"/>
      <c r="D168" s="23" t="n"/>
      <c r="E168" s="23" t="n"/>
      <c r="F168" s="23" t="n"/>
      <c r="G168" s="23" t="n"/>
      <c r="H168" s="23" t="n"/>
      <c r="I168" s="23" t="n"/>
      <c r="J168" s="23" t="n"/>
      <c r="K168" s="23" t="n"/>
      <c r="L168" s="23" t="n"/>
      <c r="M168" s="23" t="n"/>
      <c r="N168" s="23" t="n"/>
    </row>
    <row r="169">
      <c r="A169" s="24">
        <f>IF(F169="","","ANO-"&amp;TEXT(ROW()-1,"000"))</f>
        <v/>
      </c>
      <c r="B169" s="25" t="n"/>
      <c r="C169" s="23" t="n"/>
      <c r="D169" s="23" t="n"/>
      <c r="E169" s="23" t="n"/>
      <c r="F169" s="23" t="n"/>
      <c r="G169" s="23" t="n"/>
      <c r="H169" s="23" t="n"/>
      <c r="I169" s="23" t="n"/>
      <c r="J169" s="23" t="n"/>
      <c r="K169" s="23" t="n"/>
      <c r="L169" s="23" t="n"/>
      <c r="M169" s="23" t="n"/>
      <c r="N169" s="23" t="n"/>
    </row>
    <row r="170">
      <c r="A170" s="24">
        <f>IF(F170="","","ANO-"&amp;TEXT(ROW()-1,"000"))</f>
        <v/>
      </c>
      <c r="B170" s="25" t="n"/>
      <c r="C170" s="23" t="n"/>
      <c r="D170" s="23" t="n"/>
      <c r="E170" s="23" t="n"/>
      <c r="F170" s="23" t="n"/>
      <c r="G170" s="23" t="n"/>
      <c r="H170" s="23" t="n"/>
      <c r="I170" s="23" t="n"/>
      <c r="J170" s="23" t="n"/>
      <c r="K170" s="23" t="n"/>
      <c r="L170" s="23" t="n"/>
      <c r="M170" s="23" t="n"/>
      <c r="N170" s="23" t="n"/>
    </row>
    <row r="171">
      <c r="A171" s="24">
        <f>IF(F171="","","ANO-"&amp;TEXT(ROW()-1,"000"))</f>
        <v/>
      </c>
      <c r="B171" s="25" t="n"/>
      <c r="C171" s="23" t="n"/>
      <c r="D171" s="23" t="n"/>
      <c r="E171" s="23" t="n"/>
      <c r="F171" s="23" t="n"/>
      <c r="G171" s="23" t="n"/>
      <c r="H171" s="23" t="n"/>
      <c r="I171" s="23" t="n"/>
      <c r="J171" s="23" t="n"/>
      <c r="K171" s="23" t="n"/>
      <c r="L171" s="23" t="n"/>
      <c r="M171" s="23" t="n"/>
      <c r="N171" s="23" t="n"/>
    </row>
    <row r="172">
      <c r="A172" s="24">
        <f>IF(F172="","","ANO-"&amp;TEXT(ROW()-1,"000"))</f>
        <v/>
      </c>
      <c r="B172" s="25" t="n"/>
      <c r="C172" s="23" t="n"/>
      <c r="D172" s="23" t="n"/>
      <c r="E172" s="23" t="n"/>
      <c r="F172" s="23" t="n"/>
      <c r="G172" s="23" t="n"/>
      <c r="H172" s="23" t="n"/>
      <c r="I172" s="23" t="n"/>
      <c r="J172" s="23" t="n"/>
      <c r="K172" s="23" t="n"/>
      <c r="L172" s="23" t="n"/>
      <c r="M172" s="23" t="n"/>
      <c r="N172" s="23" t="n"/>
    </row>
    <row r="173">
      <c r="A173" s="24">
        <f>IF(F173="","","ANO-"&amp;TEXT(ROW()-1,"000"))</f>
        <v/>
      </c>
      <c r="B173" s="25" t="n"/>
      <c r="C173" s="23" t="n"/>
      <c r="D173" s="23" t="n"/>
      <c r="E173" s="23" t="n"/>
      <c r="F173" s="23" t="n"/>
      <c r="G173" s="23" t="n"/>
      <c r="H173" s="23" t="n"/>
      <c r="I173" s="23" t="n"/>
      <c r="J173" s="23" t="n"/>
      <c r="K173" s="23" t="n"/>
      <c r="L173" s="23" t="n"/>
      <c r="M173" s="23" t="n"/>
      <c r="N173" s="23" t="n"/>
    </row>
    <row r="174">
      <c r="A174" s="24">
        <f>IF(F174="","","ANO-"&amp;TEXT(ROW()-1,"000"))</f>
        <v/>
      </c>
      <c r="B174" s="25" t="n"/>
      <c r="C174" s="23" t="n"/>
      <c r="D174" s="23" t="n"/>
      <c r="E174" s="23" t="n"/>
      <c r="F174" s="23" t="n"/>
      <c r="G174" s="23" t="n"/>
      <c r="H174" s="23" t="n"/>
      <c r="I174" s="23" t="n"/>
      <c r="J174" s="23" t="n"/>
      <c r="K174" s="23" t="n"/>
      <c r="L174" s="23" t="n"/>
      <c r="M174" s="23" t="n"/>
      <c r="N174" s="23" t="n"/>
    </row>
    <row r="175">
      <c r="A175" s="24">
        <f>IF(F175="","","ANO-"&amp;TEXT(ROW()-1,"000"))</f>
        <v/>
      </c>
      <c r="B175" s="25" t="n"/>
      <c r="C175" s="23" t="n"/>
      <c r="D175" s="23" t="n"/>
      <c r="E175" s="23" t="n"/>
      <c r="F175" s="23" t="n"/>
      <c r="G175" s="23" t="n"/>
      <c r="H175" s="23" t="n"/>
      <c r="I175" s="23" t="n"/>
      <c r="J175" s="23" t="n"/>
      <c r="K175" s="23" t="n"/>
      <c r="L175" s="23" t="n"/>
      <c r="M175" s="23" t="n"/>
      <c r="N175" s="23" t="n"/>
    </row>
    <row r="176">
      <c r="A176" s="24">
        <f>IF(F176="","","ANO-"&amp;TEXT(ROW()-1,"000"))</f>
        <v/>
      </c>
      <c r="B176" s="25" t="n"/>
      <c r="C176" s="23" t="n"/>
      <c r="D176" s="23" t="n"/>
      <c r="E176" s="23" t="n"/>
      <c r="F176" s="23" t="n"/>
      <c r="G176" s="23" t="n"/>
      <c r="H176" s="23" t="n"/>
      <c r="I176" s="23" t="n"/>
      <c r="J176" s="23" t="n"/>
      <c r="K176" s="23" t="n"/>
      <c r="L176" s="23" t="n"/>
      <c r="M176" s="23" t="n"/>
      <c r="N176" s="23" t="n"/>
    </row>
    <row r="177">
      <c r="A177" s="24">
        <f>IF(F177="","","ANO-"&amp;TEXT(ROW()-1,"000"))</f>
        <v/>
      </c>
      <c r="B177" s="25" t="n"/>
      <c r="C177" s="23" t="n"/>
      <c r="D177" s="23" t="n"/>
      <c r="E177" s="23" t="n"/>
      <c r="F177" s="23" t="n"/>
      <c r="G177" s="23" t="n"/>
      <c r="H177" s="23" t="n"/>
      <c r="I177" s="23" t="n"/>
      <c r="J177" s="23" t="n"/>
      <c r="K177" s="23" t="n"/>
      <c r="L177" s="23" t="n"/>
      <c r="M177" s="23" t="n"/>
      <c r="N177" s="23" t="n"/>
    </row>
    <row r="178">
      <c r="A178" s="24">
        <f>IF(F178="","","ANO-"&amp;TEXT(ROW()-1,"000"))</f>
        <v/>
      </c>
      <c r="B178" s="25" t="n"/>
      <c r="C178" s="23" t="n"/>
      <c r="D178" s="23" t="n"/>
      <c r="E178" s="23" t="n"/>
      <c r="F178" s="23" t="n"/>
      <c r="G178" s="23" t="n"/>
      <c r="H178" s="23" t="n"/>
      <c r="I178" s="23" t="n"/>
      <c r="J178" s="23" t="n"/>
      <c r="K178" s="23" t="n"/>
      <c r="L178" s="23" t="n"/>
      <c r="M178" s="23" t="n"/>
      <c r="N178" s="23" t="n"/>
    </row>
    <row r="179">
      <c r="A179" s="24">
        <f>IF(F179="","","ANO-"&amp;TEXT(ROW()-1,"000"))</f>
        <v/>
      </c>
      <c r="B179" s="25" t="n"/>
      <c r="C179" s="23" t="n"/>
      <c r="D179" s="23" t="n"/>
      <c r="E179" s="23" t="n"/>
      <c r="F179" s="23" t="n"/>
      <c r="G179" s="23" t="n"/>
      <c r="H179" s="23" t="n"/>
      <c r="I179" s="23" t="n"/>
      <c r="J179" s="23" t="n"/>
      <c r="K179" s="23" t="n"/>
      <c r="L179" s="23" t="n"/>
      <c r="M179" s="23" t="n"/>
      <c r="N179" s="23" t="n"/>
    </row>
    <row r="180">
      <c r="A180" s="24">
        <f>IF(F180="","","ANO-"&amp;TEXT(ROW()-1,"000"))</f>
        <v/>
      </c>
      <c r="B180" s="25" t="n"/>
      <c r="C180" s="23" t="n"/>
      <c r="D180" s="23" t="n"/>
      <c r="E180" s="23" t="n"/>
      <c r="F180" s="23" t="n"/>
      <c r="G180" s="23" t="n"/>
      <c r="H180" s="23" t="n"/>
      <c r="I180" s="23" t="n"/>
      <c r="J180" s="23" t="n"/>
      <c r="K180" s="23" t="n"/>
      <c r="L180" s="23" t="n"/>
      <c r="M180" s="23" t="n"/>
      <c r="N180" s="23" t="n"/>
    </row>
    <row r="181">
      <c r="A181" s="24">
        <f>IF(F181="","","ANO-"&amp;TEXT(ROW()-1,"000"))</f>
        <v/>
      </c>
      <c r="B181" s="25" t="n"/>
      <c r="C181" s="23" t="n"/>
      <c r="D181" s="23" t="n"/>
      <c r="E181" s="23" t="n"/>
      <c r="F181" s="23" t="n"/>
      <c r="G181" s="23" t="n"/>
      <c r="H181" s="23" t="n"/>
      <c r="I181" s="23" t="n"/>
      <c r="J181" s="23" t="n"/>
      <c r="K181" s="23" t="n"/>
      <c r="L181" s="23" t="n"/>
      <c r="M181" s="23" t="n"/>
      <c r="N181" s="23" t="n"/>
    </row>
    <row r="182">
      <c r="A182" s="24">
        <f>IF(F182="","","ANO-"&amp;TEXT(ROW()-1,"000"))</f>
        <v/>
      </c>
      <c r="B182" s="25" t="n"/>
      <c r="C182" s="23" t="n"/>
      <c r="D182" s="23" t="n"/>
      <c r="E182" s="23" t="n"/>
      <c r="F182" s="23" t="n"/>
      <c r="G182" s="23" t="n"/>
      <c r="H182" s="23" t="n"/>
      <c r="I182" s="23" t="n"/>
      <c r="J182" s="23" t="n"/>
      <c r="K182" s="23" t="n"/>
      <c r="L182" s="23" t="n"/>
      <c r="M182" s="23" t="n"/>
      <c r="N182" s="23" t="n"/>
    </row>
    <row r="183">
      <c r="A183" s="24">
        <f>IF(F183="","","ANO-"&amp;TEXT(ROW()-1,"000"))</f>
        <v/>
      </c>
      <c r="B183" s="25" t="n"/>
      <c r="C183" s="23" t="n"/>
      <c r="D183" s="23" t="n"/>
      <c r="E183" s="23" t="n"/>
      <c r="F183" s="23" t="n"/>
      <c r="G183" s="23" t="n"/>
      <c r="H183" s="23" t="n"/>
      <c r="I183" s="23" t="n"/>
      <c r="J183" s="23" t="n"/>
      <c r="K183" s="23" t="n"/>
      <c r="L183" s="23" t="n"/>
      <c r="M183" s="23" t="n"/>
      <c r="N183" s="23" t="n"/>
    </row>
    <row r="184">
      <c r="A184" s="24">
        <f>IF(F184="","","ANO-"&amp;TEXT(ROW()-1,"000"))</f>
        <v/>
      </c>
      <c r="B184" s="25" t="n"/>
      <c r="C184" s="23" t="n"/>
      <c r="D184" s="23" t="n"/>
      <c r="E184" s="23" t="n"/>
      <c r="F184" s="23" t="n"/>
      <c r="G184" s="23" t="n"/>
      <c r="H184" s="23" t="n"/>
      <c r="I184" s="23" t="n"/>
      <c r="J184" s="23" t="n"/>
      <c r="K184" s="23" t="n"/>
      <c r="L184" s="23" t="n"/>
      <c r="M184" s="23" t="n"/>
      <c r="N184" s="23" t="n"/>
    </row>
    <row r="185">
      <c r="A185" s="24">
        <f>IF(F185="","","ANO-"&amp;TEXT(ROW()-1,"000"))</f>
        <v/>
      </c>
      <c r="B185" s="25" t="n"/>
      <c r="C185" s="23" t="n"/>
      <c r="D185" s="23" t="n"/>
      <c r="E185" s="23" t="n"/>
      <c r="F185" s="23" t="n"/>
      <c r="G185" s="23" t="n"/>
      <c r="H185" s="23" t="n"/>
      <c r="I185" s="23" t="n"/>
      <c r="J185" s="23" t="n"/>
      <c r="K185" s="23" t="n"/>
      <c r="L185" s="23" t="n"/>
      <c r="M185" s="23" t="n"/>
      <c r="N185" s="23" t="n"/>
    </row>
    <row r="186">
      <c r="A186" s="24">
        <f>IF(F186="","","ANO-"&amp;TEXT(ROW()-1,"000"))</f>
        <v/>
      </c>
      <c r="B186" s="25" t="n"/>
      <c r="C186" s="23" t="n"/>
      <c r="D186" s="23" t="n"/>
      <c r="E186" s="23" t="n"/>
      <c r="F186" s="23" t="n"/>
      <c r="G186" s="23" t="n"/>
      <c r="H186" s="23" t="n"/>
      <c r="I186" s="23" t="n"/>
      <c r="J186" s="23" t="n"/>
      <c r="K186" s="23" t="n"/>
      <c r="L186" s="23" t="n"/>
      <c r="M186" s="23" t="n"/>
      <c r="N186" s="23" t="n"/>
    </row>
    <row r="187">
      <c r="A187" s="24">
        <f>IF(F187="","","ANO-"&amp;TEXT(ROW()-1,"000"))</f>
        <v/>
      </c>
      <c r="B187" s="25" t="n"/>
      <c r="C187" s="23" t="n"/>
      <c r="D187" s="23" t="n"/>
      <c r="E187" s="23" t="n"/>
      <c r="F187" s="23" t="n"/>
      <c r="G187" s="23" t="n"/>
      <c r="H187" s="23" t="n"/>
      <c r="I187" s="23" t="n"/>
      <c r="J187" s="23" t="n"/>
      <c r="K187" s="23" t="n"/>
      <c r="L187" s="23" t="n"/>
      <c r="M187" s="23" t="n"/>
      <c r="N187" s="23" t="n"/>
    </row>
    <row r="188">
      <c r="A188" s="24">
        <f>IF(F188="","","ANO-"&amp;TEXT(ROW()-1,"000"))</f>
        <v/>
      </c>
      <c r="B188" s="25" t="n"/>
      <c r="C188" s="23" t="n"/>
      <c r="D188" s="23" t="n"/>
      <c r="E188" s="23" t="n"/>
      <c r="F188" s="23" t="n"/>
      <c r="G188" s="23" t="n"/>
      <c r="H188" s="23" t="n"/>
      <c r="I188" s="23" t="n"/>
      <c r="J188" s="23" t="n"/>
      <c r="K188" s="23" t="n"/>
      <c r="L188" s="23" t="n"/>
      <c r="M188" s="23" t="n"/>
      <c r="N188" s="23" t="n"/>
    </row>
    <row r="189">
      <c r="A189" s="24">
        <f>IF(F189="","","ANO-"&amp;TEXT(ROW()-1,"000"))</f>
        <v/>
      </c>
      <c r="B189" s="25" t="n"/>
      <c r="C189" s="23" t="n"/>
      <c r="D189" s="23" t="n"/>
      <c r="E189" s="23" t="n"/>
      <c r="F189" s="23" t="n"/>
      <c r="G189" s="23" t="n"/>
      <c r="H189" s="23" t="n"/>
      <c r="I189" s="23" t="n"/>
      <c r="J189" s="23" t="n"/>
      <c r="K189" s="23" t="n"/>
      <c r="L189" s="23" t="n"/>
      <c r="M189" s="23" t="n"/>
      <c r="N189" s="23" t="n"/>
    </row>
    <row r="190">
      <c r="A190" s="24">
        <f>IF(F190="","","ANO-"&amp;TEXT(ROW()-1,"000"))</f>
        <v/>
      </c>
      <c r="B190" s="25" t="n"/>
      <c r="C190" s="23" t="n"/>
      <c r="D190" s="23" t="n"/>
      <c r="E190" s="23" t="n"/>
      <c r="F190" s="23" t="n"/>
      <c r="G190" s="23" t="n"/>
      <c r="H190" s="23" t="n"/>
      <c r="I190" s="23" t="n"/>
      <c r="J190" s="23" t="n"/>
      <c r="K190" s="23" t="n"/>
      <c r="L190" s="23" t="n"/>
      <c r="M190" s="23" t="n"/>
      <c r="N190" s="23" t="n"/>
    </row>
    <row r="191">
      <c r="A191" s="24">
        <f>IF(F191="","","ANO-"&amp;TEXT(ROW()-1,"000"))</f>
        <v/>
      </c>
      <c r="B191" s="25" t="n"/>
      <c r="C191" s="23" t="n"/>
      <c r="D191" s="23" t="n"/>
      <c r="E191" s="23" t="n"/>
      <c r="F191" s="23" t="n"/>
      <c r="G191" s="23" t="n"/>
      <c r="H191" s="23" t="n"/>
      <c r="I191" s="23" t="n"/>
      <c r="J191" s="23" t="n"/>
      <c r="K191" s="23" t="n"/>
      <c r="L191" s="23" t="n"/>
      <c r="M191" s="23" t="n"/>
      <c r="N191" s="23" t="n"/>
    </row>
    <row r="192">
      <c r="A192" s="24">
        <f>IF(F192="","","ANO-"&amp;TEXT(ROW()-1,"000"))</f>
        <v/>
      </c>
      <c r="B192" s="25" t="n"/>
      <c r="C192" s="23" t="n"/>
      <c r="D192" s="23" t="n"/>
      <c r="E192" s="23" t="n"/>
      <c r="F192" s="23" t="n"/>
      <c r="G192" s="23" t="n"/>
      <c r="H192" s="23" t="n"/>
      <c r="I192" s="23" t="n"/>
      <c r="J192" s="23" t="n"/>
      <c r="K192" s="23" t="n"/>
      <c r="L192" s="23" t="n"/>
      <c r="M192" s="23" t="n"/>
      <c r="N192" s="23" t="n"/>
    </row>
    <row r="193">
      <c r="A193" s="24">
        <f>IF(F193="","","ANO-"&amp;TEXT(ROW()-1,"000"))</f>
        <v/>
      </c>
      <c r="B193" s="25" t="n"/>
      <c r="C193" s="23" t="n"/>
      <c r="D193" s="23" t="n"/>
      <c r="E193" s="23" t="n"/>
      <c r="F193" s="23" t="n"/>
      <c r="G193" s="23" t="n"/>
      <c r="H193" s="23" t="n"/>
      <c r="I193" s="23" t="n"/>
      <c r="J193" s="23" t="n"/>
      <c r="K193" s="23" t="n"/>
      <c r="L193" s="23" t="n"/>
      <c r="M193" s="23" t="n"/>
      <c r="N193" s="23" t="n"/>
    </row>
    <row r="194">
      <c r="A194" s="24">
        <f>IF(F194="","","ANO-"&amp;TEXT(ROW()-1,"000"))</f>
        <v/>
      </c>
      <c r="B194" s="25" t="n"/>
      <c r="C194" s="23" t="n"/>
      <c r="D194" s="23" t="n"/>
      <c r="E194" s="23" t="n"/>
      <c r="F194" s="23" t="n"/>
      <c r="G194" s="23" t="n"/>
      <c r="H194" s="23" t="n"/>
      <c r="I194" s="23" t="n"/>
      <c r="J194" s="23" t="n"/>
      <c r="K194" s="23" t="n"/>
      <c r="L194" s="23" t="n"/>
      <c r="M194" s="23" t="n"/>
      <c r="N194" s="23" t="n"/>
    </row>
    <row r="195">
      <c r="A195" s="24">
        <f>IF(F195="","","ANO-"&amp;TEXT(ROW()-1,"000"))</f>
        <v/>
      </c>
      <c r="B195" s="25" t="n"/>
      <c r="C195" s="23" t="n"/>
      <c r="D195" s="23" t="n"/>
      <c r="E195" s="23" t="n"/>
      <c r="F195" s="23" t="n"/>
      <c r="G195" s="23" t="n"/>
      <c r="H195" s="23" t="n"/>
      <c r="I195" s="23" t="n"/>
      <c r="J195" s="23" t="n"/>
      <c r="K195" s="23" t="n"/>
      <c r="L195" s="23" t="n"/>
      <c r="M195" s="23" t="n"/>
      <c r="N195" s="23" t="n"/>
    </row>
    <row r="196">
      <c r="A196" s="24">
        <f>IF(F196="","","ANO-"&amp;TEXT(ROW()-1,"000"))</f>
        <v/>
      </c>
      <c r="B196" s="25" t="n"/>
      <c r="C196" s="23" t="n"/>
      <c r="D196" s="23" t="n"/>
      <c r="E196" s="23" t="n"/>
      <c r="F196" s="23" t="n"/>
      <c r="G196" s="23" t="n"/>
      <c r="H196" s="23" t="n"/>
      <c r="I196" s="23" t="n"/>
      <c r="J196" s="23" t="n"/>
      <c r="K196" s="23" t="n"/>
      <c r="L196" s="23" t="n"/>
      <c r="M196" s="23" t="n"/>
      <c r="N196" s="23" t="n"/>
    </row>
    <row r="197">
      <c r="A197" s="24">
        <f>IF(F197="","","ANO-"&amp;TEXT(ROW()-1,"000"))</f>
        <v/>
      </c>
      <c r="B197" s="25" t="n"/>
      <c r="C197" s="23" t="n"/>
      <c r="D197" s="23" t="n"/>
      <c r="E197" s="23" t="n"/>
      <c r="F197" s="23" t="n"/>
      <c r="G197" s="23" t="n"/>
      <c r="H197" s="23" t="n"/>
      <c r="I197" s="23" t="n"/>
      <c r="J197" s="23" t="n"/>
      <c r="K197" s="23" t="n"/>
      <c r="L197" s="23" t="n"/>
      <c r="M197" s="23" t="n"/>
      <c r="N197" s="23" t="n"/>
    </row>
    <row r="198">
      <c r="A198" s="24">
        <f>IF(F198="","","ANO-"&amp;TEXT(ROW()-1,"000"))</f>
        <v/>
      </c>
      <c r="B198" s="25" t="n"/>
      <c r="C198" s="23" t="n"/>
      <c r="D198" s="23" t="n"/>
      <c r="E198" s="23" t="n"/>
      <c r="F198" s="23" t="n"/>
      <c r="G198" s="23" t="n"/>
      <c r="H198" s="23" t="n"/>
      <c r="I198" s="23" t="n"/>
      <c r="J198" s="23" t="n"/>
      <c r="K198" s="23" t="n"/>
      <c r="L198" s="23" t="n"/>
      <c r="M198" s="23" t="n"/>
      <c r="N198" s="23" t="n"/>
    </row>
    <row r="199">
      <c r="A199" s="24">
        <f>IF(F199="","","ANO-"&amp;TEXT(ROW()-1,"000"))</f>
        <v/>
      </c>
      <c r="B199" s="25" t="n"/>
      <c r="C199" s="23" t="n"/>
      <c r="D199" s="23" t="n"/>
      <c r="E199" s="23" t="n"/>
      <c r="F199" s="23" t="n"/>
      <c r="G199" s="23" t="n"/>
      <c r="H199" s="23" t="n"/>
      <c r="I199" s="23" t="n"/>
      <c r="J199" s="23" t="n"/>
      <c r="K199" s="23" t="n"/>
      <c r="L199" s="23" t="n"/>
      <c r="M199" s="23" t="n"/>
      <c r="N199" s="23" t="n"/>
    </row>
    <row r="200">
      <c r="A200" s="24">
        <f>IF(F200="","","ANO-"&amp;TEXT(ROW()-1,"000"))</f>
        <v/>
      </c>
      <c r="B200" s="25" t="n"/>
      <c r="C200" s="23" t="n"/>
      <c r="D200" s="23" t="n"/>
      <c r="E200" s="23" t="n"/>
      <c r="F200" s="23" t="n"/>
      <c r="G200" s="23" t="n"/>
      <c r="H200" s="23" t="n"/>
      <c r="I200" s="23" t="n"/>
      <c r="J200" s="23" t="n"/>
      <c r="K200" s="23" t="n"/>
      <c r="L200" s="23" t="n"/>
      <c r="M200" s="23" t="n"/>
      <c r="N200" s="23" t="n"/>
    </row>
    <row r="201">
      <c r="A201" s="24">
        <f>IF(F201="","","ANO-"&amp;TEXT(ROW()-1,"000"))</f>
        <v/>
      </c>
      <c r="B201" s="25" t="n"/>
      <c r="C201" s="23" t="n"/>
      <c r="D201" s="23" t="n"/>
      <c r="E201" s="23" t="n"/>
      <c r="F201" s="23" t="n"/>
      <c r="G201" s="23" t="n"/>
      <c r="H201" s="23" t="n"/>
      <c r="I201" s="23" t="n"/>
      <c r="J201" s="23" t="n"/>
      <c r="K201" s="23" t="n"/>
      <c r="L201" s="23" t="n"/>
      <c r="M201" s="23" t="n"/>
      <c r="N201" s="23" t="n"/>
    </row>
  </sheetData>
  <autoFilter ref="A1:N201"/>
  <conditionalFormatting sqref="E2:E201">
    <cfRule type="cellIs" priority="1" operator="equal" dxfId="2">
      <formula>"Bloquante"</formula>
    </cfRule>
    <cfRule type="cellIs" priority="2" operator="equal" dxfId="3">
      <formula>"Majeure"</formula>
    </cfRule>
  </conditionalFormatting>
  <dataValidations count="3">
    <dataValidation sqref="E2:E201" showDropDown="0" showInputMessage="0" showErrorMessage="0" allowBlank="1" type="list">
      <formula1>=Listes!$D$2:$D$5</formula1>
    </dataValidation>
    <dataValidation sqref="L2:L201" showDropDown="0" showInputMessage="0" showErrorMessage="0" allowBlank="1" type="list">
      <formula1>=Listes!$E$2:$E$6</formula1>
    </dataValidation>
    <dataValidation sqref="D2:D201" showDropDown="0" showInputMessage="0" showErrorMessage="0" allowBlank="1" type="list">
      <formula1>"Léo,Place de marché"</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2026-09-30T19:44:56Z</dcterms:created>
  <dcterms:modified xmlns:dcterms="http://purl.org/dc/terms/" xmlns:xsi="http://www.w3.org/2001/XMLSchema-instance" xsi:type="dcterms:W3CDTF">2026-09-30T19:44:56Z</dcterms:modified>
</cp:coreProperties>
</file>